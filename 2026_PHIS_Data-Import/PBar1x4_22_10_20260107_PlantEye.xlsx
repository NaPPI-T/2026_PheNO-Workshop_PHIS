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lsinkifi.sharepoint.com/sites/NaPPIteam-NaPPICoreMembers/Shared Documents/Core NaPPI Members/01-Presentations/2026_NBPPN-NordPheno-Workshop/TraitFinder/"/>
    </mc:Choice>
  </mc:AlternateContent>
  <xr:revisionPtr revIDLastSave="300" documentId="8_{99E3E012-9815-408E-B519-6D9DA2290ED0}" xr6:coauthVersionLast="47" xr6:coauthVersionMax="47" xr10:uidLastSave="{4874C80A-5333-4210-9A6F-9431408E02C9}"/>
  <bookViews>
    <workbookView xWindow="-120" yWindow="-120" windowWidth="25440" windowHeight="15270" xr2:uid="{9E193933-D841-4EC7-AC96-EF2CEAB4B717}"/>
  </bookViews>
  <sheets>
    <sheet name="Data" sheetId="1" r:id="rId1"/>
    <sheet name="Testing" sheetId="4" r:id="rId2"/>
    <sheet name="ImgName" sheetId="3" r:id="rId3"/>
    <sheet name="Germplasm" sheetId="2" r:id="rId4"/>
  </sheets>
  <definedNames>
    <definedName name="_xlnm._FilterDatabase" localSheetId="0" hidden="1">Data!$A$1:$BR$953</definedName>
    <definedName name="_xlnm._FilterDatabase" localSheetId="2" hidden="1">ImgName!$A$1:$F$239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2" i="4"/>
  <c r="F10" i="4"/>
  <c r="F9" i="4"/>
  <c r="F8" i="4"/>
  <c r="F7" i="4"/>
  <c r="F6" i="4"/>
  <c r="F5" i="4"/>
  <c r="F4" i="4"/>
  <c r="F3" i="4"/>
  <c r="F2" i="4"/>
  <c r="D39" i="3"/>
  <c r="D21" i="3"/>
  <c r="D11" i="3"/>
  <c r="D2" i="3"/>
  <c r="D48" i="3"/>
  <c r="D57" i="3"/>
  <c r="D58" i="3"/>
  <c r="D59" i="3"/>
  <c r="D68" i="3"/>
  <c r="D78" i="3"/>
  <c r="D87" i="3"/>
  <c r="D96" i="3"/>
  <c r="D106" i="3"/>
  <c r="D116" i="3"/>
  <c r="D125" i="3"/>
  <c r="D134" i="3"/>
  <c r="D144" i="3"/>
  <c r="D153" i="3"/>
  <c r="D162" i="3"/>
  <c r="D171" i="3"/>
  <c r="D181" i="3"/>
  <c r="D191" i="3"/>
  <c r="D200" i="3"/>
  <c r="D210" i="3"/>
  <c r="D222" i="3"/>
  <c r="D231" i="3"/>
  <c r="D3" i="3"/>
  <c r="D12" i="3"/>
  <c r="D22" i="3"/>
  <c r="D31" i="3"/>
  <c r="D40" i="3"/>
  <c r="D49" i="3"/>
  <c r="D60" i="3"/>
  <c r="D69" i="3"/>
  <c r="D79" i="3"/>
  <c r="D88" i="3"/>
  <c r="D97" i="3"/>
  <c r="D107" i="3"/>
  <c r="D117" i="3"/>
  <c r="D126" i="3"/>
  <c r="D135" i="3"/>
  <c r="D145" i="3"/>
  <c r="D154" i="3"/>
  <c r="D163" i="3"/>
  <c r="D172" i="3"/>
  <c r="D182" i="3"/>
  <c r="D192" i="3"/>
  <c r="D201" i="3"/>
  <c r="D211" i="3"/>
  <c r="D223" i="3"/>
  <c r="D232" i="3"/>
  <c r="D233" i="3"/>
  <c r="D224" i="3"/>
  <c r="D212" i="3"/>
  <c r="D202" i="3"/>
  <c r="D193" i="3"/>
  <c r="D183" i="3"/>
  <c r="D173" i="3"/>
  <c r="D164" i="3"/>
  <c r="D155" i="3"/>
  <c r="D146" i="3"/>
  <c r="D136" i="3"/>
  <c r="D127" i="3"/>
  <c r="D118" i="3"/>
  <c r="D108" i="3"/>
  <c r="D98" i="3"/>
  <c r="D89" i="3"/>
  <c r="D80" i="3"/>
  <c r="D70" i="3"/>
  <c r="D61" i="3"/>
  <c r="D50" i="3"/>
  <c r="D13" i="3"/>
  <c r="D23" i="3"/>
  <c r="D32" i="3"/>
  <c r="D41" i="3"/>
  <c r="D4" i="3"/>
  <c r="D14" i="3"/>
  <c r="D5" i="3"/>
  <c r="D24" i="3"/>
  <c r="D33" i="3"/>
  <c r="D42" i="3"/>
  <c r="D51" i="3"/>
  <c r="D62" i="3"/>
  <c r="D71" i="3"/>
  <c r="D81" i="3"/>
  <c r="D90" i="3"/>
  <c r="D99" i="3"/>
  <c r="D109" i="3"/>
  <c r="D119" i="3"/>
  <c r="D128" i="3"/>
  <c r="D137" i="3"/>
  <c r="D147" i="3"/>
  <c r="D156" i="3"/>
  <c r="D165" i="3"/>
  <c r="D174" i="3"/>
  <c r="D184" i="3"/>
  <c r="D203" i="3"/>
  <c r="D194" i="3"/>
  <c r="D204" i="3"/>
  <c r="D213" i="3"/>
  <c r="D225" i="3"/>
  <c r="D234" i="3"/>
  <c r="D6" i="3"/>
  <c r="D15" i="3"/>
  <c r="D25" i="3"/>
  <c r="D34" i="3"/>
  <c r="D43" i="3"/>
  <c r="D52" i="3"/>
  <c r="D63" i="3"/>
  <c r="D72" i="3"/>
  <c r="D82" i="3"/>
  <c r="D91" i="3"/>
  <c r="D100" i="3"/>
  <c r="D101" i="3"/>
  <c r="D110" i="3"/>
  <c r="D120" i="3"/>
  <c r="D129" i="3"/>
  <c r="D138" i="3"/>
  <c r="D148" i="3"/>
  <c r="D157" i="3"/>
  <c r="D166" i="3"/>
  <c r="D175" i="3"/>
  <c r="D185" i="3"/>
  <c r="D195" i="3"/>
  <c r="D205" i="3"/>
  <c r="D214" i="3"/>
  <c r="D226" i="3"/>
  <c r="D235" i="3"/>
  <c r="D7" i="3"/>
  <c r="D16" i="3"/>
  <c r="D17" i="3"/>
  <c r="D26" i="3"/>
  <c r="D35" i="3"/>
  <c r="D44" i="3"/>
  <c r="D196" i="3"/>
  <c r="D206" i="3"/>
  <c r="D215" i="3"/>
  <c r="D227" i="3"/>
  <c r="D236" i="3"/>
  <c r="D53" i="3"/>
  <c r="D64" i="3"/>
  <c r="D73" i="3"/>
  <c r="D74" i="3"/>
  <c r="D83" i="3"/>
  <c r="D92" i="3"/>
  <c r="D149" i="3"/>
  <c r="D158" i="3"/>
  <c r="D167" i="3"/>
  <c r="D176" i="3"/>
  <c r="D177" i="3"/>
  <c r="D186" i="3"/>
  <c r="D102" i="3"/>
  <c r="D111" i="3"/>
  <c r="D121" i="3"/>
  <c r="D130" i="3"/>
  <c r="D139" i="3"/>
  <c r="D197" i="3"/>
  <c r="D207" i="3"/>
  <c r="D216" i="3"/>
  <c r="D217" i="3"/>
  <c r="D228" i="3"/>
  <c r="D237" i="3"/>
  <c r="D103" i="3"/>
  <c r="D112" i="3"/>
  <c r="D122" i="3"/>
  <c r="D131" i="3"/>
  <c r="D140" i="3"/>
  <c r="D54" i="3"/>
  <c r="D65" i="3"/>
  <c r="D75" i="3"/>
  <c r="D84" i="3"/>
  <c r="D93" i="3"/>
  <c r="D18" i="3"/>
  <c r="D8" i="3"/>
  <c r="D27" i="3"/>
  <c r="D36" i="3"/>
  <c r="D45" i="3"/>
  <c r="D150" i="3"/>
  <c r="D159" i="3"/>
  <c r="D168" i="3"/>
  <c r="D178" i="3"/>
  <c r="D187" i="3"/>
  <c r="D151" i="3"/>
  <c r="D160" i="3"/>
  <c r="D169" i="3"/>
  <c r="D179" i="3"/>
  <c r="D188" i="3"/>
  <c r="D198" i="3"/>
  <c r="D208" i="3"/>
  <c r="D218" i="3"/>
  <c r="D219" i="3"/>
  <c r="D220" i="3"/>
  <c r="D229" i="3"/>
  <c r="D238" i="3"/>
  <c r="D104" i="3"/>
  <c r="D113" i="3"/>
  <c r="D123" i="3"/>
  <c r="D132" i="3"/>
  <c r="D141" i="3"/>
  <c r="D142" i="3"/>
  <c r="D9" i="3"/>
  <c r="D19" i="3"/>
  <c r="D28" i="3"/>
  <c r="D37" i="3"/>
  <c r="D46" i="3"/>
  <c r="D55" i="3"/>
  <c r="D66" i="3"/>
  <c r="D76" i="3"/>
  <c r="D85" i="3"/>
  <c r="D94" i="3"/>
  <c r="D105" i="3"/>
  <c r="D114" i="3"/>
  <c r="D115" i="3"/>
  <c r="D124" i="3"/>
  <c r="D133" i="3"/>
  <c r="D143" i="3"/>
  <c r="D56" i="3"/>
  <c r="D67" i="3"/>
  <c r="D77" i="3"/>
  <c r="D86" i="3"/>
  <c r="D95" i="3"/>
  <c r="D10" i="3"/>
  <c r="D20" i="3"/>
  <c r="D29" i="3"/>
  <c r="D38" i="3"/>
  <c r="D47" i="3"/>
  <c r="D199" i="3"/>
  <c r="D209" i="3"/>
  <c r="D221" i="3"/>
  <c r="D230" i="3"/>
  <c r="D239" i="3"/>
  <c r="D152" i="3"/>
  <c r="D161" i="3"/>
  <c r="D170" i="3"/>
  <c r="D180" i="3"/>
  <c r="D189" i="3"/>
  <c r="D190" i="3"/>
  <c r="D30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" i="2"/>
  <c r="E176" i="1"/>
  <c r="E177" i="1"/>
  <c r="E178" i="1"/>
  <c r="E179" i="1"/>
  <c r="E180" i="1"/>
  <c r="E181" i="1"/>
  <c r="E182" i="1"/>
  <c r="E183" i="1"/>
  <c r="E184" i="1"/>
  <c r="E185" i="1"/>
  <c r="E378" i="1"/>
  <c r="E379" i="1"/>
  <c r="E380" i="1"/>
  <c r="E381" i="1"/>
  <c r="E382" i="1"/>
  <c r="E383" i="1"/>
  <c r="E384" i="1"/>
  <c r="E385" i="1"/>
  <c r="E386" i="1"/>
  <c r="E387" i="1"/>
  <c r="E550" i="1"/>
  <c r="E551" i="1"/>
  <c r="E552" i="1"/>
  <c r="E553" i="1"/>
  <c r="E554" i="1"/>
  <c r="E555" i="1"/>
  <c r="E556" i="1"/>
  <c r="E557" i="1"/>
  <c r="E558" i="1"/>
  <c r="E785" i="1"/>
  <c r="E786" i="1"/>
  <c r="E787" i="1"/>
  <c r="E788" i="1"/>
  <c r="E789" i="1"/>
  <c r="E790" i="1"/>
  <c r="E791" i="1"/>
  <c r="E792" i="1"/>
  <c r="E793" i="1"/>
  <c r="E846" i="1"/>
  <c r="E847" i="1"/>
  <c r="E848" i="1"/>
  <c r="E849" i="1"/>
  <c r="E850" i="1"/>
  <c r="E851" i="1"/>
  <c r="E852" i="1"/>
  <c r="E853" i="1"/>
  <c r="E854" i="1"/>
  <c r="E3" i="1"/>
  <c r="E111" i="1"/>
  <c r="E219" i="1"/>
  <c r="E321" i="1"/>
  <c r="E114" i="1"/>
  <c r="E115" i="1"/>
  <c r="E116" i="1"/>
  <c r="E117" i="1"/>
  <c r="E118" i="1"/>
  <c r="E208" i="1"/>
  <c r="E209" i="1"/>
  <c r="E210" i="1"/>
  <c r="E211" i="1"/>
  <c r="E212" i="1"/>
  <c r="E213" i="1"/>
  <c r="E214" i="1"/>
  <c r="E215" i="1"/>
  <c r="E216" i="1"/>
  <c r="E217" i="1"/>
  <c r="E510" i="1"/>
  <c r="E511" i="1"/>
  <c r="E512" i="1"/>
  <c r="E513" i="1"/>
  <c r="E514" i="1"/>
  <c r="E515" i="1"/>
  <c r="E516" i="1"/>
  <c r="E517" i="1"/>
  <c r="E518" i="1"/>
  <c r="E519" i="1"/>
  <c r="E622" i="1"/>
  <c r="E623" i="1"/>
  <c r="E624" i="1"/>
  <c r="E625" i="1"/>
  <c r="E626" i="1"/>
  <c r="E627" i="1"/>
  <c r="E628" i="1"/>
  <c r="E629" i="1"/>
  <c r="E630" i="1"/>
  <c r="E814" i="1"/>
  <c r="E815" i="1"/>
  <c r="E816" i="1"/>
  <c r="E817" i="1"/>
  <c r="E818" i="1"/>
  <c r="E819" i="1"/>
  <c r="E820" i="1"/>
  <c r="E821" i="1"/>
  <c r="E822" i="1"/>
  <c r="E823" i="1"/>
  <c r="E266" i="1"/>
  <c r="E267" i="1"/>
  <c r="E268" i="1"/>
  <c r="E269" i="1"/>
  <c r="E270" i="1"/>
  <c r="E271" i="1"/>
  <c r="E272" i="1"/>
  <c r="E273" i="1"/>
  <c r="E274" i="1"/>
  <c r="E482" i="1"/>
  <c r="E483" i="1"/>
  <c r="E484" i="1"/>
  <c r="E485" i="1"/>
  <c r="E486" i="1"/>
  <c r="E487" i="1"/>
  <c r="E488" i="1"/>
  <c r="E489" i="1"/>
  <c r="E490" i="1"/>
  <c r="E577" i="1"/>
  <c r="E578" i="1"/>
  <c r="E579" i="1"/>
  <c r="E580" i="1"/>
  <c r="E581" i="1"/>
  <c r="E582" i="1"/>
  <c r="E583" i="1"/>
  <c r="E584" i="1"/>
  <c r="E585" i="1"/>
  <c r="E738" i="1"/>
  <c r="E739" i="1"/>
  <c r="E740" i="1"/>
  <c r="E741" i="1"/>
  <c r="E742" i="1"/>
  <c r="E743" i="1"/>
  <c r="E744" i="1"/>
  <c r="E745" i="1"/>
  <c r="E746" i="1"/>
  <c r="E747" i="1"/>
  <c r="E936" i="1"/>
  <c r="E937" i="1"/>
  <c r="E938" i="1"/>
  <c r="E939" i="1"/>
  <c r="E940" i="1"/>
  <c r="E941" i="1"/>
  <c r="E942" i="1"/>
  <c r="E943" i="1"/>
  <c r="E944" i="1"/>
  <c r="E29" i="1"/>
  <c r="E30" i="1"/>
  <c r="E31" i="1"/>
  <c r="E32" i="1"/>
  <c r="E33" i="1"/>
  <c r="E34" i="1"/>
  <c r="E35" i="1"/>
  <c r="E36" i="1"/>
  <c r="E37" i="1"/>
  <c r="E155" i="1"/>
  <c r="E156" i="1"/>
  <c r="E157" i="1"/>
  <c r="E158" i="1"/>
  <c r="E159" i="1"/>
  <c r="E160" i="1"/>
  <c r="E161" i="1"/>
  <c r="E162" i="1"/>
  <c r="E163" i="1"/>
  <c r="E368" i="1"/>
  <c r="E369" i="1"/>
  <c r="E370" i="1"/>
  <c r="E371" i="1"/>
  <c r="E372" i="1"/>
  <c r="E373" i="1"/>
  <c r="E374" i="1"/>
  <c r="E375" i="1"/>
  <c r="E376" i="1"/>
  <c r="E377" i="1"/>
  <c r="E659" i="1"/>
  <c r="E660" i="1"/>
  <c r="E661" i="1"/>
  <c r="E662" i="1"/>
  <c r="E663" i="1"/>
  <c r="E664" i="1"/>
  <c r="E665" i="1"/>
  <c r="E666" i="1"/>
  <c r="E667" i="1"/>
  <c r="E824" i="1"/>
  <c r="E825" i="1"/>
  <c r="E826" i="1"/>
  <c r="E827" i="1"/>
  <c r="E828" i="1"/>
  <c r="E829" i="1"/>
  <c r="E830" i="1"/>
  <c r="E831" i="1"/>
  <c r="E832" i="1"/>
  <c r="E833" i="1"/>
  <c r="E329" i="1"/>
  <c r="E330" i="1"/>
  <c r="E331" i="1"/>
  <c r="E332" i="1"/>
  <c r="E333" i="1"/>
  <c r="E334" i="1"/>
  <c r="E335" i="1"/>
  <c r="E336" i="1"/>
  <c r="E337" i="1"/>
  <c r="E491" i="1"/>
  <c r="E492" i="1"/>
  <c r="E493" i="1"/>
  <c r="E494" i="1"/>
  <c r="E495" i="1"/>
  <c r="E496" i="1"/>
  <c r="E497" i="1"/>
  <c r="E498" i="1"/>
  <c r="E499" i="1"/>
  <c r="E631" i="1"/>
  <c r="E632" i="1"/>
  <c r="E633" i="1"/>
  <c r="E634" i="1"/>
  <c r="E635" i="1"/>
  <c r="E636" i="1"/>
  <c r="E637" i="1"/>
  <c r="E638" i="1"/>
  <c r="E639" i="1"/>
  <c r="E640" i="1"/>
  <c r="E748" i="1"/>
  <c r="E749" i="1"/>
  <c r="E750" i="1"/>
  <c r="E751" i="1"/>
  <c r="E752" i="1"/>
  <c r="E753" i="1"/>
  <c r="E754" i="1"/>
  <c r="E755" i="1"/>
  <c r="E756" i="1"/>
  <c r="E757" i="1"/>
  <c r="E891" i="1"/>
  <c r="E892" i="1"/>
  <c r="E893" i="1"/>
  <c r="E894" i="1"/>
  <c r="E895" i="1"/>
  <c r="E896" i="1"/>
  <c r="E897" i="1"/>
  <c r="E898" i="1"/>
  <c r="E899" i="1"/>
  <c r="E83" i="1"/>
  <c r="E84" i="1"/>
  <c r="E85" i="1"/>
  <c r="E86" i="1"/>
  <c r="E87" i="1"/>
  <c r="E88" i="1"/>
  <c r="E89" i="1"/>
  <c r="E90" i="1"/>
  <c r="E91" i="1"/>
  <c r="E227" i="1"/>
  <c r="E228" i="1"/>
  <c r="E229" i="1"/>
  <c r="E230" i="1"/>
  <c r="E231" i="1"/>
  <c r="E232" i="1"/>
  <c r="E233" i="1"/>
  <c r="E234" i="1"/>
  <c r="E235" i="1"/>
  <c r="E236" i="1"/>
  <c r="E348" i="1"/>
  <c r="E349" i="1"/>
  <c r="E350" i="1"/>
  <c r="E351" i="1"/>
  <c r="E352" i="1"/>
  <c r="E353" i="1"/>
  <c r="E354" i="1"/>
  <c r="E355" i="1"/>
  <c r="E356" i="1"/>
  <c r="E357" i="1"/>
  <c r="E708" i="1"/>
  <c r="E709" i="1"/>
  <c r="E710" i="1"/>
  <c r="E711" i="1"/>
  <c r="E712" i="1"/>
  <c r="E713" i="1"/>
  <c r="E714" i="1"/>
  <c r="E715" i="1"/>
  <c r="E716" i="1"/>
  <c r="E717" i="1"/>
  <c r="E918" i="1"/>
  <c r="E919" i="1"/>
  <c r="E920" i="1"/>
  <c r="E921" i="1"/>
  <c r="E922" i="1"/>
  <c r="E923" i="1"/>
  <c r="E924" i="1"/>
  <c r="E925" i="1"/>
  <c r="E926" i="1"/>
  <c r="E237" i="1"/>
  <c r="E238" i="1"/>
  <c r="E239" i="1"/>
  <c r="E240" i="1"/>
  <c r="E241" i="1"/>
  <c r="E242" i="1"/>
  <c r="E243" i="1"/>
  <c r="E244" i="1"/>
  <c r="E245" i="1"/>
  <c r="E246" i="1"/>
  <c r="E418" i="1"/>
  <c r="E419" i="1"/>
  <c r="E420" i="1"/>
  <c r="E421" i="1"/>
  <c r="E422" i="1"/>
  <c r="E423" i="1"/>
  <c r="E424" i="1"/>
  <c r="E425" i="1"/>
  <c r="E426" i="1"/>
  <c r="E530" i="1"/>
  <c r="E531" i="1"/>
  <c r="E532" i="1"/>
  <c r="E533" i="1"/>
  <c r="E534" i="1"/>
  <c r="E535" i="1"/>
  <c r="E536" i="1"/>
  <c r="E537" i="1"/>
  <c r="E538" i="1"/>
  <c r="E539" i="1"/>
  <c r="E688" i="1"/>
  <c r="E689" i="1"/>
  <c r="E690" i="1"/>
  <c r="E691" i="1"/>
  <c r="E692" i="1"/>
  <c r="E693" i="1"/>
  <c r="E694" i="1"/>
  <c r="E695" i="1"/>
  <c r="E696" i="1"/>
  <c r="E697" i="1"/>
  <c r="E804" i="1"/>
  <c r="E805" i="1"/>
  <c r="E806" i="1"/>
  <c r="E807" i="1"/>
  <c r="E808" i="1"/>
  <c r="E809" i="1"/>
  <c r="E810" i="1"/>
  <c r="E811" i="1"/>
  <c r="E812" i="1"/>
  <c r="E813" i="1"/>
  <c r="E128" i="1"/>
  <c r="E129" i="1"/>
  <c r="E130" i="1"/>
  <c r="E131" i="1"/>
  <c r="E132" i="1"/>
  <c r="E133" i="1"/>
  <c r="E134" i="1"/>
  <c r="E135" i="1"/>
  <c r="E136" i="1"/>
  <c r="E4" i="1"/>
  <c r="E112" i="1"/>
  <c r="E220" i="1"/>
  <c r="E322" i="1"/>
  <c r="E222" i="1"/>
  <c r="E223" i="1"/>
  <c r="E224" i="1"/>
  <c r="E225" i="1"/>
  <c r="E226" i="1"/>
  <c r="E464" i="1"/>
  <c r="E465" i="1"/>
  <c r="E466" i="1"/>
  <c r="E467" i="1"/>
  <c r="E468" i="1"/>
  <c r="E469" i="1"/>
  <c r="E470" i="1"/>
  <c r="E471" i="1"/>
  <c r="E472" i="1"/>
  <c r="E568" i="1"/>
  <c r="E569" i="1"/>
  <c r="E570" i="1"/>
  <c r="E571" i="1"/>
  <c r="E572" i="1"/>
  <c r="E573" i="1"/>
  <c r="E574" i="1"/>
  <c r="E575" i="1"/>
  <c r="E576" i="1"/>
  <c r="E900" i="1"/>
  <c r="E901" i="1"/>
  <c r="E902" i="1"/>
  <c r="E903" i="1"/>
  <c r="E904" i="1"/>
  <c r="E905" i="1"/>
  <c r="E906" i="1"/>
  <c r="E907" i="1"/>
  <c r="E908" i="1"/>
  <c r="E74" i="1"/>
  <c r="E75" i="1"/>
  <c r="E76" i="1"/>
  <c r="E77" i="1"/>
  <c r="E78" i="1"/>
  <c r="E79" i="1"/>
  <c r="E80" i="1"/>
  <c r="E81" i="1"/>
  <c r="E82" i="1"/>
  <c r="E257" i="1"/>
  <c r="E258" i="1"/>
  <c r="E259" i="1"/>
  <c r="E260" i="1"/>
  <c r="E261" i="1"/>
  <c r="E262" i="1"/>
  <c r="E263" i="1"/>
  <c r="E264" i="1"/>
  <c r="E265" i="1"/>
  <c r="E540" i="1"/>
  <c r="E541" i="1"/>
  <c r="E542" i="1"/>
  <c r="E543" i="1"/>
  <c r="E544" i="1"/>
  <c r="E545" i="1"/>
  <c r="E546" i="1"/>
  <c r="E547" i="1"/>
  <c r="E548" i="1"/>
  <c r="E549" i="1"/>
  <c r="E650" i="1"/>
  <c r="E651" i="1"/>
  <c r="E652" i="1"/>
  <c r="E653" i="1"/>
  <c r="E654" i="1"/>
  <c r="E655" i="1"/>
  <c r="E656" i="1"/>
  <c r="E657" i="1"/>
  <c r="E658" i="1"/>
  <c r="E767" i="1"/>
  <c r="E768" i="1"/>
  <c r="E769" i="1"/>
  <c r="E770" i="1"/>
  <c r="E771" i="1"/>
  <c r="E772" i="1"/>
  <c r="E773" i="1"/>
  <c r="E774" i="1"/>
  <c r="E775" i="1"/>
  <c r="E119" i="1"/>
  <c r="E120" i="1"/>
  <c r="E121" i="1"/>
  <c r="E122" i="1"/>
  <c r="E123" i="1"/>
  <c r="E124" i="1"/>
  <c r="E125" i="1"/>
  <c r="E126" i="1"/>
  <c r="E127" i="1"/>
  <c r="E284" i="1"/>
  <c r="E285" i="1"/>
  <c r="E286" i="1"/>
  <c r="E287" i="1"/>
  <c r="E288" i="1"/>
  <c r="E289" i="1"/>
  <c r="E290" i="1"/>
  <c r="E291" i="1"/>
  <c r="E292" i="1"/>
  <c r="E398" i="1"/>
  <c r="E399" i="1"/>
  <c r="E400" i="1"/>
  <c r="E401" i="1"/>
  <c r="E402" i="1"/>
  <c r="E403" i="1"/>
  <c r="E404" i="1"/>
  <c r="E405" i="1"/>
  <c r="E406" i="1"/>
  <c r="E407" i="1"/>
  <c r="E595" i="1"/>
  <c r="E596" i="1"/>
  <c r="E597" i="1"/>
  <c r="E598" i="1"/>
  <c r="E599" i="1"/>
  <c r="E600" i="1"/>
  <c r="E601" i="1"/>
  <c r="E602" i="1"/>
  <c r="E603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101" i="1"/>
  <c r="E102" i="1"/>
  <c r="E103" i="1"/>
  <c r="E104" i="1"/>
  <c r="E105" i="1"/>
  <c r="E106" i="1"/>
  <c r="E107" i="1"/>
  <c r="E108" i="1"/>
  <c r="E109" i="1"/>
  <c r="E186" i="1"/>
  <c r="E187" i="1"/>
  <c r="E188" i="1"/>
  <c r="E189" i="1"/>
  <c r="E190" i="1"/>
  <c r="E191" i="1"/>
  <c r="E192" i="1"/>
  <c r="E193" i="1"/>
  <c r="E194" i="1"/>
  <c r="E195" i="1"/>
  <c r="E196" i="1"/>
  <c r="E388" i="1"/>
  <c r="E389" i="1"/>
  <c r="E390" i="1"/>
  <c r="E391" i="1"/>
  <c r="E392" i="1"/>
  <c r="E393" i="1"/>
  <c r="E394" i="1"/>
  <c r="E395" i="1"/>
  <c r="E396" i="1"/>
  <c r="E397" i="1"/>
  <c r="E559" i="1"/>
  <c r="E560" i="1"/>
  <c r="E561" i="1"/>
  <c r="E562" i="1"/>
  <c r="E563" i="1"/>
  <c r="E564" i="1"/>
  <c r="E565" i="1"/>
  <c r="E566" i="1"/>
  <c r="E567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38" i="1"/>
  <c r="E39" i="1"/>
  <c r="E40" i="1"/>
  <c r="E41" i="1"/>
  <c r="E42" i="1"/>
  <c r="E43" i="1"/>
  <c r="E44" i="1"/>
  <c r="E45" i="1"/>
  <c r="E46" i="1"/>
  <c r="E293" i="1"/>
  <c r="E294" i="1"/>
  <c r="E295" i="1"/>
  <c r="E296" i="1"/>
  <c r="E297" i="1"/>
  <c r="E298" i="1"/>
  <c r="E299" i="1"/>
  <c r="E300" i="1"/>
  <c r="E301" i="1"/>
  <c r="E500" i="1"/>
  <c r="E501" i="1"/>
  <c r="E502" i="1"/>
  <c r="E503" i="1"/>
  <c r="E504" i="1"/>
  <c r="E505" i="1"/>
  <c r="E506" i="1"/>
  <c r="E507" i="1"/>
  <c r="E508" i="1"/>
  <c r="E509" i="1"/>
  <c r="E586" i="1"/>
  <c r="E587" i="1"/>
  <c r="E588" i="1"/>
  <c r="E589" i="1"/>
  <c r="E590" i="1"/>
  <c r="E591" i="1"/>
  <c r="E592" i="1"/>
  <c r="E593" i="1"/>
  <c r="E594" i="1"/>
  <c r="E776" i="1"/>
  <c r="E777" i="1"/>
  <c r="E778" i="1"/>
  <c r="E779" i="1"/>
  <c r="E780" i="1"/>
  <c r="E781" i="1"/>
  <c r="E782" i="1"/>
  <c r="E783" i="1"/>
  <c r="E784" i="1"/>
  <c r="E92" i="1"/>
  <c r="E93" i="1"/>
  <c r="E94" i="1"/>
  <c r="E95" i="1"/>
  <c r="E96" i="1"/>
  <c r="E97" i="1"/>
  <c r="E98" i="1"/>
  <c r="E99" i="1"/>
  <c r="E100" i="1"/>
  <c r="E164" i="1"/>
  <c r="E165" i="1"/>
  <c r="E166" i="1"/>
  <c r="E167" i="1"/>
  <c r="E168" i="1"/>
  <c r="E169" i="1"/>
  <c r="E170" i="1"/>
  <c r="E171" i="1"/>
  <c r="E172" i="1"/>
  <c r="E173" i="1"/>
  <c r="E174" i="1"/>
  <c r="E455" i="1"/>
  <c r="E456" i="1"/>
  <c r="E457" i="1"/>
  <c r="E458" i="1"/>
  <c r="E459" i="1"/>
  <c r="E460" i="1"/>
  <c r="E461" i="1"/>
  <c r="E462" i="1"/>
  <c r="E463" i="1"/>
  <c r="E641" i="1"/>
  <c r="E642" i="1"/>
  <c r="E643" i="1"/>
  <c r="E644" i="1"/>
  <c r="E645" i="1"/>
  <c r="E646" i="1"/>
  <c r="E647" i="1"/>
  <c r="E648" i="1"/>
  <c r="E649" i="1"/>
  <c r="E758" i="1"/>
  <c r="E759" i="1"/>
  <c r="E760" i="1"/>
  <c r="E761" i="1"/>
  <c r="E762" i="1"/>
  <c r="E763" i="1"/>
  <c r="E764" i="1"/>
  <c r="E765" i="1"/>
  <c r="E766" i="1"/>
  <c r="E11" i="1"/>
  <c r="E12" i="1"/>
  <c r="E13" i="1"/>
  <c r="E14" i="1"/>
  <c r="E15" i="1"/>
  <c r="E16" i="1"/>
  <c r="E17" i="1"/>
  <c r="E18" i="1"/>
  <c r="E19" i="1"/>
  <c r="E146" i="1"/>
  <c r="E147" i="1"/>
  <c r="E148" i="1"/>
  <c r="E149" i="1"/>
  <c r="E150" i="1"/>
  <c r="E151" i="1"/>
  <c r="E152" i="1"/>
  <c r="E153" i="1"/>
  <c r="E154" i="1"/>
  <c r="E520" i="1"/>
  <c r="E521" i="1"/>
  <c r="E522" i="1"/>
  <c r="E523" i="1"/>
  <c r="E524" i="1"/>
  <c r="E525" i="1"/>
  <c r="E526" i="1"/>
  <c r="E527" i="1"/>
  <c r="E528" i="1"/>
  <c r="E529" i="1"/>
  <c r="E604" i="1"/>
  <c r="E605" i="1"/>
  <c r="E606" i="1"/>
  <c r="E607" i="1"/>
  <c r="E608" i="1"/>
  <c r="E609" i="1"/>
  <c r="E610" i="1"/>
  <c r="E611" i="1"/>
  <c r="E612" i="1"/>
  <c r="E945" i="1"/>
  <c r="E946" i="1"/>
  <c r="E947" i="1"/>
  <c r="E948" i="1"/>
  <c r="E949" i="1"/>
  <c r="E950" i="1"/>
  <c r="E951" i="1"/>
  <c r="E952" i="1"/>
  <c r="E953" i="1"/>
  <c r="E311" i="1"/>
  <c r="E312" i="1"/>
  <c r="E313" i="1"/>
  <c r="E314" i="1"/>
  <c r="E315" i="1"/>
  <c r="E316" i="1"/>
  <c r="E317" i="1"/>
  <c r="E318" i="1"/>
  <c r="E319" i="1"/>
  <c r="E5" i="1"/>
  <c r="E113" i="1"/>
  <c r="E221" i="1"/>
  <c r="E323" i="1"/>
  <c r="E324" i="1"/>
  <c r="E325" i="1"/>
  <c r="E326" i="1"/>
  <c r="E327" i="1"/>
  <c r="E328" i="1"/>
  <c r="E358" i="1"/>
  <c r="E359" i="1"/>
  <c r="E360" i="1"/>
  <c r="E361" i="1"/>
  <c r="E362" i="1"/>
  <c r="E363" i="1"/>
  <c r="E364" i="1"/>
  <c r="E365" i="1"/>
  <c r="E366" i="1"/>
  <c r="E367" i="1"/>
  <c r="E678" i="1"/>
  <c r="E679" i="1"/>
  <c r="E680" i="1"/>
  <c r="E681" i="1"/>
  <c r="E682" i="1"/>
  <c r="E683" i="1"/>
  <c r="E684" i="1"/>
  <c r="E685" i="1"/>
  <c r="E686" i="1"/>
  <c r="E687" i="1"/>
  <c r="E927" i="1"/>
  <c r="E928" i="1"/>
  <c r="E929" i="1"/>
  <c r="E930" i="1"/>
  <c r="E931" i="1"/>
  <c r="E932" i="1"/>
  <c r="E933" i="1"/>
  <c r="E934" i="1"/>
  <c r="E935" i="1"/>
  <c r="E2" i="1"/>
  <c r="E110" i="1"/>
  <c r="E218" i="1"/>
  <c r="E320" i="1"/>
  <c r="E6" i="1"/>
  <c r="E7" i="1"/>
  <c r="E8" i="1"/>
  <c r="E9" i="1"/>
  <c r="E10" i="1"/>
  <c r="E247" i="1"/>
  <c r="E248" i="1"/>
  <c r="E249" i="1"/>
  <c r="E250" i="1"/>
  <c r="E251" i="1"/>
  <c r="E252" i="1"/>
  <c r="E253" i="1"/>
  <c r="E254" i="1"/>
  <c r="E255" i="1"/>
  <c r="E256" i="1"/>
  <c r="E437" i="1"/>
  <c r="E438" i="1"/>
  <c r="E439" i="1"/>
  <c r="E440" i="1"/>
  <c r="E441" i="1"/>
  <c r="E442" i="1"/>
  <c r="E443" i="1"/>
  <c r="E444" i="1"/>
  <c r="E445" i="1"/>
  <c r="E718" i="1"/>
  <c r="E719" i="1"/>
  <c r="E720" i="1"/>
  <c r="E721" i="1"/>
  <c r="E722" i="1"/>
  <c r="E723" i="1"/>
  <c r="E724" i="1"/>
  <c r="E725" i="1"/>
  <c r="E726" i="1"/>
  <c r="E727" i="1"/>
  <c r="E794" i="1"/>
  <c r="E795" i="1"/>
  <c r="E796" i="1"/>
  <c r="E797" i="1"/>
  <c r="E798" i="1"/>
  <c r="E799" i="1"/>
  <c r="E800" i="1"/>
  <c r="E801" i="1"/>
  <c r="E802" i="1"/>
  <c r="E803" i="1"/>
  <c r="E20" i="1"/>
  <c r="E21" i="1"/>
  <c r="E22" i="1"/>
  <c r="E23" i="1"/>
  <c r="E24" i="1"/>
  <c r="E25" i="1"/>
  <c r="E26" i="1"/>
  <c r="E27" i="1"/>
  <c r="E28" i="1"/>
  <c r="E65" i="1"/>
  <c r="E66" i="1"/>
  <c r="E67" i="1"/>
  <c r="E68" i="1"/>
  <c r="E69" i="1"/>
  <c r="E70" i="1"/>
  <c r="E71" i="1"/>
  <c r="E72" i="1"/>
  <c r="E73" i="1"/>
  <c r="E137" i="1"/>
  <c r="E138" i="1"/>
  <c r="E139" i="1"/>
  <c r="E140" i="1"/>
  <c r="E141" i="1"/>
  <c r="E142" i="1"/>
  <c r="E143" i="1"/>
  <c r="E144" i="1"/>
  <c r="E145" i="1"/>
  <c r="E408" i="1"/>
  <c r="E409" i="1"/>
  <c r="E410" i="1"/>
  <c r="E411" i="1"/>
  <c r="E412" i="1"/>
  <c r="E413" i="1"/>
  <c r="E414" i="1"/>
  <c r="E415" i="1"/>
  <c r="E416" i="1"/>
  <c r="E417" i="1"/>
  <c r="E728" i="1"/>
  <c r="E729" i="1"/>
  <c r="E730" i="1"/>
  <c r="E731" i="1"/>
  <c r="E732" i="1"/>
  <c r="E733" i="1"/>
  <c r="E734" i="1"/>
  <c r="E735" i="1"/>
  <c r="E736" i="1"/>
  <c r="E737" i="1"/>
  <c r="E56" i="1"/>
  <c r="E57" i="1"/>
  <c r="E58" i="1"/>
  <c r="E59" i="1"/>
  <c r="E60" i="1"/>
  <c r="E61" i="1"/>
  <c r="E62" i="1"/>
  <c r="E63" i="1"/>
  <c r="E64" i="1"/>
  <c r="E275" i="1"/>
  <c r="E276" i="1"/>
  <c r="E277" i="1"/>
  <c r="E278" i="1"/>
  <c r="E279" i="1"/>
  <c r="E280" i="1"/>
  <c r="E281" i="1"/>
  <c r="E282" i="1"/>
  <c r="E283" i="1"/>
  <c r="E338" i="1"/>
  <c r="E339" i="1"/>
  <c r="E340" i="1"/>
  <c r="E341" i="1"/>
  <c r="E342" i="1"/>
  <c r="E343" i="1"/>
  <c r="E344" i="1"/>
  <c r="E345" i="1"/>
  <c r="E346" i="1"/>
  <c r="E347" i="1"/>
  <c r="E613" i="1"/>
  <c r="E614" i="1"/>
  <c r="E615" i="1"/>
  <c r="E616" i="1"/>
  <c r="E617" i="1"/>
  <c r="E618" i="1"/>
  <c r="E619" i="1"/>
  <c r="E620" i="1"/>
  <c r="E621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47" i="1"/>
  <c r="E48" i="1"/>
  <c r="E49" i="1"/>
  <c r="E50" i="1"/>
  <c r="E51" i="1"/>
  <c r="E52" i="1"/>
  <c r="E53" i="1"/>
  <c r="E54" i="1"/>
  <c r="E55" i="1"/>
  <c r="E197" i="1"/>
  <c r="E198" i="1"/>
  <c r="E199" i="1"/>
  <c r="E200" i="1"/>
  <c r="E201" i="1"/>
  <c r="E202" i="1"/>
  <c r="E203" i="1"/>
  <c r="E204" i="1"/>
  <c r="E205" i="1"/>
  <c r="E206" i="1"/>
  <c r="E207" i="1"/>
  <c r="E473" i="1"/>
  <c r="E474" i="1"/>
  <c r="E475" i="1"/>
  <c r="E476" i="1"/>
  <c r="E477" i="1"/>
  <c r="E478" i="1"/>
  <c r="E479" i="1"/>
  <c r="E480" i="1"/>
  <c r="E481" i="1"/>
  <c r="E668" i="1"/>
  <c r="E669" i="1"/>
  <c r="E670" i="1"/>
  <c r="E671" i="1"/>
  <c r="E672" i="1"/>
  <c r="E673" i="1"/>
  <c r="E674" i="1"/>
  <c r="E675" i="1"/>
  <c r="E676" i="1"/>
  <c r="E677" i="1"/>
  <c r="E909" i="1"/>
  <c r="E910" i="1"/>
  <c r="E911" i="1"/>
  <c r="E912" i="1"/>
  <c r="E913" i="1"/>
  <c r="E914" i="1"/>
  <c r="E915" i="1"/>
  <c r="E916" i="1"/>
  <c r="E917" i="1"/>
  <c r="E302" i="1"/>
  <c r="E303" i="1"/>
  <c r="E304" i="1"/>
  <c r="E305" i="1"/>
  <c r="E306" i="1"/>
  <c r="E307" i="1"/>
  <c r="E308" i="1"/>
  <c r="E309" i="1"/>
  <c r="E310" i="1"/>
  <c r="E427" i="1"/>
  <c r="E428" i="1"/>
  <c r="E429" i="1"/>
  <c r="E430" i="1"/>
  <c r="E431" i="1"/>
  <c r="E432" i="1"/>
  <c r="E433" i="1"/>
  <c r="E434" i="1"/>
  <c r="E435" i="1"/>
  <c r="E436" i="1"/>
  <c r="E446" i="1"/>
  <c r="E447" i="1"/>
  <c r="E448" i="1"/>
  <c r="E449" i="1"/>
  <c r="E450" i="1"/>
  <c r="E451" i="1"/>
  <c r="E452" i="1"/>
  <c r="E453" i="1"/>
  <c r="E454" i="1"/>
  <c r="E698" i="1"/>
  <c r="E699" i="1"/>
  <c r="E700" i="1"/>
  <c r="E701" i="1"/>
  <c r="E702" i="1"/>
  <c r="E703" i="1"/>
  <c r="E704" i="1"/>
  <c r="E705" i="1"/>
  <c r="E706" i="1"/>
  <c r="E707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175" i="1"/>
</calcChain>
</file>

<file path=xl/sharedStrings.xml><?xml version="1.0" encoding="utf-8"?>
<sst xmlns="http://schemas.openxmlformats.org/spreadsheetml/2006/main" count="4529" uniqueCount="706">
  <si>
    <t>unit</t>
  </si>
  <si>
    <t>timestamp</t>
  </si>
  <si>
    <t>sensor</t>
  </si>
  <si>
    <t>g_alias</t>
  </si>
  <si>
    <t>Canopy Light Penetration Depth mm</t>
  </si>
  <si>
    <t>Convex Hull Area Coverage %</t>
  </si>
  <si>
    <t>Convex Hull Aspect Ratio %</t>
  </si>
  <si>
    <t>Convex Hull Circumference mm</t>
  </si>
  <si>
    <t>Convex Hull Maximum Width mm</t>
  </si>
  <si>
    <t xml:space="preserve">GLI Average </t>
  </si>
  <si>
    <t>GLI [-1:-0.2] %</t>
  </si>
  <si>
    <t>GLI [-0.2:0] %</t>
  </si>
  <si>
    <t>GLI [0:0.15] %</t>
  </si>
  <si>
    <t>GLI [0.15:0.3] %</t>
  </si>
  <si>
    <t>GLI [0.3:0.6] %</t>
  </si>
  <si>
    <t>GLI [0.6:1] %</t>
  </si>
  <si>
    <t>Hue Average Â°</t>
  </si>
  <si>
    <t>Hue [0:25] %</t>
  </si>
  <si>
    <t>Hue [25:50] %</t>
  </si>
  <si>
    <t>Hue [50:75] %</t>
  </si>
  <si>
    <t>Hue [75:100] %</t>
  </si>
  <si>
    <t>Hue [100:125] %</t>
  </si>
  <si>
    <t>Hue [125:360] %</t>
  </si>
  <si>
    <t>Leaf inclination mmÂ²/mmÂ²</t>
  </si>
  <si>
    <t>Lightness Average %</t>
  </si>
  <si>
    <t>Lightness [0:0] %</t>
  </si>
  <si>
    <t>Lightness [0:25] %</t>
  </si>
  <si>
    <t>Lightness [25:50] %</t>
  </si>
  <si>
    <t>Lightness [50:75] %</t>
  </si>
  <si>
    <t>Lightness [75:100] %</t>
  </si>
  <si>
    <t>Lightness [100:100] %</t>
  </si>
  <si>
    <t xml:space="preserve">NDVI Average </t>
  </si>
  <si>
    <t>NDVI [-1:0] %</t>
  </si>
  <si>
    <t>NDVI [0:0.15] %</t>
  </si>
  <si>
    <t>NDVI [0.15:0.3] %</t>
  </si>
  <si>
    <t>NDVI [0.3:0.45] %</t>
  </si>
  <si>
    <t>NDVI [0.45:0.6] %</t>
  </si>
  <si>
    <t>NDVI [0.6:1] %</t>
  </si>
  <si>
    <t xml:space="preserve">NPCI Average </t>
  </si>
  <si>
    <t>NPCI [-1:-0.2] %</t>
  </si>
  <si>
    <t>NPCI [-0.2:0] %</t>
  </si>
  <si>
    <t>NPCI [0:0.2] %</t>
  </si>
  <si>
    <t>NPCI [0.2:0.4] %</t>
  </si>
  <si>
    <t>NPCI [0.4:0.6] %</t>
  </si>
  <si>
    <t>NPCI [0.6:1] %</t>
  </si>
  <si>
    <t>Plant Height Averaged mm</t>
  </si>
  <si>
    <t>Plant Height Max mm</t>
  </si>
  <si>
    <t>Projected Leaf Area mmÂ²</t>
  </si>
  <si>
    <t xml:space="preserve">PSRI Average </t>
  </si>
  <si>
    <t>PSRI [-4:-0.8] %</t>
  </si>
  <si>
    <t>PSRI [-0.8:-0.4] %</t>
  </si>
  <si>
    <t>PSRI [-0.4:-0.2] %</t>
  </si>
  <si>
    <t>PSRI [-0.2:0] %</t>
  </si>
  <si>
    <t>PSRI [0:0.2] %</t>
  </si>
  <si>
    <t>PSRI [0.2:4] %</t>
  </si>
  <si>
    <t>Saturation Average %</t>
  </si>
  <si>
    <t>Saturation [0:0] %</t>
  </si>
  <si>
    <t>Saturation [0:25] %</t>
  </si>
  <si>
    <t>Saturation [25:50] %</t>
  </si>
  <si>
    <t>Saturation [50:75] %</t>
  </si>
  <si>
    <t>Saturation [75:100] %</t>
  </si>
  <si>
    <t>Saturation [100:100] %</t>
  </si>
  <si>
    <t>G5</t>
  </si>
  <si>
    <t>G10</t>
  </si>
  <si>
    <t>G16</t>
  </si>
  <si>
    <t>G4</t>
  </si>
  <si>
    <t>G9</t>
  </si>
  <si>
    <t>G15</t>
  </si>
  <si>
    <t>G13</t>
  </si>
  <si>
    <t>G11</t>
  </si>
  <si>
    <t>G1</t>
  </si>
  <si>
    <t>G3</t>
  </si>
  <si>
    <t>G12</t>
  </si>
  <si>
    <t>G2</t>
  </si>
  <si>
    <t>G8</t>
  </si>
  <si>
    <t>G7</t>
  </si>
  <si>
    <t>G6</t>
  </si>
  <si>
    <t>G17</t>
  </si>
  <si>
    <t>G14</t>
  </si>
  <si>
    <t>G20</t>
  </si>
  <si>
    <t>G19</t>
  </si>
  <si>
    <t>G18</t>
  </si>
  <si>
    <t>2.1513e-05</t>
  </si>
  <si>
    <t>3D Leaf Area mm^2</t>
  </si>
  <si>
    <t>Convex Hull Area mm^2</t>
  </si>
  <si>
    <t>Digital Biomass mm^3</t>
  </si>
  <si>
    <t>Surface Angle Average</t>
  </si>
  <si>
    <t>Voxel Volume Total mm^3</t>
  </si>
  <si>
    <t>Plant ID</t>
  </si>
  <si>
    <t>ENTRY</t>
  </si>
  <si>
    <t>GENOTYPE</t>
  </si>
  <si>
    <t>Pernilla</t>
  </si>
  <si>
    <t>Tyra</t>
  </si>
  <si>
    <t>Kinnan</t>
  </si>
  <si>
    <t>Sunnita</t>
  </si>
  <si>
    <t>Olve</t>
  </si>
  <si>
    <t>Helium</t>
  </si>
  <si>
    <t>Thermus</t>
  </si>
  <si>
    <t>Arild</t>
  </si>
  <si>
    <t>Annika</t>
  </si>
  <si>
    <t>Ismena</t>
  </si>
  <si>
    <t>Bamse</t>
  </si>
  <si>
    <t>Tore</t>
  </si>
  <si>
    <t>Arve</t>
  </si>
  <si>
    <t>Thule</t>
  </si>
  <si>
    <t>Edel</t>
  </si>
  <si>
    <t>Tiril</t>
  </si>
  <si>
    <t>Heder</t>
  </si>
  <si>
    <t>Brage</t>
  </si>
  <si>
    <t>Rodhette</t>
  </si>
  <si>
    <t>Bredo</t>
  </si>
  <si>
    <t>http://aims.fao.org/aos/agrovoc/c_3662</t>
  </si>
  <si>
    <t>: vocabulary:Variety</t>
  </si>
  <si>
    <t>TraitFinder</t>
  </si>
  <si>
    <t>25-PheNO-PB_16</t>
  </si>
  <si>
    <t>25-PheNO-PB_15</t>
  </si>
  <si>
    <t>25-PheNO-PB_14</t>
  </si>
  <si>
    <t>25-PheNO-PB_13</t>
  </si>
  <si>
    <t>25-PheNO-PB_17</t>
  </si>
  <si>
    <t>25-PheNO-PB_20</t>
  </si>
  <si>
    <t>25-PheNO-PB_19</t>
  </si>
  <si>
    <t>25-PheNO-PB_18</t>
  </si>
  <si>
    <t>25-PheNO-PB_9</t>
  </si>
  <si>
    <t>25-PheNO-PB_11</t>
  </si>
  <si>
    <t>25-PheNO-PB_12</t>
  </si>
  <si>
    <t>25-PheNO-PB_10</t>
  </si>
  <si>
    <t>25-PheNO-PB_8</t>
  </si>
  <si>
    <t>25-PheNO-PB_7</t>
  </si>
  <si>
    <t>25-PheNO-PB_6</t>
  </si>
  <si>
    <t>25-PheNO-PB_5</t>
  </si>
  <si>
    <t>25-PheNO-PB_2</t>
  </si>
  <si>
    <t>25-PheNO-PB_3</t>
  </si>
  <si>
    <t>25-PheNO-PB_4</t>
  </si>
  <si>
    <t>25-PheNO-PB_1</t>
  </si>
  <si>
    <t>25-PheNO-PB_24</t>
  </si>
  <si>
    <t>25-PheNO-PB_21</t>
  </si>
  <si>
    <t>25-PheNO-PB_23</t>
  </si>
  <si>
    <t>25-PheNO-PB_22</t>
  </si>
  <si>
    <t>25-PheNO-PB_26</t>
  </si>
  <si>
    <t>25-PheNO-PB_27</t>
  </si>
  <si>
    <t>25-PheNO-PB_25</t>
  </si>
  <si>
    <t>25-PheNO-PB_28</t>
  </si>
  <si>
    <t>25-PheNO-PB_29</t>
  </si>
  <si>
    <t>25-PheNO-PB_30</t>
  </si>
  <si>
    <t>25-PheNO-PB_31</t>
  </si>
  <si>
    <t>25-PheNO-PB_32</t>
  </si>
  <si>
    <t>25-PheNO-PB_34</t>
  </si>
  <si>
    <t>25-PheNO-PB_33</t>
  </si>
  <si>
    <t>25-PheNO-PB_36</t>
  </si>
  <si>
    <t>25-PheNO-PB_35</t>
  </si>
  <si>
    <t>25-PheNO-PB_40</t>
  </si>
  <si>
    <t>25-PheNO-PB_37</t>
  </si>
  <si>
    <t>25-PheNO-PB_39</t>
  </si>
  <si>
    <t>25-PheNO-PB_38</t>
  </si>
  <si>
    <t>25-PheNO-PB_44</t>
  </si>
  <si>
    <t>25-PheNO-PB_42</t>
  </si>
  <si>
    <t>25-PheNO-PB_43</t>
  </si>
  <si>
    <t>25-PheNO-PB_41</t>
  </si>
  <si>
    <t>25-PheNO-PB_45</t>
  </si>
  <si>
    <t>25-PheNO-PB_47</t>
  </si>
  <si>
    <t>25-PheNO-PB_46</t>
  </si>
  <si>
    <t>25-PheNO-PB_48</t>
  </si>
  <si>
    <t>25-PheNO-PB_49</t>
  </si>
  <si>
    <t>25-PheNO-PB_52</t>
  </si>
  <si>
    <t>25-PheNO-PB_50</t>
  </si>
  <si>
    <t>25-PheNO-PB_51</t>
  </si>
  <si>
    <t>25-PheNO-PB_55</t>
  </si>
  <si>
    <t>25-PheNO-PB_56</t>
  </si>
  <si>
    <t>25-PheNO-PB_53</t>
  </si>
  <si>
    <t>25-PheNO-PB_54</t>
  </si>
  <si>
    <t>25-PheNO-PB_58</t>
  </si>
  <si>
    <t>25-PheNO-PB_60</t>
  </si>
  <si>
    <t>25-PheNO-PB_57</t>
  </si>
  <si>
    <t>25-PheNO-PB_59</t>
  </si>
  <si>
    <t>25-PheNO-PB_61</t>
  </si>
  <si>
    <t>25-PheNO-PB_64</t>
  </si>
  <si>
    <t>25-PheNO-PB_63</t>
  </si>
  <si>
    <t>25-PheNO-PB_62</t>
  </si>
  <si>
    <t>25-PheNO-PB_66</t>
  </si>
  <si>
    <t>25-PheNO-PB_65</t>
  </si>
  <si>
    <t>25-PheNO-PB_67</t>
  </si>
  <si>
    <t>25-PheNO-PB_68</t>
  </si>
  <si>
    <t>25-PheNO-PB_69</t>
  </si>
  <si>
    <t>25-PheNO-PB_72</t>
  </si>
  <si>
    <t>25-PheNO-PB_71</t>
  </si>
  <si>
    <t>25-PheNO-PB_70</t>
  </si>
  <si>
    <t>25-PheNO-PB_75</t>
  </si>
  <si>
    <t>25-PheNO-PB_74</t>
  </si>
  <si>
    <t>25-PheNO-PB_73</t>
  </si>
  <si>
    <t>25-PheNO-PB_76</t>
  </si>
  <si>
    <t>25-PheNO-PB_80</t>
  </si>
  <si>
    <t>25-PheNO-PB_77</t>
  </si>
  <si>
    <t>25-PheNO-PB_78</t>
  </si>
  <si>
    <t>25-PheNO-PB_79</t>
  </si>
  <si>
    <t>25-PheNO-PB_84</t>
  </si>
  <si>
    <t>25-PheNO-PB_82</t>
  </si>
  <si>
    <t>25-PheNO-PB_83</t>
  </si>
  <si>
    <t>25-PheNO-PB_81</t>
  </si>
  <si>
    <t>25-PheNO-PB_87</t>
  </si>
  <si>
    <t>25-PheNO-PB_88</t>
  </si>
  <si>
    <t>25-PheNO-PB_86</t>
  </si>
  <si>
    <t>25-PheNO-PB_85</t>
  </si>
  <si>
    <t>25-PheNO-PB_92</t>
  </si>
  <si>
    <t>25-PheNO-PB_90</t>
  </si>
  <si>
    <t>25-PheNO-PB_91</t>
  </si>
  <si>
    <t>25-PheNO-PB_89</t>
  </si>
  <si>
    <t>25-PheNO-PB_93</t>
  </si>
  <si>
    <t>25-PheNO-PB_96</t>
  </si>
  <si>
    <t>25-PheNO-PB_94</t>
  </si>
  <si>
    <t>25-PheNO-PB_95</t>
  </si>
  <si>
    <t>25-PheNO-PB_98</t>
  </si>
  <si>
    <t>25-PheNO-PB_99</t>
  </si>
  <si>
    <t>25-PheNO-PB_97</t>
  </si>
  <si>
    <t>25-PheNO-PB_100</t>
  </si>
  <si>
    <t>Germplasm</t>
  </si>
  <si>
    <t>31_20251112T120737_full.ply</t>
  </si>
  <si>
    <t>31_20251127T112316_full.ply</t>
  </si>
  <si>
    <t>31_20251203T114410_full.ply</t>
  </si>
  <si>
    <t>31_20251211T125346_full.ply</t>
  </si>
  <si>
    <t>31_20251222T131131_full.ply</t>
  </si>
  <si>
    <t>31_20260102T115547_full.ply</t>
  </si>
  <si>
    <t>32_20251022T111759_full.ply</t>
  </si>
  <si>
    <t>32_20251029T111623_full.ply</t>
  </si>
  <si>
    <t>32_20251105T123625_full.ply</t>
  </si>
  <si>
    <t>32_20251112T120451_full.ply</t>
  </si>
  <si>
    <t>32_20251127T112829_full.ply</t>
  </si>
  <si>
    <t>32_20251203T114557_full.ply</t>
  </si>
  <si>
    <t>32_20251203T114640_full.ply</t>
  </si>
  <si>
    <t>32_20251211T125202_full.ply</t>
  </si>
  <si>
    <t>32_20251222T131312_full.ply</t>
  </si>
  <si>
    <t>32_20260102T115805_full.ply</t>
  </si>
  <si>
    <t>33_20251022T111457_full.ply</t>
  </si>
  <si>
    <t>33_20251029T111836_full.ply</t>
  </si>
  <si>
    <t>33_20251105T123904_full.ply</t>
  </si>
  <si>
    <t>33_20251112T121010_full.ply</t>
  </si>
  <si>
    <t>33_20251127T114009_full.ply</t>
  </si>
  <si>
    <t>33_20251203T114931_full.ply</t>
  </si>
  <si>
    <t>33_20251211T125550_full.ply</t>
  </si>
  <si>
    <t>33_20251222T131510_full.ply</t>
  </si>
  <si>
    <t>33_20260102T120034_full.ply</t>
  </si>
  <si>
    <t>34_20251022T105451_full.ply</t>
  </si>
  <si>
    <t>34_20251029T112111_full.ply</t>
  </si>
  <si>
    <t>34_20251105T124138_full.ply</t>
  </si>
  <si>
    <t>34_20251112T121236_full.ply</t>
  </si>
  <si>
    <t>34_20251127T114314_full.ply</t>
  </si>
  <si>
    <t>34_20251203T115123_full.ply</t>
  </si>
  <si>
    <t>34_20251211T125719_full.ply</t>
  </si>
  <si>
    <t>34_20251222T131703_full.ply</t>
  </si>
  <si>
    <t>34_20260102T120328_full.ply</t>
  </si>
  <si>
    <t>35_20251022T111159_full.ply</t>
  </si>
  <si>
    <t>35_20251029T112417_full.ply</t>
  </si>
  <si>
    <t>35_20251105T124354_full.ply</t>
  </si>
  <si>
    <t>35_20251112T121430_full.ply</t>
  </si>
  <si>
    <t>35_20251127T114733_full.ply</t>
  </si>
  <si>
    <t>35_20251203T115312_full.ply</t>
  </si>
  <si>
    <t>35_20251211T125855_full.ply</t>
  </si>
  <si>
    <t>35_20251222T131943_full.ply</t>
  </si>
  <si>
    <t>35_20260102T120510_full.ply</t>
  </si>
  <si>
    <t>36_20251022T112320_full.ply</t>
  </si>
  <si>
    <t>36_20251029T113010_full.ply</t>
  </si>
  <si>
    <t>36_20251105T122255_full.ply</t>
  </si>
  <si>
    <t>36_20251112T121746_full.ply</t>
  </si>
  <si>
    <t>36_20251127T115421_full.ply</t>
  </si>
  <si>
    <t>36_20251203T121048_full.ply</t>
  </si>
  <si>
    <t>36_20251211T123701_full.ply</t>
  </si>
  <si>
    <t>36_20251222T132958_full.ply</t>
  </si>
  <si>
    <t>36_20260102T114322_full.ply</t>
  </si>
  <si>
    <t>37_20251022T112558_full.ply</t>
  </si>
  <si>
    <t>37_20251022T112647_full.ply</t>
  </si>
  <si>
    <t>37_20251022T112742_full.ply</t>
  </si>
  <si>
    <t>37_20251029T113229_full.ply</t>
  </si>
  <si>
    <t>37_20251105T122017_full.ply</t>
  </si>
  <si>
    <t>37_20251112T121922_full.ply</t>
  </si>
  <si>
    <t>37_20251127T115816_full.ply</t>
  </si>
  <si>
    <t>37_20251203T121240_full.ply</t>
  </si>
  <si>
    <t>37_20251211T123855_full.ply</t>
  </si>
  <si>
    <t>37_20251222T133212_full.ply</t>
  </si>
  <si>
    <t>37_20260102T114531_full.ply</t>
  </si>
  <si>
    <t>38_20251022T112936_full.ply</t>
  </si>
  <si>
    <t>38_20251029T113441_full.ply</t>
  </si>
  <si>
    <t>38_20251105T121816_full.ply</t>
  </si>
  <si>
    <t>38_20251112T122102_full.ply</t>
  </si>
  <si>
    <t>38_20251127T120343_full.ply</t>
  </si>
  <si>
    <t>38_20251203T121421_full.ply</t>
  </si>
  <si>
    <t>38_20251203T121506_full.ply</t>
  </si>
  <si>
    <t>38_20251211T124044_full.ply</t>
  </si>
  <si>
    <t>38_20251222T133504_full.ply</t>
  </si>
  <si>
    <t>38_20260102T114737_full.ply</t>
  </si>
  <si>
    <t>39_20251022T113106_full.ply</t>
  </si>
  <si>
    <t>39_20251029T113653_full.ply</t>
  </si>
  <si>
    <t>39_20251105T121547_full.ply</t>
  </si>
  <si>
    <t>39_20251112T122304_full.ply</t>
  </si>
  <si>
    <t>39_20251127T120728_full.ply</t>
  </si>
  <si>
    <t>39_20251203T121712_full.ply</t>
  </si>
  <si>
    <t>39_20251211T124502_full.ply</t>
  </si>
  <si>
    <t>39_20251222T133852_full.ply</t>
  </si>
  <si>
    <t>39_20260102T114939_full.ply</t>
  </si>
  <si>
    <t>40_20251022T113219_full.ply</t>
  </si>
  <si>
    <t>40_20251029T113919_full.ply</t>
  </si>
  <si>
    <t>40_20251105T121326_full.ply</t>
  </si>
  <si>
    <t>40_20251112T122517_full.ply</t>
  </si>
  <si>
    <t>40_20251127T121235_full.ply</t>
  </si>
  <si>
    <t>40_20251203T122012_full.ply</t>
  </si>
  <si>
    <t>40_20251211T124730_full.ply</t>
  </si>
  <si>
    <t>40_20251222T134325_full.ply</t>
  </si>
  <si>
    <t>40_20260102T115219_full.ply</t>
  </si>
  <si>
    <t>41_20251022T113524_full.ply</t>
  </si>
  <si>
    <t>41_20251029T114517_full.ply</t>
  </si>
  <si>
    <t>41_20251105T120827_full.ply</t>
  </si>
  <si>
    <t>41_20251112T122802_full.ply</t>
  </si>
  <si>
    <t>41_20251127T121912_full.ply</t>
  </si>
  <si>
    <t>41_20251127T121955_full.ply</t>
  </si>
  <si>
    <t>41_20251203T123641_full.ply</t>
  </si>
  <si>
    <t>41_20251211T122454_full.ply</t>
  </si>
  <si>
    <t>41_20251222T125908_full.ply</t>
  </si>
  <si>
    <t>41_20260102T112951_full.ply</t>
  </si>
  <si>
    <t>42_20251022T113800_full.ply</t>
  </si>
  <si>
    <t>42_20251029T114749_full.ply</t>
  </si>
  <si>
    <t>42_20251105T120619_full.ply</t>
  </si>
  <si>
    <t>42_20251112T122958_full.ply</t>
  </si>
  <si>
    <t>42_20251127T122225_full.ply</t>
  </si>
  <si>
    <t>42_20251203T123808_full.ply</t>
  </si>
  <si>
    <t>42_20251211T122701_full.ply</t>
  </si>
  <si>
    <t>42_20251222T130039_full.ply</t>
  </si>
  <si>
    <t>42_20260102T113137_full.ply</t>
  </si>
  <si>
    <t>42_20260102T113231_full.ply</t>
  </si>
  <si>
    <t>43_20251022T113940_full.ply</t>
  </si>
  <si>
    <t>43_20251029T115008_full.ply</t>
  </si>
  <si>
    <t>43_20251105T120356_full.ply</t>
  </si>
  <si>
    <t>43_20251112T123124_full.ply</t>
  </si>
  <si>
    <t>43_20251127T122616_full.ply</t>
  </si>
  <si>
    <t>43_20251203T124000_full.ply</t>
  </si>
  <si>
    <t>43_20251211T122844_full.ply</t>
  </si>
  <si>
    <t>43_20251222T130336_full.ply</t>
  </si>
  <si>
    <t>43_20260102T113436_full.ply</t>
  </si>
  <si>
    <t>44_20251022T114226_full.ply</t>
  </si>
  <si>
    <t>44_20251029T115307_full.ply</t>
  </si>
  <si>
    <t>44_20251105T120204_full.ply</t>
  </si>
  <si>
    <t>44_20251112T123306_full.ply</t>
  </si>
  <si>
    <t>44_20251127T123005_full.ply</t>
  </si>
  <si>
    <t>44_20251203T124338_full.ply</t>
  </si>
  <si>
    <t>44_20251211T123054_full.ply</t>
  </si>
  <si>
    <t>44_20251222T130601_full.ply</t>
  </si>
  <si>
    <t>44_20260102T113644_full.ply</t>
  </si>
  <si>
    <t>45_20251022T114405_full.ply</t>
  </si>
  <si>
    <t>45_20251029T115517_full.ply</t>
  </si>
  <si>
    <t>45_20251105T115932_full.ply</t>
  </si>
  <si>
    <t>45_20251112T123513_full.ply</t>
  </si>
  <si>
    <t>45_20251127T123336_full.ply</t>
  </si>
  <si>
    <t>45_20251203T124546_full.ply</t>
  </si>
  <si>
    <t>45_20251211T123218_full.ply</t>
  </si>
  <si>
    <t>45_20251222T130741_full.ply</t>
  </si>
  <si>
    <t>45_20251222T130835_full.ply</t>
  </si>
  <si>
    <t>45_20260102T113833_full.ply</t>
  </si>
  <si>
    <t>46_20251022T114741_full.ply</t>
  </si>
  <si>
    <t>46_20251029T115905_full.ply</t>
  </si>
  <si>
    <t>46_20251105T115540_full.ply</t>
  </si>
  <si>
    <t>46_20251112T123746_full.ply</t>
  </si>
  <si>
    <t>46_20251127T124631_full.ply</t>
  </si>
  <si>
    <t>46_20251203T122333_full.ply</t>
  </si>
  <si>
    <t>46_20251211T130234_full.ply</t>
  </si>
  <si>
    <t>46_20251222T122941_full.ply</t>
  </si>
  <si>
    <t>46_20260102T122757_full.ply</t>
  </si>
  <si>
    <t>47_20251022T114932_full.ply</t>
  </si>
  <si>
    <t>47_20251029T120112_full.ply</t>
  </si>
  <si>
    <t>47_20251105T115334_full.ply</t>
  </si>
  <si>
    <t>47_20251112T123918_full.ply</t>
  </si>
  <si>
    <t>47_20251127T125051_full.ply</t>
  </si>
  <si>
    <t>47_20251203T122557_full.ply</t>
  </si>
  <si>
    <t>47_20251211T130501_full.ply</t>
  </si>
  <si>
    <t>47_20251222T123256_full.ply</t>
  </si>
  <si>
    <t>47_20260102T122946_full.ply</t>
  </si>
  <si>
    <t>48_20251022T115135_full.ply</t>
  </si>
  <si>
    <t>48_20251029T120334_full.ply</t>
  </si>
  <si>
    <t>48_20251105T115107_full.ply</t>
  </si>
  <si>
    <t>48_20251112T124142_full.ply</t>
  </si>
  <si>
    <t>48_20251127T125934_full.ply</t>
  </si>
  <si>
    <t>48_20251203T122754_full.ply</t>
  </si>
  <si>
    <t>48_20251211T130644_full.ply</t>
  </si>
  <si>
    <t>48_20251222T123537_full.ply</t>
  </si>
  <si>
    <t>48_20260102T123138_full.ply</t>
  </si>
  <si>
    <t>49_20251022T115315_full.ply</t>
  </si>
  <si>
    <t>49_20251029T120756_full.ply</t>
  </si>
  <si>
    <t>49_20251105T114856_full.ply</t>
  </si>
  <si>
    <t>49_20251112T124309_full.ply</t>
  </si>
  <si>
    <t>49_20251127T130410_full.ply</t>
  </si>
  <si>
    <t>49_20251203T123041_full.ply</t>
  </si>
  <si>
    <t>49_20251203T123148_full.ply</t>
  </si>
  <si>
    <t>49_20251211T130818_full.ply</t>
  </si>
  <si>
    <t>49_20251222T123816_full.ply</t>
  </si>
  <si>
    <t>49_20260102T123332_full.ply</t>
  </si>
  <si>
    <t>50_20251022T115420_full.ply</t>
  </si>
  <si>
    <t>50_20251029T121014_full.ply</t>
  </si>
  <si>
    <t>50_20251105T114653_full.ply</t>
  </si>
  <si>
    <t>50_20251112T124518_full.ply</t>
  </si>
  <si>
    <t>50_20251127T130635_full.ply</t>
  </si>
  <si>
    <t>50_20251203T123343_full.ply</t>
  </si>
  <si>
    <t>50_20251211T131033_full.ply</t>
  </si>
  <si>
    <t>50_20251222T124005_full.ply</t>
  </si>
  <si>
    <t>50_20260102T123533_full.ply</t>
  </si>
  <si>
    <t>50_20260102T123619_full.ply</t>
  </si>
  <si>
    <t>51_20251022T115631_full.ply</t>
  </si>
  <si>
    <t>51_20251029T121356_full.ply</t>
  </si>
  <si>
    <t>51_20251105T114026_full.ply</t>
  </si>
  <si>
    <t>51_20251112T125118_full.ply</t>
  </si>
  <si>
    <t>51_20251127T131351_full.ply</t>
  </si>
  <si>
    <t>51_20251203T115800_full.ply</t>
  </si>
  <si>
    <t>51_20251211T120658_full.ply</t>
  </si>
  <si>
    <t>51_20251222T124440_full.ply</t>
  </si>
  <si>
    <t>51_20260102T120942_full.ply</t>
  </si>
  <si>
    <t>52_20251022T115748_full.ply</t>
  </si>
  <si>
    <t>52_20251029T121842_full.ply</t>
  </si>
  <si>
    <t>52_20251105T113811_full.ply</t>
  </si>
  <si>
    <t>52_20251112T124857_full.ply</t>
  </si>
  <si>
    <t>52_20251112T125301_full.ply</t>
  </si>
  <si>
    <t>52_20251127T131617_full.ply</t>
  </si>
  <si>
    <t>52_20251203T120036_full.ply</t>
  </si>
  <si>
    <t>52_20251211T120843_full.ply</t>
  </si>
  <si>
    <t>52_20251222T124612_full.ply</t>
  </si>
  <si>
    <t>52_20260102T121147_full.ply</t>
  </si>
  <si>
    <t>53_20251022T115915_full.ply</t>
  </si>
  <si>
    <t>53_20251029T122041_full.ply</t>
  </si>
  <si>
    <t>53_20251105T113555_full.ply</t>
  </si>
  <si>
    <t>53_20251112T125438_full.ply</t>
  </si>
  <si>
    <t>53_20251127T132022_full.ply</t>
  </si>
  <si>
    <t>53_20251203T120204_full.ply</t>
  </si>
  <si>
    <t>53_20251211T121055_full.ply</t>
  </si>
  <si>
    <t>53_20251211T121411_full.ply</t>
  </si>
  <si>
    <t>53_20251222T124803_full.ply</t>
  </si>
  <si>
    <t>53_20251222T124830_full.ply</t>
  </si>
  <si>
    <t>53_20251222T124916_full.ply</t>
  </si>
  <si>
    <t>53_20260102T121407_full.ply</t>
  </si>
  <si>
    <t>54_20251022T120035_full.ply</t>
  </si>
  <si>
    <t>54_20251029T122241_full.ply</t>
  </si>
  <si>
    <t>54_20251105T113249_full.ply</t>
  </si>
  <si>
    <t>54_20251112T125703_full.ply</t>
  </si>
  <si>
    <t>54_20251127T132817_full.ply</t>
  </si>
  <si>
    <t>54_20251203T120444_full.ply</t>
  </si>
  <si>
    <t>54_20251211T121546_full.ply</t>
  </si>
  <si>
    <t>54_20251222T125119_full.ply</t>
  </si>
  <si>
    <t>54_20260102T122033_full.ply</t>
  </si>
  <si>
    <t>55_20251022T120211_full.ply</t>
  </si>
  <si>
    <t>55_20251029T122423_full.ply</t>
  </si>
  <si>
    <t>55_20251105T113017_full.ply</t>
  </si>
  <si>
    <t>55_20251112T125825_full.ply</t>
  </si>
  <si>
    <t>55_20251127T133136_full.ply</t>
  </si>
  <si>
    <t>55_20251203T120633_full.ply</t>
  </si>
  <si>
    <t>55_20251211T121806_full.ply</t>
  </si>
  <si>
    <t>55_20251222T125357_full.ply</t>
  </si>
  <si>
    <t>55_20260102T122328_full.ply</t>
  </si>
  <si>
    <t>31_20251022T111934_full.ply</t>
  </si>
  <si>
    <t>31_20251029T111427_full.ply</t>
  </si>
  <si>
    <t>31_20251105T124525_full.ply</t>
  </si>
  <si>
    <t>Img Name</t>
  </si>
  <si>
    <t>Tray</t>
  </si>
  <si>
    <t>Timestamp</t>
  </si>
  <si>
    <t>22/10/2025 12:54:51</t>
  </si>
  <si>
    <t>22/10/2025 13:11:59</t>
  </si>
  <si>
    <t>22/10/2025 13:14:57</t>
  </si>
  <si>
    <t>22/10/2025 13:17:59</t>
  </si>
  <si>
    <t>22/10/2025 13:19:34</t>
  </si>
  <si>
    <t>22/10/2025 13:23:20</t>
  </si>
  <si>
    <t>22/10/2025 13:25:58</t>
  </si>
  <si>
    <t>22/10/2025 13:26:47</t>
  </si>
  <si>
    <t>22/10/2025 13:27:42</t>
  </si>
  <si>
    <t>22/10/2025 13:29:36</t>
  </si>
  <si>
    <t>22/10/2025 13:31:06</t>
  </si>
  <si>
    <t>22/10/2025 13:32:19</t>
  </si>
  <si>
    <t>22/10/2025 13:35:24</t>
  </si>
  <si>
    <t>22/10/2025 13:38:00</t>
  </si>
  <si>
    <t>22/10/2025 13:39:40</t>
  </si>
  <si>
    <t>22/10/2025 13:42:26</t>
  </si>
  <si>
    <t>22/10/2025 13:44:05</t>
  </si>
  <si>
    <t>22/10/2025 13:47:41</t>
  </si>
  <si>
    <t>22/10/2025 13:49:32</t>
  </si>
  <si>
    <t>22/10/2025 13:51:35</t>
  </si>
  <si>
    <t>22/10/2025 13:53:15</t>
  </si>
  <si>
    <t>22/10/2025 13:54:20</t>
  </si>
  <si>
    <t>22/10/2025 13:56:31</t>
  </si>
  <si>
    <t>22/10/2025 13:57:48</t>
  </si>
  <si>
    <t>22/10/2025 13:59:15</t>
  </si>
  <si>
    <t>22/10/2025 14:00:35</t>
  </si>
  <si>
    <t>22/10/2025 14:02:11</t>
  </si>
  <si>
    <t>29/10/2025 12:14:27</t>
  </si>
  <si>
    <t>29/10/2025 12:16:23</t>
  </si>
  <si>
    <t>29/10/2025 12:18:36</t>
  </si>
  <si>
    <t>29/10/2025 12:21:11</t>
  </si>
  <si>
    <t>29/10/2025 12:24:17</t>
  </si>
  <si>
    <t>29/10/2025 12:30:10</t>
  </si>
  <si>
    <t>29/10/2025 12:32:29</t>
  </si>
  <si>
    <t>29/10/2025 12:34:41</t>
  </si>
  <si>
    <t>29/10/2025 12:36:53</t>
  </si>
  <si>
    <t>29/10/2025 12:39:19</t>
  </si>
  <si>
    <t>29/10/2025 12:45:17</t>
  </si>
  <si>
    <t>29/10/2025 12:47:49</t>
  </si>
  <si>
    <t>29/10/2025 12:50:08</t>
  </si>
  <si>
    <t>29/10/2025 12:53:07</t>
  </si>
  <si>
    <t>29/10/2025 12:55:17</t>
  </si>
  <si>
    <t>29/10/2025 12:59:05</t>
  </si>
  <si>
    <t>29/10/2025 13:01:12</t>
  </si>
  <si>
    <t>29/10/2025 13:03:34</t>
  </si>
  <si>
    <t>29/10/2025 13:07:56</t>
  </si>
  <si>
    <t>29/10/2025 13:10:14</t>
  </si>
  <si>
    <t>29/10/2025 13:13:56</t>
  </si>
  <si>
    <t>29/10/2025 13:18:42</t>
  </si>
  <si>
    <t>29/10/2025 13:20:41</t>
  </si>
  <si>
    <t>29/10/2025 13:22:41</t>
  </si>
  <si>
    <t>29/10/2025 13:24:23</t>
  </si>
  <si>
    <t>05/11/2025 12:30:17</t>
  </si>
  <si>
    <t>05/11/2025 12:32:49</t>
  </si>
  <si>
    <t>05/11/2025 12:35:55</t>
  </si>
  <si>
    <t>05/11/2025 12:38:11</t>
  </si>
  <si>
    <t>05/11/2025 12:40:26</t>
  </si>
  <si>
    <t>05/11/2025 12:46:53</t>
  </si>
  <si>
    <t>05/11/2025 12:48:56</t>
  </si>
  <si>
    <t>05/11/2025 12:51:07</t>
  </si>
  <si>
    <t>05/11/2025 12:53:34</t>
  </si>
  <si>
    <t>05/11/2025 12:55:40</t>
  </si>
  <si>
    <t>05/11/2025 12:59:32</t>
  </si>
  <si>
    <t>05/11/2025 13:02:04</t>
  </si>
  <si>
    <t>05/11/2025 13:03:56</t>
  </si>
  <si>
    <t>05/11/2025 13:06:19</t>
  </si>
  <si>
    <t>05/11/2025 13:08:27</t>
  </si>
  <si>
    <t>05/11/2025 13:13:26</t>
  </si>
  <si>
    <t>05/11/2025 13:15:47</t>
  </si>
  <si>
    <t>05/11/2025 13:18:16</t>
  </si>
  <si>
    <t>05/11/2025 13:20:17</t>
  </si>
  <si>
    <t>05/11/2025 13:22:55</t>
  </si>
  <si>
    <t>05/11/2025 13:36:25</t>
  </si>
  <si>
    <t>05/11/2025 13:39:04</t>
  </si>
  <si>
    <t>05/11/2025 13:41:38</t>
  </si>
  <si>
    <t>05/11/2025 13:43:54</t>
  </si>
  <si>
    <t>05/11/2025 13:45:25</t>
  </si>
  <si>
    <t>12/11/2025 13:04:51</t>
  </si>
  <si>
    <t>12/11/2025 13:07:37</t>
  </si>
  <si>
    <t>12/11/2025 13:10:10</t>
  </si>
  <si>
    <t>12/11/2025 13:12:36</t>
  </si>
  <si>
    <t>12/11/2025 13:14:30</t>
  </si>
  <si>
    <t>12/11/2025 13:17:46</t>
  </si>
  <si>
    <t>12/11/2025 13:19:22</t>
  </si>
  <si>
    <t>12/11/2025 13:21:02</t>
  </si>
  <si>
    <t>12/11/2025 13:23:04</t>
  </si>
  <si>
    <t>12/11/2025 13:25:17</t>
  </si>
  <si>
    <t>12/11/2025 13:28:02</t>
  </si>
  <si>
    <t>12/11/2025 13:29:58</t>
  </si>
  <si>
    <t>12/11/2025 13:31:24</t>
  </si>
  <si>
    <t>12/11/2025 13:33:06</t>
  </si>
  <si>
    <t>12/11/2025 13:35:13</t>
  </si>
  <si>
    <t>12/11/2025 13:37:46</t>
  </si>
  <si>
    <t>12/11/2025 13:39:18</t>
  </si>
  <si>
    <t>12/11/2025 13:41:42</t>
  </si>
  <si>
    <t>12/11/2025 13:43:09</t>
  </si>
  <si>
    <t>12/11/2025 13:45:18</t>
  </si>
  <si>
    <t>12/11/2025 13:48:57</t>
  </si>
  <si>
    <t>12/11/2025 13:51:18</t>
  </si>
  <si>
    <t>12/11/2025 13:53:01</t>
  </si>
  <si>
    <t>12/11/2025 13:54:38</t>
  </si>
  <si>
    <t>12/11/2025 13:57:03</t>
  </si>
  <si>
    <t>12/11/2025 13:58:25</t>
  </si>
  <si>
    <t>27/11/2025 12:23:16</t>
  </si>
  <si>
    <t>27/11/2025 12:28:29</t>
  </si>
  <si>
    <t>27/11/2025 12:40:09</t>
  </si>
  <si>
    <t>27/11/2025 12:43:14</t>
  </si>
  <si>
    <t>27/11/2025 12:47:33</t>
  </si>
  <si>
    <t>27/11/2025 12:54:21</t>
  </si>
  <si>
    <t>27/11/2025 12:58:16</t>
  </si>
  <si>
    <t>27/11/2025 13:03:43</t>
  </si>
  <si>
    <t>27/11/2025 13:07:28</t>
  </si>
  <si>
    <t>27/11/2025 13:12:35</t>
  </si>
  <si>
    <t>27/11/2025 13:19:12</t>
  </si>
  <si>
    <t>27/11/2025 13:19:55</t>
  </si>
  <si>
    <t>27/11/2025 13:22:25</t>
  </si>
  <si>
    <t>27/11/2025 13:26:16</t>
  </si>
  <si>
    <t>27/11/2025 13:30:05</t>
  </si>
  <si>
    <t>27/11/2025 13:33:36</t>
  </si>
  <si>
    <t>27/11/2025 13:46:31</t>
  </si>
  <si>
    <t>27/11/2025 13:50:51</t>
  </si>
  <si>
    <t>27/11/2025 13:59:34</t>
  </si>
  <si>
    <t>27/11/2025 14:04:10</t>
  </si>
  <si>
    <t>27/11/2025 14:06:35</t>
  </si>
  <si>
    <t>27/11/2025 14:13:51</t>
  </si>
  <si>
    <t>27/11/2025 14:16:17</t>
  </si>
  <si>
    <t>27/11/2025 14:20:22</t>
  </si>
  <si>
    <t>27/11/2025 14:28:17</t>
  </si>
  <si>
    <t>27/11/2025 14:31:36</t>
  </si>
  <si>
    <t>03/12/2025 12:44:10</t>
  </si>
  <si>
    <t>03/12/2025 12:45:57</t>
  </si>
  <si>
    <t>03/12/2025 12:46:40</t>
  </si>
  <si>
    <t>03/12/2025 12:49:31</t>
  </si>
  <si>
    <t>03/12/2025 12:51:23</t>
  </si>
  <si>
    <t>03/12/2025 12:53:12</t>
  </si>
  <si>
    <t>03/12/2025 12:58:00</t>
  </si>
  <si>
    <t>03/12/2025 13:00:36</t>
  </si>
  <si>
    <t>03/12/2025 13:02:04</t>
  </si>
  <si>
    <t>03/12/2025 13:04:44</t>
  </si>
  <si>
    <t>03/12/2025 13:06:33</t>
  </si>
  <si>
    <t>03/12/2025 13:10:48</t>
  </si>
  <si>
    <t>03/12/2025 13:12:40</t>
  </si>
  <si>
    <t>03/12/2025 13:14:21</t>
  </si>
  <si>
    <t>03/12/2025 13:15:06</t>
  </si>
  <si>
    <t>03/12/2025 13:17:12</t>
  </si>
  <si>
    <t>03/12/2025 13:20:12</t>
  </si>
  <si>
    <t>03/12/2025 13:23:33</t>
  </si>
  <si>
    <t>03/12/2025 13:25:57</t>
  </si>
  <si>
    <t>03/12/2025 13:27:54</t>
  </si>
  <si>
    <t>03/12/2025 13:30:41</t>
  </si>
  <si>
    <t>03/12/2025 13:31:48</t>
  </si>
  <si>
    <t>03/12/2025 13:33:43</t>
  </si>
  <si>
    <t>03/12/2025 13:36:41</t>
  </si>
  <si>
    <t>03/12/2025 13:38:08</t>
  </si>
  <si>
    <t>03/12/2025 13:40:00</t>
  </si>
  <si>
    <t>03/12/2025 13:43:38</t>
  </si>
  <si>
    <t>03/12/2025 13:45:46</t>
  </si>
  <si>
    <t>11/12/2025 13:06:58</t>
  </si>
  <si>
    <t>11/12/2025 13:08:43</t>
  </si>
  <si>
    <t>11/12/2025 13:10:55</t>
  </si>
  <si>
    <t>11/12/2025 13:14:11</t>
  </si>
  <si>
    <t>11/12/2025 13:15:46</t>
  </si>
  <si>
    <t>11/12/2025 13:18:06</t>
  </si>
  <si>
    <t>11/12/2025 13:24:54</t>
  </si>
  <si>
    <t>11/12/2025 13:27:01</t>
  </si>
  <si>
    <t>11/12/2025 13:28:44</t>
  </si>
  <si>
    <t>11/12/2025 13:30:54</t>
  </si>
  <si>
    <t>11/12/2025 13:32:18</t>
  </si>
  <si>
    <t>11/12/2025 13:37:01</t>
  </si>
  <si>
    <t>11/12/2025 13:38:55</t>
  </si>
  <si>
    <t>11/12/2025 13:40:44</t>
  </si>
  <si>
    <t>11/12/2025 13:45:02</t>
  </si>
  <si>
    <t>11/12/2025 13:47:30</t>
  </si>
  <si>
    <t>11/12/2025 13:52:02</t>
  </si>
  <si>
    <t>11/12/2025 13:53:46</t>
  </si>
  <si>
    <t>11/12/2025 13:55:50</t>
  </si>
  <si>
    <t>11/12/2025 13:57:19</t>
  </si>
  <si>
    <t>11/12/2025 13:58:55</t>
  </si>
  <si>
    <t>11/12/2025 14:02:34</t>
  </si>
  <si>
    <t>11/12/2025 14:05:01</t>
  </si>
  <si>
    <t>11/12/2025 14:06:44</t>
  </si>
  <si>
    <t>11/12/2025 14:08:18</t>
  </si>
  <si>
    <t>11/12/2025 14:10:33</t>
  </si>
  <si>
    <t>22/12/2025 13:29:41</t>
  </si>
  <si>
    <t>22/12/2025 13:32:56</t>
  </si>
  <si>
    <t>22/12/2025 13:35:37</t>
  </si>
  <si>
    <t>22/12/2025 13:38:16</t>
  </si>
  <si>
    <t>22/12/2025 13:40:05</t>
  </si>
  <si>
    <t>22/12/2025 13:44:40</t>
  </si>
  <si>
    <t>22/12/2025 13:46:12</t>
  </si>
  <si>
    <t>22/12/2025 13:48:03</t>
  </si>
  <si>
    <t>22/12/2025 13:48:30</t>
  </si>
  <si>
    <t>22/12/2025 13:49:16</t>
  </si>
  <si>
    <t>22/12/2025 13:51:19</t>
  </si>
  <si>
    <t>22/12/2025 13:53:57</t>
  </si>
  <si>
    <t>22/12/2025 13:59:08</t>
  </si>
  <si>
    <t>22/12/2025 14:00:39</t>
  </si>
  <si>
    <t>22/12/2025 14:03:36</t>
  </si>
  <si>
    <t>22/12/2025 14:06:01</t>
  </si>
  <si>
    <t>22/12/2025 14:07:41</t>
  </si>
  <si>
    <t>22/12/2025 14:08:35</t>
  </si>
  <si>
    <t>22/12/2025 14:11:31</t>
  </si>
  <si>
    <t>22/12/2025 14:13:12</t>
  </si>
  <si>
    <t>22/12/2025 14:15:10</t>
  </si>
  <si>
    <t>22/12/2025 14:17:03</t>
  </si>
  <si>
    <t>22/12/2025 14:19:43</t>
  </si>
  <si>
    <t>22/12/2025 14:29:58</t>
  </si>
  <si>
    <t>22/12/2025 14:32:12</t>
  </si>
  <si>
    <t>22/12/2025 14:35:04</t>
  </si>
  <si>
    <t>22/12/2025 14:38:52</t>
  </si>
  <si>
    <t>22/12/2025 14:43:25</t>
  </si>
  <si>
    <t>02/01/2026 12:29:51</t>
  </si>
  <si>
    <t>02/01/2026 12:31:37</t>
  </si>
  <si>
    <t>02/01/2026 12:32:31</t>
  </si>
  <si>
    <t>02/01/2026 12:34:36</t>
  </si>
  <si>
    <t>02/01/2026 12:36:44</t>
  </si>
  <si>
    <t>02/01/2026 12:38:33</t>
  </si>
  <si>
    <t>02/01/2026 12:43:22</t>
  </si>
  <si>
    <t>02/01/2026 12:45:31</t>
  </si>
  <si>
    <t>02/01/2026 12:47:37</t>
  </si>
  <si>
    <t>02/01/2026 12:49:39</t>
  </si>
  <si>
    <t>02/01/2026 12:52:19</t>
  </si>
  <si>
    <t>02/01/2026 12:55:47</t>
  </si>
  <si>
    <t>02/01/2026 12:58:05</t>
  </si>
  <si>
    <t>02/01/2026 13:00:34</t>
  </si>
  <si>
    <t>02/01/2026 13:03:28</t>
  </si>
  <si>
    <t>02/01/2026 13:05:10</t>
  </si>
  <si>
    <t>02/01/2026 13:09:42</t>
  </si>
  <si>
    <t>02/01/2026 13:11:47</t>
  </si>
  <si>
    <t>02/01/2026 13:14:07</t>
  </si>
  <si>
    <t>02/01/2026 13:20:33</t>
  </si>
  <si>
    <t>02/01/2026 13:23:28</t>
  </si>
  <si>
    <t>02/01/2026 13:27:57</t>
  </si>
  <si>
    <t>02/01/2026 13:29:46</t>
  </si>
  <si>
    <t>02/01/2026 13:31:38</t>
  </si>
  <si>
    <t>02/01/2026 13:33:32</t>
  </si>
  <si>
    <t>02/01/2026 13:35:33</t>
  </si>
  <si>
    <t>02/01/2026 13:36:19</t>
  </si>
  <si>
    <t>Date Text</t>
  </si>
  <si>
    <t>Actual date</t>
  </si>
  <si>
    <t>https://helsinkifi.sharepoint.com/:u:/s/NaPPIteam-NaPPICoreMembers/IQD0hI0UsHVAQKPBg5GXaCTVAd9pnEvkpFQZIblma1-F2GU</t>
  </si>
  <si>
    <t>https://helsinkifi.sharepoint.com/:u:/s/NaPPIteam-NaPPICoreMembers/IQBJ-2RdlB1VT7arI8DwuyeTAReTDKV5ANGsFg6TxIKvSTM?e=JOOhD5</t>
  </si>
  <si>
    <t>https://helsinkifi.sharepoint.com/:u:/s/NaPPIteam-NaPPICoreMembers/IQB01lYJVRzzS5SAXrbIefqoAc2h2bWs0wYgxkY7nC8YY0Q?e=BEtYzq</t>
  </si>
  <si>
    <t>https://helsinkifi.sharepoint.com/:u:/s/NaPPIteam-NaPPICoreMembers/IQCalv-IcIINQq8CHWpbq54fATwkIco1v3tYzRsXUALeJR8?e=Upm4bh</t>
  </si>
  <si>
    <t>https://helsinkifi.sharepoint.com/:u:/s/NaPPIteam-NaPPICoreMembers/IQBAoapu5hi-QaWcqnTjhAYeAcVUc3P-v1hydeRtnmLvJi0?e=Oi7zSq</t>
  </si>
  <si>
    <t>https://helsinkifi.sharepoint.com/:u:/s/NaPPIteam-NaPPICoreMembers/IQCXNPQVX0TbTpSPBKTyHRDAAZxhlxnFMUVDQHE8c-gy-9Y?e=5wuv26</t>
  </si>
  <si>
    <t>https://helsinkifi.sharepoint.com/:u:/s/NaPPIteam-NaPPICoreMembers/IQATI2NZ50qsR4lItw1F8Lo-AdvZMq0_4I9zA4vxwNGUnRA?e=3u2aFZ</t>
  </si>
  <si>
    <t>https://helsinkifi.sharepoint.com/:u:/s/NaPPIteam-NaPPICoreMembers/IQDSP0xC3TTCToUgl6EDdIqpAbXNRKboGLP2oj-Xf0bb0eg?e=UehBT6</t>
  </si>
  <si>
    <t>https://helsinkifi.sharepoint.com/:u:/s/NaPPIteam-NaPPICoreMembers/IQA5SAj1kUaHR5ZmSqq4D9WWAbmBzjGIdx3Mavbb_s9E4nc?e=yt4dER</t>
  </si>
  <si>
    <t>Img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</si>
</sst>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sz val="10"/>
      <color rgb="FF21212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0" fontId="18" fillId="0" borderId="10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9" fillId="0" borderId="0" xfId="0" applyFont="1"/>
    <xf numFmtId="0" fontId="0" fillId="33" borderId="0" xfId="0" applyFill="1"/>
    <xf numFmtId="164" fontId="0" fillId="0" borderId="0" xfId="0" applyNumberFormat="1"/>
    <xf numFmtId="164" fontId="0" fillId="34" borderId="0" xfId="0" applyNumberFormat="1" applyFill="1"/>
    <xf numFmtId="20" fontId="0" fillId="0" borderId="0" xfId="0" applyNumberFormat="1"/>
    <xf numFmtId="20" fontId="0" fillId="0" borderId="0" xfId="0" applyNumberFormat="1" applyAlignment="1">
      <alignment horizontal="center"/>
    </xf>
    <xf numFmtId="0" fontId="0" fillId="33" borderId="0" xfId="0" applyFill="1" applyAlignment="1">
      <alignment horizontal="center"/>
    </xf>
    <xf numFmtId="164" fontId="0" fillId="34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33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A67E-100D-466B-AA30-03ED5970C071}">
  <dimension ref="A1:BR953"/>
  <sheetViews>
    <sheetView tabSelected="1" workbookViewId="0">
      <selection activeCell="C23" sqref="A1:BR953"/>
    </sheetView>
  </sheetViews>
  <sheetFormatPr defaultRowHeight="15" x14ac:dyDescent="0.25"/>
  <cols>
    <col min="1" max="1" width="15.42578125" customWidth="1"/>
    <col min="2" max="2" width="18.28515625" bestFit="1" customWidth="1"/>
    <col min="3" max="3" width="16.85546875" bestFit="1" customWidth="1"/>
    <col min="4" max="4" width="30.42578125" customWidth="1"/>
    <col min="5" max="5" width="13.5703125" bestFit="1" customWidth="1"/>
    <col min="6" max="6" width="9.5703125" bestFit="1" customWidth="1"/>
    <col min="7" max="7" width="10.5703125" bestFit="1" customWidth="1"/>
    <col min="8" max="8" width="17.7109375" bestFit="1" customWidth="1"/>
    <col min="9" max="9" width="32.85546875" bestFit="1" customWidth="1"/>
    <col min="10" max="10" width="21.7109375" bestFit="1" customWidth="1"/>
    <col min="11" max="11" width="26.5703125" bestFit="1" customWidth="1"/>
    <col min="12" max="12" width="24.85546875" bestFit="1" customWidth="1"/>
    <col min="13" max="13" width="28.7109375" bestFit="1" customWidth="1"/>
    <col min="14" max="14" width="30.42578125" bestFit="1" customWidth="1"/>
    <col min="15" max="15" width="20.85546875" bestFit="1" customWidth="1"/>
    <col min="16" max="16" width="12" bestFit="1" customWidth="1"/>
    <col min="64" max="64" width="17.5703125" bestFit="1" customWidth="1"/>
    <col min="65" max="66" width="18.5703125" bestFit="1" customWidth="1"/>
    <col min="67" max="67" width="19.5703125" bestFit="1" customWidth="1"/>
    <col min="68" max="68" width="20.5703125" bestFit="1" customWidth="1"/>
    <col min="69" max="69" width="22.85546875" bestFit="1" customWidth="1"/>
    <col min="70" max="70" width="23.85546875" bestFit="1" customWidth="1"/>
  </cols>
  <sheetData>
    <row r="1" spans="1:70" x14ac:dyDescent="0.25">
      <c r="A1" t="s">
        <v>0</v>
      </c>
      <c r="B1" t="s">
        <v>1</v>
      </c>
      <c r="C1" s="6" t="s">
        <v>88</v>
      </c>
      <c r="D1" s="6" t="s">
        <v>453</v>
      </c>
      <c r="E1" s="6" t="s">
        <v>214</v>
      </c>
      <c r="F1" t="s">
        <v>3</v>
      </c>
      <c r="G1" s="6" t="s">
        <v>2</v>
      </c>
      <c r="H1" t="s">
        <v>83</v>
      </c>
      <c r="I1" t="s">
        <v>4</v>
      </c>
      <c r="J1" t="s">
        <v>84</v>
      </c>
      <c r="K1" t="s">
        <v>5</v>
      </c>
      <c r="L1" t="s">
        <v>6</v>
      </c>
      <c r="M1" t="s">
        <v>7</v>
      </c>
      <c r="N1" t="s">
        <v>8</v>
      </c>
      <c r="O1" t="s">
        <v>85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42</v>
      </c>
      <c r="AX1" t="s">
        <v>43</v>
      </c>
      <c r="AY1" t="s">
        <v>44</v>
      </c>
      <c r="AZ1" t="s">
        <v>45</v>
      </c>
      <c r="BA1" t="s">
        <v>46</v>
      </c>
      <c r="BB1" t="s">
        <v>47</v>
      </c>
      <c r="BC1" t="s">
        <v>48</v>
      </c>
      <c r="BD1" t="s">
        <v>49</v>
      </c>
      <c r="BE1" t="s">
        <v>50</v>
      </c>
      <c r="BF1" t="s">
        <v>51</v>
      </c>
      <c r="BG1" t="s">
        <v>52</v>
      </c>
      <c r="BH1" t="s">
        <v>53</v>
      </c>
      <c r="BI1" t="s">
        <v>54</v>
      </c>
      <c r="BJ1" t="s">
        <v>55</v>
      </c>
      <c r="BK1" t="s">
        <v>56</v>
      </c>
      <c r="BL1" t="s">
        <v>57</v>
      </c>
      <c r="BM1" t="s">
        <v>58</v>
      </c>
      <c r="BN1" t="s">
        <v>59</v>
      </c>
      <c r="BO1" t="s">
        <v>60</v>
      </c>
      <c r="BP1" t="s">
        <v>61</v>
      </c>
      <c r="BQ1" t="s">
        <v>86</v>
      </c>
      <c r="BR1" t="s">
        <v>87</v>
      </c>
    </row>
    <row r="2" spans="1:70" x14ac:dyDescent="0.25">
      <c r="A2">
        <v>31</v>
      </c>
      <c r="B2" s="8">
        <v>45952.555254629631</v>
      </c>
      <c r="C2" t="s">
        <v>133</v>
      </c>
      <c r="D2" s="6" t="s">
        <v>450</v>
      </c>
      <c r="E2" s="6" t="str">
        <f>VLOOKUP(F2,Germplasm!$A$1:$B$21,2,FALSE)</f>
        <v>Olve</v>
      </c>
      <c r="F2" t="s">
        <v>62</v>
      </c>
      <c r="G2" s="6" t="s">
        <v>113</v>
      </c>
      <c r="H2">
        <v>30114</v>
      </c>
      <c r="I2">
        <v>268.45499999999998</v>
      </c>
      <c r="J2">
        <v>117197</v>
      </c>
      <c r="K2">
        <v>14.3147</v>
      </c>
      <c r="L2">
        <v>63.055500000000002</v>
      </c>
      <c r="M2">
        <v>1346.97</v>
      </c>
      <c r="N2">
        <v>535.12</v>
      </c>
      <c r="O2">
        <v>10553200</v>
      </c>
      <c r="P2">
        <v>0.20250799999999999</v>
      </c>
      <c r="Q2">
        <v>0.49717600000000001</v>
      </c>
      <c r="R2">
        <v>7.9801799999999998</v>
      </c>
      <c r="S2">
        <v>26.79</v>
      </c>
      <c r="T2">
        <v>37.250999999999998</v>
      </c>
      <c r="U2">
        <v>27.163699999999999</v>
      </c>
      <c r="V2">
        <v>0.31792199999999998</v>
      </c>
      <c r="W2">
        <v>118.583</v>
      </c>
      <c r="X2">
        <v>2.4300700000000002</v>
      </c>
      <c r="Y2">
        <v>3.8150599999999999</v>
      </c>
      <c r="Z2">
        <v>4.6031000000000004</v>
      </c>
      <c r="AA2">
        <v>13.961499999999999</v>
      </c>
      <c r="AB2">
        <v>32.436500000000002</v>
      </c>
      <c r="AC2">
        <v>42.753700000000002</v>
      </c>
      <c r="AD2">
        <v>1.7950200000000001</v>
      </c>
      <c r="AE2">
        <v>15.223599999999999</v>
      </c>
      <c r="AF2">
        <v>0</v>
      </c>
      <c r="AG2">
        <v>87.900400000000005</v>
      </c>
      <c r="AH2">
        <v>1.20235</v>
      </c>
      <c r="AI2">
        <v>1.8145199999999999</v>
      </c>
      <c r="AJ2">
        <v>9.0827600000000004</v>
      </c>
      <c r="AK2">
        <v>0</v>
      </c>
      <c r="AL2">
        <v>0.454347</v>
      </c>
      <c r="AM2">
        <v>10.975099999999999</v>
      </c>
      <c r="AN2">
        <v>5.4621700000000004</v>
      </c>
      <c r="AO2">
        <v>5.5162800000000001</v>
      </c>
      <c r="AP2">
        <v>11.5517</v>
      </c>
      <c r="AQ2">
        <v>33.522199999999998</v>
      </c>
      <c r="AR2">
        <v>32.9726</v>
      </c>
      <c r="AS2">
        <v>1.71212E-2</v>
      </c>
      <c r="AT2">
        <v>8.8358600000000003</v>
      </c>
      <c r="AU2">
        <v>38.7256</v>
      </c>
      <c r="AV2">
        <v>39.520400000000002</v>
      </c>
      <c r="AW2">
        <v>9.6137599999999992</v>
      </c>
      <c r="AX2">
        <v>2.0834000000000001</v>
      </c>
      <c r="AY2">
        <v>1.22096</v>
      </c>
      <c r="AZ2">
        <v>350.44299999999998</v>
      </c>
      <c r="BA2">
        <v>415.2</v>
      </c>
      <c r="BB2">
        <v>16776.400000000001</v>
      </c>
      <c r="BC2">
        <v>-7.9694199999999996E-3</v>
      </c>
      <c r="BD2">
        <v>0.926709</v>
      </c>
      <c r="BE2">
        <v>0.94531100000000001</v>
      </c>
      <c r="BF2">
        <v>3.9300600000000001</v>
      </c>
      <c r="BG2">
        <v>41.759399999999999</v>
      </c>
      <c r="BH2">
        <v>46.956099999999999</v>
      </c>
      <c r="BI2">
        <v>5.4824599999999997</v>
      </c>
      <c r="BJ2">
        <v>32.227200000000003</v>
      </c>
      <c r="BK2">
        <v>0</v>
      </c>
      <c r="BL2">
        <v>35.069499999999998</v>
      </c>
      <c r="BM2">
        <v>54.146500000000003</v>
      </c>
      <c r="BN2">
        <v>7.7687999999999997</v>
      </c>
      <c r="BO2">
        <v>1.60145</v>
      </c>
      <c r="BP2">
        <v>1.41374</v>
      </c>
      <c r="BQ2">
        <v>33.878500000000003</v>
      </c>
      <c r="BR2">
        <v>59134</v>
      </c>
    </row>
    <row r="3" spans="1:70" x14ac:dyDescent="0.25">
      <c r="A3">
        <v>31</v>
      </c>
      <c r="B3" s="8">
        <v>45952.555254629631</v>
      </c>
      <c r="C3" t="s">
        <v>130</v>
      </c>
      <c r="D3" s="6" t="s">
        <v>450</v>
      </c>
      <c r="E3" s="6" t="str">
        <f>VLOOKUP(F3,Germplasm!$A$1:$B$21,2,FALSE)</f>
        <v>Ismena</v>
      </c>
      <c r="F3" t="s">
        <v>63</v>
      </c>
      <c r="G3" s="6" t="s">
        <v>113</v>
      </c>
      <c r="H3">
        <v>40164.400000000001</v>
      </c>
      <c r="I3">
        <v>309.03100000000001</v>
      </c>
      <c r="J3">
        <v>214025</v>
      </c>
      <c r="K3">
        <v>10.436400000000001</v>
      </c>
      <c r="L3">
        <v>78.244100000000003</v>
      </c>
      <c r="M3">
        <v>1745.11</v>
      </c>
      <c r="N3">
        <v>636.20000000000005</v>
      </c>
      <c r="O3">
        <v>14481000</v>
      </c>
      <c r="P3">
        <v>0.22941600000000001</v>
      </c>
      <c r="Q3">
        <v>0.52825100000000003</v>
      </c>
      <c r="R3">
        <v>4.5583799999999997</v>
      </c>
      <c r="S3">
        <v>20.7193</v>
      </c>
      <c r="T3">
        <v>43.286299999999997</v>
      </c>
      <c r="U3">
        <v>30.486899999999999</v>
      </c>
      <c r="V3">
        <v>0.42083199999999998</v>
      </c>
      <c r="W3">
        <v>118.58199999999999</v>
      </c>
      <c r="X3">
        <v>0.99963299999999999</v>
      </c>
      <c r="Y3">
        <v>2.1711399999999998</v>
      </c>
      <c r="Z3">
        <v>3.7925399999999998</v>
      </c>
      <c r="AA3">
        <v>16.109100000000002</v>
      </c>
      <c r="AB3">
        <v>36.918199999999999</v>
      </c>
      <c r="AC3">
        <v>40.009399999999999</v>
      </c>
      <c r="AD3">
        <v>1.7981499999999999</v>
      </c>
      <c r="AE3">
        <v>7.0561299999999996</v>
      </c>
      <c r="AF3">
        <v>0</v>
      </c>
      <c r="AG3">
        <v>99.590500000000006</v>
      </c>
      <c r="AH3">
        <v>0.39050200000000002</v>
      </c>
      <c r="AI3">
        <v>1.5165100000000001E-2</v>
      </c>
      <c r="AJ3">
        <v>3.7912800000000002E-3</v>
      </c>
      <c r="AK3">
        <v>0</v>
      </c>
      <c r="AL3">
        <v>0.50915900000000003</v>
      </c>
      <c r="AM3">
        <v>1.0881000000000001</v>
      </c>
      <c r="AN3">
        <v>3.4247899999999998</v>
      </c>
      <c r="AO3">
        <v>6.4792899999999998</v>
      </c>
      <c r="AP3">
        <v>16.436499999999999</v>
      </c>
      <c r="AQ3">
        <v>40.550199999999997</v>
      </c>
      <c r="AR3">
        <v>32.021099999999997</v>
      </c>
      <c r="AS3">
        <v>2.78493E-2</v>
      </c>
      <c r="AT3">
        <v>7.9427300000000001</v>
      </c>
      <c r="AU3">
        <v>37.732100000000003</v>
      </c>
      <c r="AV3">
        <v>40.361899999999999</v>
      </c>
      <c r="AW3">
        <v>10.519500000000001</v>
      </c>
      <c r="AX3">
        <v>2.1496499999999998</v>
      </c>
      <c r="AY3">
        <v>1.29409</v>
      </c>
      <c r="AZ3">
        <v>360.54300000000001</v>
      </c>
      <c r="BA3">
        <v>422.4</v>
      </c>
      <c r="BB3">
        <v>22336.400000000001</v>
      </c>
      <c r="BC3">
        <v>6.8837600000000001E-3</v>
      </c>
      <c r="BD3">
        <v>8.5935600000000001E-2</v>
      </c>
      <c r="BE3">
        <v>0.71528800000000003</v>
      </c>
      <c r="BF3">
        <v>3.6611099999999999</v>
      </c>
      <c r="BG3">
        <v>41.212499999999999</v>
      </c>
      <c r="BH3">
        <v>49.535600000000002</v>
      </c>
      <c r="BI3">
        <v>4.78965</v>
      </c>
      <c r="BJ3">
        <v>31.370899999999999</v>
      </c>
      <c r="BK3">
        <v>0</v>
      </c>
      <c r="BL3">
        <v>34.4071</v>
      </c>
      <c r="BM3">
        <v>56.784500000000001</v>
      </c>
      <c r="BN3">
        <v>7.5876099999999997</v>
      </c>
      <c r="BO3">
        <v>0.92759899999999995</v>
      </c>
      <c r="BP3">
        <v>0.29319200000000001</v>
      </c>
      <c r="BQ3">
        <v>33.821899999999999</v>
      </c>
      <c r="BR3">
        <v>79129</v>
      </c>
    </row>
    <row r="4" spans="1:70" x14ac:dyDescent="0.25">
      <c r="A4">
        <v>31</v>
      </c>
      <c r="B4" s="8">
        <v>45952.555254629631</v>
      </c>
      <c r="C4" t="s">
        <v>131</v>
      </c>
      <c r="D4" s="6" t="s">
        <v>450</v>
      </c>
      <c r="E4" s="6" t="str">
        <f>VLOOKUP(F4,Germplasm!$A$1:$B$21,2,FALSE)</f>
        <v>Tiril</v>
      </c>
      <c r="F4" t="s">
        <v>64</v>
      </c>
      <c r="G4" s="6" t="s">
        <v>113</v>
      </c>
      <c r="H4">
        <v>25529.8</v>
      </c>
      <c r="I4">
        <v>204.85400000000001</v>
      </c>
      <c r="J4">
        <v>52173</v>
      </c>
      <c r="K4">
        <v>28.267800000000001</v>
      </c>
      <c r="L4">
        <v>63.339399999999998</v>
      </c>
      <c r="M4">
        <v>878.97699999999998</v>
      </c>
      <c r="N4">
        <v>323.214</v>
      </c>
      <c r="O4">
        <v>7213770</v>
      </c>
      <c r="P4">
        <v>0.25590000000000002</v>
      </c>
      <c r="Q4">
        <v>0.50231300000000001</v>
      </c>
      <c r="R4">
        <v>2.92652</v>
      </c>
      <c r="S4">
        <v>15.248100000000001</v>
      </c>
      <c r="T4">
        <v>43.522500000000001</v>
      </c>
      <c r="U4">
        <v>37.306199999999997</v>
      </c>
      <c r="V4">
        <v>0.494371</v>
      </c>
      <c r="W4">
        <v>117.358</v>
      </c>
      <c r="X4">
        <v>0.74255000000000004</v>
      </c>
      <c r="Y4">
        <v>1.44936</v>
      </c>
      <c r="Z4">
        <v>3.03572</v>
      </c>
      <c r="AA4">
        <v>17.132200000000001</v>
      </c>
      <c r="AB4">
        <v>41.596699999999998</v>
      </c>
      <c r="AC4">
        <v>36.043399999999998</v>
      </c>
      <c r="AD4">
        <v>1.73105</v>
      </c>
      <c r="AE4">
        <v>6.7096499999999999</v>
      </c>
      <c r="AF4">
        <v>0</v>
      </c>
      <c r="AG4">
        <v>99.988100000000003</v>
      </c>
      <c r="AH4">
        <v>1.1912600000000001E-2</v>
      </c>
      <c r="AI4">
        <v>0</v>
      </c>
      <c r="AJ4">
        <v>0</v>
      </c>
      <c r="AK4">
        <v>0</v>
      </c>
      <c r="AL4">
        <v>0.54436399999999996</v>
      </c>
      <c r="AM4">
        <v>0.25612000000000001</v>
      </c>
      <c r="AN4">
        <v>1.4235500000000001</v>
      </c>
      <c r="AO4">
        <v>3.6234000000000002</v>
      </c>
      <c r="AP4">
        <v>13.659700000000001</v>
      </c>
      <c r="AQ4">
        <v>44.328600000000002</v>
      </c>
      <c r="AR4">
        <v>36.708599999999997</v>
      </c>
      <c r="AS4">
        <v>4.1831899999999998E-2</v>
      </c>
      <c r="AT4">
        <v>7.4949899999999996</v>
      </c>
      <c r="AU4">
        <v>34.760899999999999</v>
      </c>
      <c r="AV4">
        <v>41.195599999999999</v>
      </c>
      <c r="AW4">
        <v>12.589600000000001</v>
      </c>
      <c r="AX4">
        <v>2.4778099999999998</v>
      </c>
      <c r="AY4">
        <v>1.4811300000000001</v>
      </c>
      <c r="AZ4">
        <v>282.56299999999999</v>
      </c>
      <c r="BA4">
        <v>288.60000000000002</v>
      </c>
      <c r="BB4">
        <v>14748.2</v>
      </c>
      <c r="BC4">
        <v>1.1736999999999999E-2</v>
      </c>
      <c r="BD4">
        <v>1.3898000000000001E-2</v>
      </c>
      <c r="BE4">
        <v>0.32561000000000001</v>
      </c>
      <c r="BF4">
        <v>3.2163900000000001</v>
      </c>
      <c r="BG4">
        <v>38.6999</v>
      </c>
      <c r="BH4">
        <v>53.9818</v>
      </c>
      <c r="BI4">
        <v>3.7623799999999998</v>
      </c>
      <c r="BJ4">
        <v>33.9056</v>
      </c>
      <c r="BK4">
        <v>0</v>
      </c>
      <c r="BL4">
        <v>27.476299999999998</v>
      </c>
      <c r="BM4">
        <v>60.694499999999998</v>
      </c>
      <c r="BN4">
        <v>10.3977</v>
      </c>
      <c r="BO4">
        <v>1.0344100000000001</v>
      </c>
      <c r="BP4">
        <v>0.39708500000000002</v>
      </c>
      <c r="BQ4">
        <v>35.307600000000001</v>
      </c>
      <c r="BR4">
        <v>50367</v>
      </c>
    </row>
    <row r="5" spans="1:70" x14ac:dyDescent="0.25">
      <c r="A5">
        <v>31</v>
      </c>
      <c r="B5" s="8">
        <v>45952.555254629631</v>
      </c>
      <c r="C5" t="s">
        <v>132</v>
      </c>
      <c r="D5" s="6" t="s">
        <v>450</v>
      </c>
      <c r="E5" s="6" t="str">
        <f>VLOOKUP(F5,Germplasm!$A$1:$B$21,2,FALSE)</f>
        <v>Sunnita</v>
      </c>
      <c r="F5" t="s">
        <v>65</v>
      </c>
      <c r="G5" s="6" t="s">
        <v>113</v>
      </c>
      <c r="H5">
        <v>25279.9</v>
      </c>
      <c r="I5">
        <v>316.49799999999999</v>
      </c>
      <c r="J5">
        <v>105862</v>
      </c>
      <c r="K5">
        <v>13.2074</v>
      </c>
      <c r="L5">
        <v>64.130499999999998</v>
      </c>
      <c r="M5">
        <v>1258.47</v>
      </c>
      <c r="N5">
        <v>464.11399999999998</v>
      </c>
      <c r="O5">
        <v>10683200</v>
      </c>
      <c r="P5">
        <v>0.21584200000000001</v>
      </c>
      <c r="Q5">
        <v>0.66260600000000003</v>
      </c>
      <c r="R5">
        <v>5.0746900000000004</v>
      </c>
      <c r="S5">
        <v>23.215</v>
      </c>
      <c r="T5">
        <v>44.418399999999998</v>
      </c>
      <c r="U5">
        <v>26.264199999999999</v>
      </c>
      <c r="V5">
        <v>0.36502899999999999</v>
      </c>
      <c r="W5">
        <v>122.66800000000001</v>
      </c>
      <c r="X5">
        <v>1.0613600000000001</v>
      </c>
      <c r="Y5">
        <v>1.9282999999999999</v>
      </c>
      <c r="Z5">
        <v>3.5709300000000002</v>
      </c>
      <c r="AA5">
        <v>13.7263</v>
      </c>
      <c r="AB5">
        <v>33.955599999999997</v>
      </c>
      <c r="AC5">
        <v>45.7575</v>
      </c>
      <c r="AD5">
        <v>1.8080799999999999</v>
      </c>
      <c r="AE5">
        <v>6.3531899999999997</v>
      </c>
      <c r="AF5">
        <v>0</v>
      </c>
      <c r="AG5">
        <v>99.870999999999995</v>
      </c>
      <c r="AH5">
        <v>0.11308</v>
      </c>
      <c r="AI5">
        <v>1.5870800000000001E-2</v>
      </c>
      <c r="AJ5">
        <v>0</v>
      </c>
      <c r="AK5">
        <v>0</v>
      </c>
      <c r="AL5">
        <v>0.50931899999999997</v>
      </c>
      <c r="AM5">
        <v>0.56341399999999997</v>
      </c>
      <c r="AN5">
        <v>3.26939</v>
      </c>
      <c r="AO5">
        <v>6.8561899999999998</v>
      </c>
      <c r="AP5">
        <v>17.493600000000001</v>
      </c>
      <c r="AQ5">
        <v>41.099400000000003</v>
      </c>
      <c r="AR5">
        <v>30.718</v>
      </c>
      <c r="AS5">
        <v>6.3903600000000003E-3</v>
      </c>
      <c r="AT5">
        <v>10.0442</v>
      </c>
      <c r="AU5">
        <v>40.754300000000001</v>
      </c>
      <c r="AV5">
        <v>37.2012</v>
      </c>
      <c r="AW5">
        <v>9.1118299999999994</v>
      </c>
      <c r="AX5">
        <v>1.9025099999999999</v>
      </c>
      <c r="AY5">
        <v>0.98597400000000002</v>
      </c>
      <c r="AZ5">
        <v>422.596</v>
      </c>
      <c r="BA5">
        <v>520.79999999999995</v>
      </c>
      <c r="BB5">
        <v>13981.6</v>
      </c>
      <c r="BC5">
        <v>-8.4827400000000008E-3</v>
      </c>
      <c r="BD5">
        <v>6.3483200000000004E-2</v>
      </c>
      <c r="BE5">
        <v>0.84313700000000003</v>
      </c>
      <c r="BF5">
        <v>4.8148099999999996</v>
      </c>
      <c r="BG5">
        <v>45.077100000000002</v>
      </c>
      <c r="BH5">
        <v>44.9422</v>
      </c>
      <c r="BI5">
        <v>4.2593300000000003</v>
      </c>
      <c r="BJ5">
        <v>30.1648</v>
      </c>
      <c r="BK5">
        <v>0</v>
      </c>
      <c r="BL5">
        <v>37.768599999999999</v>
      </c>
      <c r="BM5">
        <v>54.766199999999998</v>
      </c>
      <c r="BN5">
        <v>6.48719</v>
      </c>
      <c r="BO5">
        <v>0.63284899999999999</v>
      </c>
      <c r="BP5">
        <v>0.34519</v>
      </c>
      <c r="BQ5">
        <v>33.593499999999999</v>
      </c>
      <c r="BR5">
        <v>50407</v>
      </c>
    </row>
    <row r="6" spans="1:70" x14ac:dyDescent="0.25">
      <c r="A6">
        <v>31</v>
      </c>
      <c r="B6" s="7">
        <v>45988.516157407408</v>
      </c>
      <c r="C6" t="s">
        <v>133</v>
      </c>
      <c r="D6" s="6" t="s">
        <v>216</v>
      </c>
      <c r="E6" s="6" t="str">
        <f>VLOOKUP(F6,Germplasm!$A$1:$B$21,2,FALSE)</f>
        <v>Olve</v>
      </c>
      <c r="F6" t="s">
        <v>62</v>
      </c>
      <c r="G6" s="6" t="s">
        <v>113</v>
      </c>
      <c r="H6">
        <v>39769.9</v>
      </c>
      <c r="I6">
        <v>484.32</v>
      </c>
      <c r="J6">
        <v>120703</v>
      </c>
      <c r="K6">
        <v>18.188099999999999</v>
      </c>
      <c r="L6">
        <v>72.534499999999994</v>
      </c>
      <c r="M6">
        <v>1344.84</v>
      </c>
      <c r="N6">
        <v>490.74</v>
      </c>
      <c r="O6">
        <v>22503800</v>
      </c>
      <c r="P6">
        <v>9.7233600000000003E-2</v>
      </c>
      <c r="Q6">
        <v>0.78948799999999997</v>
      </c>
      <c r="R6">
        <v>20.749300000000002</v>
      </c>
      <c r="S6">
        <v>47.297600000000003</v>
      </c>
      <c r="T6">
        <v>23.317599999999999</v>
      </c>
      <c r="U6">
        <v>7.5842999999999998</v>
      </c>
      <c r="V6">
        <v>0.26171499999999998</v>
      </c>
      <c r="W6">
        <v>64.963899999999995</v>
      </c>
      <c r="X6">
        <v>10.703200000000001</v>
      </c>
      <c r="Y6">
        <v>30.027699999999999</v>
      </c>
      <c r="Z6">
        <v>14.182499999999999</v>
      </c>
      <c r="AA6">
        <v>19.415800000000001</v>
      </c>
      <c r="AB6">
        <v>12.500400000000001</v>
      </c>
      <c r="AC6">
        <v>13.170400000000001</v>
      </c>
      <c r="AD6">
        <v>1.81155</v>
      </c>
      <c r="AE6">
        <v>16.713200000000001</v>
      </c>
      <c r="AF6">
        <v>0</v>
      </c>
      <c r="AG6">
        <v>86.762200000000007</v>
      </c>
      <c r="AH6">
        <v>5.9662300000000004</v>
      </c>
      <c r="AI6">
        <v>1.32812</v>
      </c>
      <c r="AJ6">
        <v>5.9434199999999997</v>
      </c>
      <c r="AK6">
        <v>0</v>
      </c>
      <c r="AL6">
        <v>0.21649499999999999</v>
      </c>
      <c r="AM6">
        <v>12.0617</v>
      </c>
      <c r="AN6">
        <v>33.526600000000002</v>
      </c>
      <c r="AO6">
        <v>22.921199999999999</v>
      </c>
      <c r="AP6">
        <v>15.9505</v>
      </c>
      <c r="AQ6">
        <v>11.1126</v>
      </c>
      <c r="AR6">
        <v>4.4274300000000002</v>
      </c>
      <c r="AS6">
        <v>0.21731500000000001</v>
      </c>
      <c r="AT6">
        <v>1.46604</v>
      </c>
      <c r="AU6">
        <v>11.321099999999999</v>
      </c>
      <c r="AV6">
        <v>32.766500000000001</v>
      </c>
      <c r="AW6">
        <v>38.183199999999999</v>
      </c>
      <c r="AX6">
        <v>13.708</v>
      </c>
      <c r="AY6">
        <v>2.55525</v>
      </c>
      <c r="AZ6">
        <v>565.851</v>
      </c>
      <c r="BA6">
        <v>610.79999999999995</v>
      </c>
      <c r="BB6">
        <v>21953.599999999999</v>
      </c>
      <c r="BC6">
        <v>0.218857</v>
      </c>
      <c r="BD6">
        <v>0.445241</v>
      </c>
      <c r="BE6">
        <v>0.42135</v>
      </c>
      <c r="BF6">
        <v>1.3520099999999999</v>
      </c>
      <c r="BG6">
        <v>10.5685</v>
      </c>
      <c r="BH6">
        <v>35.891800000000003</v>
      </c>
      <c r="BI6">
        <v>51.321100000000001</v>
      </c>
      <c r="BJ6">
        <v>31.828900000000001</v>
      </c>
      <c r="BK6">
        <v>0</v>
      </c>
      <c r="BL6">
        <v>35.463999999999999</v>
      </c>
      <c r="BM6">
        <v>54.118499999999997</v>
      </c>
      <c r="BN6">
        <v>7.7276400000000001</v>
      </c>
      <c r="BO6">
        <v>1.4041399999999999</v>
      </c>
      <c r="BP6">
        <v>1.2857700000000001</v>
      </c>
      <c r="BQ6">
        <v>33.5366</v>
      </c>
      <c r="BR6">
        <v>92085</v>
      </c>
    </row>
    <row r="7" spans="1:70" x14ac:dyDescent="0.25">
      <c r="A7">
        <v>31</v>
      </c>
      <c r="B7" s="7">
        <v>45994.530671296299</v>
      </c>
      <c r="C7" t="s">
        <v>133</v>
      </c>
      <c r="D7" s="6" t="s">
        <v>217</v>
      </c>
      <c r="E7" s="6" t="str">
        <f>VLOOKUP(F7,Germplasm!$A$1:$B$21,2,FALSE)</f>
        <v>Olve</v>
      </c>
      <c r="F7" t="s">
        <v>62</v>
      </c>
      <c r="G7" s="6" t="s">
        <v>113</v>
      </c>
      <c r="H7">
        <v>39651.1</v>
      </c>
      <c r="I7">
        <v>475.93599999999998</v>
      </c>
      <c r="J7">
        <v>139087</v>
      </c>
      <c r="K7">
        <v>15.7476</v>
      </c>
      <c r="L7">
        <v>67.722300000000004</v>
      </c>
      <c r="M7">
        <v>1443.02</v>
      </c>
      <c r="N7">
        <v>544.31799999999998</v>
      </c>
      <c r="O7">
        <v>22010300</v>
      </c>
      <c r="P7">
        <v>5.5518600000000001E-2</v>
      </c>
      <c r="Q7">
        <v>0.80579599999999996</v>
      </c>
      <c r="R7">
        <v>28.943899999999999</v>
      </c>
      <c r="S7">
        <v>52.963000000000001</v>
      </c>
      <c r="T7">
        <v>13.641500000000001</v>
      </c>
      <c r="U7">
        <v>3.50752</v>
      </c>
      <c r="V7">
        <v>0.138325</v>
      </c>
      <c r="W7">
        <v>51.3157</v>
      </c>
      <c r="X7">
        <v>14.9072</v>
      </c>
      <c r="Y7">
        <v>40.974899999999998</v>
      </c>
      <c r="Z7">
        <v>12.908099999999999</v>
      </c>
      <c r="AA7">
        <v>12.0793</v>
      </c>
      <c r="AB7">
        <v>6.9579500000000003</v>
      </c>
      <c r="AC7">
        <v>12.172599999999999</v>
      </c>
      <c r="AD7">
        <v>1.8103100000000001</v>
      </c>
      <c r="AE7">
        <v>19.542400000000001</v>
      </c>
      <c r="AF7">
        <v>0</v>
      </c>
      <c r="AG7">
        <v>80.712500000000006</v>
      </c>
      <c r="AH7">
        <v>11.7159</v>
      </c>
      <c r="AI7">
        <v>1.4787600000000001</v>
      </c>
      <c r="AJ7">
        <v>6.0928800000000001</v>
      </c>
      <c r="AK7">
        <v>0</v>
      </c>
      <c r="AL7">
        <v>0.147864</v>
      </c>
      <c r="AM7">
        <v>18.366499999999998</v>
      </c>
      <c r="AN7">
        <v>42.288899999999998</v>
      </c>
      <c r="AO7">
        <v>21.029800000000002</v>
      </c>
      <c r="AP7">
        <v>10.8826</v>
      </c>
      <c r="AQ7">
        <v>4.8249000000000004</v>
      </c>
      <c r="AR7">
        <v>2.60731</v>
      </c>
      <c r="AS7">
        <v>0.23705899999999999</v>
      </c>
      <c r="AT7">
        <v>1.3393299999999999</v>
      </c>
      <c r="AU7">
        <v>9.5762400000000003</v>
      </c>
      <c r="AV7">
        <v>28.6782</v>
      </c>
      <c r="AW7">
        <v>42.984999999999999</v>
      </c>
      <c r="AX7">
        <v>14.6416</v>
      </c>
      <c r="AY7">
        <v>2.7796699999999999</v>
      </c>
      <c r="AZ7">
        <v>555.1</v>
      </c>
      <c r="BA7">
        <v>614.399</v>
      </c>
      <c r="BB7">
        <v>21902.9</v>
      </c>
      <c r="BC7">
        <v>0.26744200000000001</v>
      </c>
      <c r="BD7">
        <v>0.42156100000000002</v>
      </c>
      <c r="BE7">
        <v>0.49621300000000002</v>
      </c>
      <c r="BF7">
        <v>1.37446</v>
      </c>
      <c r="BG7">
        <v>8.6233400000000007</v>
      </c>
      <c r="BH7">
        <v>25.887599999999999</v>
      </c>
      <c r="BI7">
        <v>63.196800000000003</v>
      </c>
      <c r="BJ7">
        <v>30.930299999999999</v>
      </c>
      <c r="BK7">
        <v>0</v>
      </c>
      <c r="BL7">
        <v>37.894399999999997</v>
      </c>
      <c r="BM7">
        <v>52.833500000000001</v>
      </c>
      <c r="BN7">
        <v>6.6615399999999996</v>
      </c>
      <c r="BO7">
        <v>1.40411</v>
      </c>
      <c r="BP7">
        <v>1.2064999999999999</v>
      </c>
      <c r="BQ7">
        <v>33.562600000000003</v>
      </c>
      <c r="BR7">
        <v>91090</v>
      </c>
    </row>
    <row r="8" spans="1:70" x14ac:dyDescent="0.25">
      <c r="A8">
        <v>31</v>
      </c>
      <c r="B8" s="7">
        <v>46002.579004629632</v>
      </c>
      <c r="C8" t="s">
        <v>133</v>
      </c>
      <c r="D8" s="6" t="s">
        <v>218</v>
      </c>
      <c r="E8" s="6" t="str">
        <f>VLOOKUP(F8,Germplasm!$A$1:$B$21,2,FALSE)</f>
        <v>Olve</v>
      </c>
      <c r="F8" t="s">
        <v>62</v>
      </c>
      <c r="G8" s="6" t="s">
        <v>113</v>
      </c>
      <c r="H8">
        <v>34381.1</v>
      </c>
      <c r="I8">
        <v>480.99700000000001</v>
      </c>
      <c r="J8">
        <v>106245</v>
      </c>
      <c r="K8">
        <v>18.116900000000001</v>
      </c>
      <c r="L8">
        <v>65.062299999999993</v>
      </c>
      <c r="M8">
        <v>1295.58</v>
      </c>
      <c r="N8">
        <v>500.04300000000001</v>
      </c>
      <c r="O8">
        <v>19212500</v>
      </c>
      <c r="P8">
        <v>3.2397000000000002E-2</v>
      </c>
      <c r="Q8">
        <v>1.1709000000000001</v>
      </c>
      <c r="R8">
        <v>31.5639</v>
      </c>
      <c r="S8">
        <v>58.061999999999998</v>
      </c>
      <c r="T8">
        <v>7.2411799999999999</v>
      </c>
      <c r="U8">
        <v>1.8913599999999999</v>
      </c>
      <c r="V8">
        <v>7.0657999999999999E-2</v>
      </c>
      <c r="W8">
        <v>42.715899999999998</v>
      </c>
      <c r="X8">
        <v>16.527699999999999</v>
      </c>
      <c r="Y8">
        <v>48.198900000000002</v>
      </c>
      <c r="Z8">
        <v>14.6477</v>
      </c>
      <c r="AA8">
        <v>7.9338800000000003</v>
      </c>
      <c r="AB8">
        <v>2.6408399999999999</v>
      </c>
      <c r="AC8">
        <v>10.0511</v>
      </c>
      <c r="AD8">
        <v>1.7861800000000001</v>
      </c>
      <c r="AE8">
        <v>21.193200000000001</v>
      </c>
      <c r="AF8">
        <v>0</v>
      </c>
      <c r="AG8">
        <v>78.282799999999995</v>
      </c>
      <c r="AH8">
        <v>13.355600000000001</v>
      </c>
      <c r="AI8">
        <v>1.6491100000000001</v>
      </c>
      <c r="AJ8">
        <v>6.71251</v>
      </c>
      <c r="AK8">
        <v>0</v>
      </c>
      <c r="AL8">
        <v>9.7150500000000001E-2</v>
      </c>
      <c r="AM8">
        <v>22.999199999999998</v>
      </c>
      <c r="AN8">
        <v>49.888300000000001</v>
      </c>
      <c r="AO8">
        <v>17.794499999999999</v>
      </c>
      <c r="AP8">
        <v>6.2166399999999999</v>
      </c>
      <c r="AQ8">
        <v>2.3228800000000001</v>
      </c>
      <c r="AR8">
        <v>0.77849999999999997</v>
      </c>
      <c r="AS8">
        <v>0.259598</v>
      </c>
      <c r="AT8">
        <v>1.43082</v>
      </c>
      <c r="AU8">
        <v>6.5106299999999999</v>
      </c>
      <c r="AV8">
        <v>25.364999999999998</v>
      </c>
      <c r="AW8">
        <v>48.432299999999998</v>
      </c>
      <c r="AX8">
        <v>14.8483</v>
      </c>
      <c r="AY8">
        <v>3.41303</v>
      </c>
      <c r="AZ8">
        <v>558.81100000000004</v>
      </c>
      <c r="BA8">
        <v>599.99900000000002</v>
      </c>
      <c r="BB8">
        <v>19248.400000000001</v>
      </c>
      <c r="BC8">
        <v>0.30596400000000001</v>
      </c>
      <c r="BD8">
        <v>0.642231</v>
      </c>
      <c r="BE8">
        <v>0.719198</v>
      </c>
      <c r="BF8">
        <v>1.26427</v>
      </c>
      <c r="BG8">
        <v>5.3132299999999999</v>
      </c>
      <c r="BH8">
        <v>18.137699999999999</v>
      </c>
      <c r="BI8">
        <v>73.923400000000001</v>
      </c>
      <c r="BJ8">
        <v>31.508299999999998</v>
      </c>
      <c r="BK8">
        <v>0</v>
      </c>
      <c r="BL8">
        <v>36.392699999999998</v>
      </c>
      <c r="BM8">
        <v>54.1051</v>
      </c>
      <c r="BN8">
        <v>6.1914100000000003</v>
      </c>
      <c r="BO8">
        <v>1.75383</v>
      </c>
      <c r="BP8">
        <v>1.5569999999999999</v>
      </c>
      <c r="BQ8">
        <v>34.0732</v>
      </c>
      <c r="BR8">
        <v>79255</v>
      </c>
    </row>
    <row r="9" spans="1:70" x14ac:dyDescent="0.25">
      <c r="A9">
        <v>31</v>
      </c>
      <c r="B9" s="7">
        <v>46013.591331018521</v>
      </c>
      <c r="C9" t="s">
        <v>133</v>
      </c>
      <c r="D9" s="6" t="s">
        <v>219</v>
      </c>
      <c r="E9" s="6" t="str">
        <f>VLOOKUP(F9,Germplasm!$A$1:$B$21,2,FALSE)</f>
        <v>Olve</v>
      </c>
      <c r="F9" t="s">
        <v>62</v>
      </c>
      <c r="G9" s="6" t="s">
        <v>113</v>
      </c>
      <c r="H9">
        <v>33453.800000000003</v>
      </c>
      <c r="I9">
        <v>481.358</v>
      </c>
      <c r="J9">
        <v>131558</v>
      </c>
      <c r="K9">
        <v>14.1837</v>
      </c>
      <c r="L9">
        <v>48.966799999999999</v>
      </c>
      <c r="M9">
        <v>1491.1</v>
      </c>
      <c r="N9">
        <v>603.40599999999995</v>
      </c>
      <c r="O9">
        <v>18324600</v>
      </c>
      <c r="P9">
        <v>1.1576299999999999E-2</v>
      </c>
      <c r="Q9">
        <v>1.20733</v>
      </c>
      <c r="R9">
        <v>34.997999999999998</v>
      </c>
      <c r="S9">
        <v>61.591900000000003</v>
      </c>
      <c r="T9">
        <v>1.9764600000000001</v>
      </c>
      <c r="U9">
        <v>0.18704999999999999</v>
      </c>
      <c r="V9">
        <v>3.92413E-2</v>
      </c>
      <c r="W9">
        <v>38.085799999999999</v>
      </c>
      <c r="X9">
        <v>17.789400000000001</v>
      </c>
      <c r="Y9">
        <v>53.246600000000001</v>
      </c>
      <c r="Z9">
        <v>11.1341</v>
      </c>
      <c r="AA9">
        <v>4.51668</v>
      </c>
      <c r="AB9">
        <v>1.9306700000000001</v>
      </c>
      <c r="AC9">
        <v>11.3826</v>
      </c>
      <c r="AD9">
        <v>1.7928200000000001</v>
      </c>
      <c r="AE9">
        <v>23.607099999999999</v>
      </c>
      <c r="AF9">
        <v>0</v>
      </c>
      <c r="AG9">
        <v>71.417900000000003</v>
      </c>
      <c r="AH9">
        <v>19.614100000000001</v>
      </c>
      <c r="AI9">
        <v>1.91629</v>
      </c>
      <c r="AJ9">
        <v>7.0516699999999997</v>
      </c>
      <c r="AK9">
        <v>0</v>
      </c>
      <c r="AL9">
        <v>6.0342899999999998E-2</v>
      </c>
      <c r="AM9">
        <v>30.149100000000001</v>
      </c>
      <c r="AN9">
        <v>51.376100000000001</v>
      </c>
      <c r="AO9">
        <v>13.6691</v>
      </c>
      <c r="AP9">
        <v>3.56311</v>
      </c>
      <c r="AQ9">
        <v>0.94179199999999996</v>
      </c>
      <c r="AR9">
        <v>0.30085000000000001</v>
      </c>
      <c r="AS9">
        <v>0.23180300000000001</v>
      </c>
      <c r="AT9">
        <v>1.42577</v>
      </c>
      <c r="AU9">
        <v>7.0411999999999999</v>
      </c>
      <c r="AV9">
        <v>31.008500000000002</v>
      </c>
      <c r="AW9">
        <v>47.679499999999997</v>
      </c>
      <c r="AX9">
        <v>10.4133</v>
      </c>
      <c r="AY9">
        <v>2.4316499999999999</v>
      </c>
      <c r="AZ9">
        <v>547.75699999999995</v>
      </c>
      <c r="BA9">
        <v>591</v>
      </c>
      <c r="BB9">
        <v>18659.900000000001</v>
      </c>
      <c r="BC9">
        <v>0.301954</v>
      </c>
      <c r="BD9">
        <v>0.56376700000000002</v>
      </c>
      <c r="BE9">
        <v>0.81491199999999997</v>
      </c>
      <c r="BF9">
        <v>1.5840399999999999</v>
      </c>
      <c r="BG9">
        <v>5.5029399999999997</v>
      </c>
      <c r="BH9">
        <v>17.322399999999998</v>
      </c>
      <c r="BI9">
        <v>74.2119</v>
      </c>
      <c r="BJ9">
        <v>28.222000000000001</v>
      </c>
      <c r="BK9">
        <v>0</v>
      </c>
      <c r="BL9">
        <v>46.833199999999998</v>
      </c>
      <c r="BM9">
        <v>46.393700000000003</v>
      </c>
      <c r="BN9">
        <v>3.9175900000000001</v>
      </c>
      <c r="BO9">
        <v>1.3852199999999999</v>
      </c>
      <c r="BP9">
        <v>1.47024</v>
      </c>
      <c r="BQ9">
        <v>33.928899999999999</v>
      </c>
      <c r="BR9">
        <v>76450</v>
      </c>
    </row>
    <row r="10" spans="1:70" x14ac:dyDescent="0.25">
      <c r="A10">
        <v>31</v>
      </c>
      <c r="B10" s="7">
        <v>46024.538738425923</v>
      </c>
      <c r="C10" t="s">
        <v>133</v>
      </c>
      <c r="D10" s="6" t="s">
        <v>220</v>
      </c>
      <c r="E10" s="6" t="str">
        <f>VLOOKUP(F10,Germplasm!$A$1:$B$21,2,FALSE)</f>
        <v>Olve</v>
      </c>
      <c r="F10" t="s">
        <v>62</v>
      </c>
      <c r="G10" s="6" t="s">
        <v>113</v>
      </c>
      <c r="H10">
        <v>32649.3</v>
      </c>
      <c r="I10">
        <v>475.41199999999998</v>
      </c>
      <c r="J10">
        <v>125965</v>
      </c>
      <c r="K10">
        <v>14.536099999999999</v>
      </c>
      <c r="L10">
        <v>61.3566</v>
      </c>
      <c r="M10">
        <v>1377.84</v>
      </c>
      <c r="N10">
        <v>523.44100000000003</v>
      </c>
      <c r="O10">
        <v>17792200</v>
      </c>
      <c r="P10">
        <v>1.15812E-2</v>
      </c>
      <c r="Q10">
        <v>1.2438</v>
      </c>
      <c r="R10">
        <v>33.885100000000001</v>
      </c>
      <c r="S10">
        <v>62.813800000000001</v>
      </c>
      <c r="T10">
        <v>1.86771</v>
      </c>
      <c r="U10">
        <v>0.173459</v>
      </c>
      <c r="V10">
        <v>1.6135799999999999E-2</v>
      </c>
      <c r="W10">
        <v>38.598399999999998</v>
      </c>
      <c r="X10">
        <v>16.4222</v>
      </c>
      <c r="Y10">
        <v>53.305799999999998</v>
      </c>
      <c r="Z10">
        <v>10.8688</v>
      </c>
      <c r="AA10">
        <v>4.4185100000000004</v>
      </c>
      <c r="AB10">
        <v>2.1621899999999998</v>
      </c>
      <c r="AC10">
        <v>12.8225</v>
      </c>
      <c r="AD10">
        <v>1.7830999999999999</v>
      </c>
      <c r="AE10">
        <v>23.853100000000001</v>
      </c>
      <c r="AF10">
        <v>0</v>
      </c>
      <c r="AG10">
        <v>70.187799999999996</v>
      </c>
      <c r="AH10">
        <v>20.7761</v>
      </c>
      <c r="AI10">
        <v>1.97797</v>
      </c>
      <c r="AJ10">
        <v>7.0580499999999997</v>
      </c>
      <c r="AK10">
        <v>0</v>
      </c>
      <c r="AL10">
        <v>5.8296899999999999E-2</v>
      </c>
      <c r="AM10">
        <v>30.612200000000001</v>
      </c>
      <c r="AN10">
        <v>51.427300000000002</v>
      </c>
      <c r="AO10">
        <v>13.414199999999999</v>
      </c>
      <c r="AP10">
        <v>3.3871600000000002</v>
      </c>
      <c r="AQ10">
        <v>0.88208799999999998</v>
      </c>
      <c r="AR10">
        <v>0.27699699999999999</v>
      </c>
      <c r="AS10">
        <v>0.220415</v>
      </c>
      <c r="AT10">
        <v>1.8946099999999999</v>
      </c>
      <c r="AU10">
        <v>8.15259</v>
      </c>
      <c r="AV10">
        <v>32.048299999999998</v>
      </c>
      <c r="AW10">
        <v>46.243699999999997</v>
      </c>
      <c r="AX10">
        <v>9.4205900000000007</v>
      </c>
      <c r="AY10">
        <v>2.2401800000000001</v>
      </c>
      <c r="AZ10">
        <v>544.947</v>
      </c>
      <c r="BA10">
        <v>587.399</v>
      </c>
      <c r="BB10">
        <v>18310.400000000001</v>
      </c>
      <c r="BC10">
        <v>0.28547600000000001</v>
      </c>
      <c r="BD10">
        <v>0.76644800000000002</v>
      </c>
      <c r="BE10">
        <v>1.01386</v>
      </c>
      <c r="BF10">
        <v>1.97394</v>
      </c>
      <c r="BG10">
        <v>6.2929399999999998</v>
      </c>
      <c r="BH10">
        <v>17.353999999999999</v>
      </c>
      <c r="BI10">
        <v>72.598799999999997</v>
      </c>
      <c r="BJ10">
        <v>27.632400000000001</v>
      </c>
      <c r="BK10">
        <v>0</v>
      </c>
      <c r="BL10">
        <v>48.822800000000001</v>
      </c>
      <c r="BM10">
        <v>44.825099999999999</v>
      </c>
      <c r="BN10">
        <v>3.62113</v>
      </c>
      <c r="BO10">
        <v>1.29355</v>
      </c>
      <c r="BP10">
        <v>1.43743</v>
      </c>
      <c r="BQ10">
        <v>34.138800000000003</v>
      </c>
      <c r="BR10">
        <v>74369</v>
      </c>
    </row>
    <row r="11" spans="1:70" x14ac:dyDescent="0.25">
      <c r="A11">
        <v>33</v>
      </c>
      <c r="B11" s="7">
        <v>45952.552048611113</v>
      </c>
      <c r="C11" t="s">
        <v>125</v>
      </c>
      <c r="D11" s="6" t="s">
        <v>231</v>
      </c>
      <c r="E11" s="6" t="str">
        <f>VLOOKUP(F11,Germplasm!$A$1:$B$21,2,FALSE)</f>
        <v>Kinnan</v>
      </c>
      <c r="F11" t="s">
        <v>71</v>
      </c>
      <c r="G11" s="6" t="s">
        <v>113</v>
      </c>
      <c r="H11">
        <v>31514.1</v>
      </c>
      <c r="I11">
        <v>245.18100000000001</v>
      </c>
      <c r="J11">
        <v>135149</v>
      </c>
      <c r="K11">
        <v>13.6143</v>
      </c>
      <c r="L11">
        <v>69.851200000000006</v>
      </c>
      <c r="M11">
        <v>1423.47</v>
      </c>
      <c r="N11">
        <v>507.55500000000001</v>
      </c>
      <c r="O11">
        <v>9061860</v>
      </c>
      <c r="P11">
        <v>0.227549</v>
      </c>
      <c r="Q11">
        <v>0.71379300000000001</v>
      </c>
      <c r="R11">
        <v>4.6216100000000004</v>
      </c>
      <c r="S11">
        <v>19.849699999999999</v>
      </c>
      <c r="T11">
        <v>44.8215</v>
      </c>
      <c r="U11">
        <v>29.715699999999998</v>
      </c>
      <c r="V11">
        <v>0.277673</v>
      </c>
      <c r="W11">
        <v>117.565</v>
      </c>
      <c r="X11">
        <v>1.24874</v>
      </c>
      <c r="Y11">
        <v>2.1727500000000002</v>
      </c>
      <c r="Z11">
        <v>3.8905599999999998</v>
      </c>
      <c r="AA11">
        <v>15.959099999999999</v>
      </c>
      <c r="AB11">
        <v>37.456099999999999</v>
      </c>
      <c r="AC11">
        <v>39.2727</v>
      </c>
      <c r="AD11">
        <v>1.7127600000000001</v>
      </c>
      <c r="AE11">
        <v>6.6614500000000003</v>
      </c>
      <c r="AF11">
        <v>0</v>
      </c>
      <c r="AG11">
        <v>99.92</v>
      </c>
      <c r="AH11">
        <v>7.2163699999999997E-2</v>
      </c>
      <c r="AI11">
        <v>6.2750999999999996E-3</v>
      </c>
      <c r="AJ11">
        <v>1.5687800000000001E-3</v>
      </c>
      <c r="AK11">
        <v>0</v>
      </c>
      <c r="AL11">
        <v>0.52390599999999998</v>
      </c>
      <c r="AM11">
        <v>0.67300499999999996</v>
      </c>
      <c r="AN11">
        <v>2.6841699999999999</v>
      </c>
      <c r="AO11">
        <v>5.3981599999999998</v>
      </c>
      <c r="AP11">
        <v>15.013199999999999</v>
      </c>
      <c r="AQ11">
        <v>42.049399999999999</v>
      </c>
      <c r="AR11">
        <v>34.182000000000002</v>
      </c>
      <c r="AS11">
        <v>2.9289900000000001E-2</v>
      </c>
      <c r="AT11">
        <v>7.2367600000000003</v>
      </c>
      <c r="AU11">
        <v>37.540799999999997</v>
      </c>
      <c r="AV11">
        <v>41.421900000000001</v>
      </c>
      <c r="AW11">
        <v>10.6426</v>
      </c>
      <c r="AX11">
        <v>1.9829300000000001</v>
      </c>
      <c r="AY11">
        <v>1.1750100000000001</v>
      </c>
      <c r="AZ11">
        <v>287.54899999999998</v>
      </c>
      <c r="BA11">
        <v>295.2</v>
      </c>
      <c r="BB11">
        <v>18399.599999999999</v>
      </c>
      <c r="BC11">
        <v>9.7585799999999993E-3</v>
      </c>
      <c r="BD11">
        <v>2.8237999999999999E-2</v>
      </c>
      <c r="BE11">
        <v>0.37023099999999998</v>
      </c>
      <c r="BF11">
        <v>2.8033999999999999</v>
      </c>
      <c r="BG11">
        <v>41.575699999999998</v>
      </c>
      <c r="BH11">
        <v>50.950699999999998</v>
      </c>
      <c r="BI11">
        <v>4.2717700000000001</v>
      </c>
      <c r="BJ11">
        <v>31.1248</v>
      </c>
      <c r="BK11">
        <v>0</v>
      </c>
      <c r="BL11">
        <v>34.371899999999997</v>
      </c>
      <c r="BM11">
        <v>57.614800000000002</v>
      </c>
      <c r="BN11">
        <v>6.9355500000000001</v>
      </c>
      <c r="BO11">
        <v>0.73261799999999999</v>
      </c>
      <c r="BP11">
        <v>0.34513100000000002</v>
      </c>
      <c r="BQ11">
        <v>35.750799999999998</v>
      </c>
      <c r="BR11">
        <v>63744</v>
      </c>
    </row>
    <row r="12" spans="1:70" x14ac:dyDescent="0.25">
      <c r="A12">
        <v>33</v>
      </c>
      <c r="B12" s="7">
        <v>45959.512916666667</v>
      </c>
      <c r="C12" t="s">
        <v>125</v>
      </c>
      <c r="D12" s="6" t="s">
        <v>232</v>
      </c>
      <c r="E12" s="6" t="str">
        <f>VLOOKUP(F12,Germplasm!$A$1:$B$21,2,FALSE)</f>
        <v>Kinnan</v>
      </c>
      <c r="F12" t="s">
        <v>71</v>
      </c>
      <c r="G12" s="6" t="s">
        <v>113</v>
      </c>
      <c r="H12">
        <v>50041.2</v>
      </c>
      <c r="I12">
        <v>296.44</v>
      </c>
      <c r="J12">
        <v>205414</v>
      </c>
      <c r="K12">
        <v>14.666</v>
      </c>
      <c r="L12">
        <v>76.929599999999994</v>
      </c>
      <c r="M12">
        <v>1689.39</v>
      </c>
      <c r="N12">
        <v>581.75699999999995</v>
      </c>
      <c r="O12">
        <v>19473600</v>
      </c>
      <c r="P12">
        <v>0.223246</v>
      </c>
      <c r="Q12">
        <v>0.54399900000000001</v>
      </c>
      <c r="R12">
        <v>3.95357</v>
      </c>
      <c r="S12">
        <v>21.205400000000001</v>
      </c>
      <c r="T12">
        <v>47.410299999999999</v>
      </c>
      <c r="U12">
        <v>26.509399999999999</v>
      </c>
      <c r="V12">
        <v>0.37735099999999999</v>
      </c>
      <c r="W12">
        <v>122.536</v>
      </c>
      <c r="X12">
        <v>0.80833600000000005</v>
      </c>
      <c r="Y12">
        <v>1.67988</v>
      </c>
      <c r="Z12">
        <v>2.9029199999999999</v>
      </c>
      <c r="AA12">
        <v>12.7332</v>
      </c>
      <c r="AB12">
        <v>35.633800000000001</v>
      </c>
      <c r="AC12">
        <v>46.241799999999998</v>
      </c>
      <c r="AD12">
        <v>1.66107</v>
      </c>
      <c r="AE12">
        <v>6.6809900000000004</v>
      </c>
      <c r="AF12">
        <v>0</v>
      </c>
      <c r="AG12">
        <v>99.934899999999999</v>
      </c>
      <c r="AH12">
        <v>6.3211100000000006E-2</v>
      </c>
      <c r="AI12">
        <v>1.9154899999999999E-3</v>
      </c>
      <c r="AJ12">
        <v>0</v>
      </c>
      <c r="AK12">
        <v>0</v>
      </c>
      <c r="AL12">
        <v>0.52296200000000004</v>
      </c>
      <c r="AM12">
        <v>0.67137899999999995</v>
      </c>
      <c r="AN12">
        <v>3.09639</v>
      </c>
      <c r="AO12">
        <v>5.8422400000000003</v>
      </c>
      <c r="AP12">
        <v>15.008800000000001</v>
      </c>
      <c r="AQ12">
        <v>40.800899999999999</v>
      </c>
      <c r="AR12">
        <v>34.580300000000001</v>
      </c>
      <c r="AS12">
        <v>7.6590299999999996E-4</v>
      </c>
      <c r="AT12">
        <v>8.7346299999999992</v>
      </c>
      <c r="AU12">
        <v>43.816800000000001</v>
      </c>
      <c r="AV12">
        <v>37.924799999999998</v>
      </c>
      <c r="AW12">
        <v>7.1639299999999997</v>
      </c>
      <c r="AX12">
        <v>1.32552</v>
      </c>
      <c r="AY12">
        <v>1.0343599999999999</v>
      </c>
      <c r="AZ12">
        <v>389.15100000000001</v>
      </c>
      <c r="BA12">
        <v>439.8</v>
      </c>
      <c r="BB12">
        <v>30126</v>
      </c>
      <c r="BC12">
        <v>-7.2209800000000001E-3</v>
      </c>
      <c r="BD12">
        <v>5.55492E-2</v>
      </c>
      <c r="BE12">
        <v>0.48461900000000002</v>
      </c>
      <c r="BF12">
        <v>3.3731800000000001</v>
      </c>
      <c r="BG12">
        <v>48.637099999999997</v>
      </c>
      <c r="BH12">
        <v>44.140500000000003</v>
      </c>
      <c r="BI12">
        <v>3.3090099999999998</v>
      </c>
      <c r="BJ12">
        <v>30.001100000000001</v>
      </c>
      <c r="BK12">
        <v>0</v>
      </c>
      <c r="BL12">
        <v>38.292499999999997</v>
      </c>
      <c r="BM12">
        <v>54.593299999999999</v>
      </c>
      <c r="BN12">
        <v>5.9610000000000003</v>
      </c>
      <c r="BO12">
        <v>0.68287200000000003</v>
      </c>
      <c r="BP12">
        <v>0.470252</v>
      </c>
      <c r="BQ12">
        <v>37.061700000000002</v>
      </c>
      <c r="BR12">
        <v>104412</v>
      </c>
    </row>
    <row r="13" spans="1:70" x14ac:dyDescent="0.25">
      <c r="A13">
        <v>33</v>
      </c>
      <c r="B13" s="7">
        <v>45966.568796296298</v>
      </c>
      <c r="C13" t="s">
        <v>125</v>
      </c>
      <c r="D13" s="6" t="s">
        <v>233</v>
      </c>
      <c r="E13" s="6" t="str">
        <f>VLOOKUP(F13,Germplasm!$A$1:$B$21,2,FALSE)</f>
        <v>Kinnan</v>
      </c>
      <c r="F13" t="s">
        <v>71</v>
      </c>
      <c r="G13" s="6" t="s">
        <v>113</v>
      </c>
      <c r="H13">
        <v>76107.7</v>
      </c>
      <c r="I13">
        <v>383.67500000000001</v>
      </c>
      <c r="J13">
        <v>267533</v>
      </c>
      <c r="K13">
        <v>16.249500000000001</v>
      </c>
      <c r="L13">
        <v>73.380700000000004</v>
      </c>
      <c r="M13">
        <v>1926.16</v>
      </c>
      <c r="N13">
        <v>710.17</v>
      </c>
      <c r="O13">
        <v>35927800</v>
      </c>
      <c r="P13">
        <v>0.241699</v>
      </c>
      <c r="Q13">
        <v>0.44083699999999998</v>
      </c>
      <c r="R13">
        <v>3.30728</v>
      </c>
      <c r="S13">
        <v>17.329999999999998</v>
      </c>
      <c r="T13">
        <v>46.069800000000001</v>
      </c>
      <c r="U13">
        <v>32.469200000000001</v>
      </c>
      <c r="V13">
        <v>0.38281500000000002</v>
      </c>
      <c r="W13">
        <v>112.306</v>
      </c>
      <c r="X13">
        <v>1.0163899999999999</v>
      </c>
      <c r="Y13">
        <v>2.2275299999999998</v>
      </c>
      <c r="Z13">
        <v>4.6391299999999998</v>
      </c>
      <c r="AA13">
        <v>19.915700000000001</v>
      </c>
      <c r="AB13">
        <v>42.265000000000001</v>
      </c>
      <c r="AC13">
        <v>29.936199999999999</v>
      </c>
      <c r="AD13">
        <v>1.7506999999999999</v>
      </c>
      <c r="AE13">
        <v>7.11097</v>
      </c>
      <c r="AF13">
        <v>0</v>
      </c>
      <c r="AG13">
        <v>99.714600000000004</v>
      </c>
      <c r="AH13">
        <v>0.28277600000000003</v>
      </c>
      <c r="AI13">
        <v>2.0007699999999998E-3</v>
      </c>
      <c r="AJ13">
        <v>6.6692499999999996E-4</v>
      </c>
      <c r="AK13">
        <v>0</v>
      </c>
      <c r="AL13">
        <v>0.510015</v>
      </c>
      <c r="AM13">
        <v>0.75095699999999999</v>
      </c>
      <c r="AN13">
        <v>3.5433699999999999</v>
      </c>
      <c r="AO13">
        <v>6.4191500000000001</v>
      </c>
      <c r="AP13">
        <v>16.011500000000002</v>
      </c>
      <c r="AQ13">
        <v>41.868899999999996</v>
      </c>
      <c r="AR13">
        <v>31.406099999999999</v>
      </c>
      <c r="AS13">
        <v>6.6920300000000002E-2</v>
      </c>
      <c r="AT13">
        <v>3.94686</v>
      </c>
      <c r="AU13">
        <v>31.985700000000001</v>
      </c>
      <c r="AV13">
        <v>46.225200000000001</v>
      </c>
      <c r="AW13">
        <v>13.213100000000001</v>
      </c>
      <c r="AX13">
        <v>3.2212499999999999</v>
      </c>
      <c r="AY13">
        <v>1.40788</v>
      </c>
      <c r="AZ13">
        <v>472.06400000000002</v>
      </c>
      <c r="BA13">
        <v>490.79899999999998</v>
      </c>
      <c r="BB13">
        <v>43472.9</v>
      </c>
      <c r="BC13">
        <v>3.4715900000000001E-2</v>
      </c>
      <c r="BD13">
        <v>4.2016199999999997E-2</v>
      </c>
      <c r="BE13">
        <v>0.26810400000000001</v>
      </c>
      <c r="BF13">
        <v>1.7886899999999999</v>
      </c>
      <c r="BG13">
        <v>33.8337</v>
      </c>
      <c r="BH13">
        <v>57.360799999999998</v>
      </c>
      <c r="BI13">
        <v>6.7065900000000003</v>
      </c>
      <c r="BJ13">
        <v>32.310099999999998</v>
      </c>
      <c r="BK13">
        <v>0</v>
      </c>
      <c r="BL13">
        <v>30.8886</v>
      </c>
      <c r="BM13">
        <v>59.579000000000001</v>
      </c>
      <c r="BN13">
        <v>8.3018800000000006</v>
      </c>
      <c r="BO13">
        <v>0.76696299999999995</v>
      </c>
      <c r="BP13">
        <v>0.46351300000000001</v>
      </c>
      <c r="BQ13">
        <v>34.886499999999998</v>
      </c>
      <c r="BR13">
        <v>149942</v>
      </c>
    </row>
    <row r="14" spans="1:70" x14ac:dyDescent="0.25">
      <c r="A14">
        <v>33</v>
      </c>
      <c r="B14" s="7">
        <v>45973.548726851855</v>
      </c>
      <c r="C14" t="s">
        <v>125</v>
      </c>
      <c r="D14" s="6" t="s">
        <v>234</v>
      </c>
      <c r="E14" s="6" t="str">
        <f>VLOOKUP(F14,Germplasm!$A$1:$B$21,2,FALSE)</f>
        <v>Kinnan</v>
      </c>
      <c r="F14" t="s">
        <v>71</v>
      </c>
      <c r="G14" s="6" t="s">
        <v>113</v>
      </c>
      <c r="H14">
        <v>75662.100000000006</v>
      </c>
      <c r="I14">
        <v>379.67599999999999</v>
      </c>
      <c r="J14">
        <v>229776</v>
      </c>
      <c r="K14">
        <v>18.8003</v>
      </c>
      <c r="L14">
        <v>89.197800000000001</v>
      </c>
      <c r="M14">
        <v>1777.6</v>
      </c>
      <c r="N14">
        <v>601.13</v>
      </c>
      <c r="O14">
        <v>37624100</v>
      </c>
      <c r="P14">
        <v>0.19611700000000001</v>
      </c>
      <c r="Q14">
        <v>0.76661999999999997</v>
      </c>
      <c r="R14">
        <v>7.3293799999999996</v>
      </c>
      <c r="S14">
        <v>25.9526</v>
      </c>
      <c r="T14">
        <v>43.382599999999996</v>
      </c>
      <c r="U14">
        <v>22.3126</v>
      </c>
      <c r="V14">
        <v>0.25618999999999997</v>
      </c>
      <c r="W14">
        <v>105.864</v>
      </c>
      <c r="X14">
        <v>3.1614100000000001</v>
      </c>
      <c r="Y14">
        <v>8.4204600000000003</v>
      </c>
      <c r="Z14">
        <v>6.5679600000000002</v>
      </c>
      <c r="AA14">
        <v>18.796800000000001</v>
      </c>
      <c r="AB14">
        <v>32.592100000000002</v>
      </c>
      <c r="AC14">
        <v>30.461300000000001</v>
      </c>
      <c r="AD14">
        <v>1.7515000000000001</v>
      </c>
      <c r="AE14">
        <v>8.1389399999999998</v>
      </c>
      <c r="AF14">
        <v>0</v>
      </c>
      <c r="AG14">
        <v>99.366</v>
      </c>
      <c r="AH14">
        <v>0.632023</v>
      </c>
      <c r="AI14">
        <v>1.9506899999999999E-3</v>
      </c>
      <c r="AJ14">
        <v>0</v>
      </c>
      <c r="AK14">
        <v>0</v>
      </c>
      <c r="AL14">
        <v>0.434172</v>
      </c>
      <c r="AM14">
        <v>1.86161</v>
      </c>
      <c r="AN14">
        <v>9.6051800000000007</v>
      </c>
      <c r="AO14">
        <v>12.2646</v>
      </c>
      <c r="AP14">
        <v>20.101199999999999</v>
      </c>
      <c r="AQ14">
        <v>36.775599999999997</v>
      </c>
      <c r="AR14">
        <v>19.3918</v>
      </c>
      <c r="AS14">
        <v>9.5387200000000005E-2</v>
      </c>
      <c r="AT14">
        <v>3.8038400000000001</v>
      </c>
      <c r="AU14">
        <v>30.558199999999999</v>
      </c>
      <c r="AV14">
        <v>39.604799999999997</v>
      </c>
      <c r="AW14">
        <v>17.5503</v>
      </c>
      <c r="AX14">
        <v>6.9340400000000004</v>
      </c>
      <c r="AY14">
        <v>1.5488500000000001</v>
      </c>
      <c r="AZ14">
        <v>497.26499999999999</v>
      </c>
      <c r="BA14">
        <v>586.19899999999996</v>
      </c>
      <c r="BB14">
        <v>43198.5</v>
      </c>
      <c r="BC14">
        <v>7.2105900000000001E-2</v>
      </c>
      <c r="BD14">
        <v>3.3811899999999999E-2</v>
      </c>
      <c r="BE14">
        <v>0.288051</v>
      </c>
      <c r="BF14">
        <v>2.4448599999999998</v>
      </c>
      <c r="BG14">
        <v>31.593299999999999</v>
      </c>
      <c r="BH14">
        <v>48.225499999999997</v>
      </c>
      <c r="BI14">
        <v>17.414400000000001</v>
      </c>
      <c r="BJ14">
        <v>31.082999999999998</v>
      </c>
      <c r="BK14">
        <v>0</v>
      </c>
      <c r="BL14">
        <v>35.315199999999997</v>
      </c>
      <c r="BM14">
        <v>56.175199999999997</v>
      </c>
      <c r="BN14">
        <v>7.3586400000000003</v>
      </c>
      <c r="BO14">
        <v>0.69184400000000001</v>
      </c>
      <c r="BP14">
        <v>0.45906200000000003</v>
      </c>
      <c r="BQ14">
        <v>34.866900000000001</v>
      </c>
      <c r="BR14">
        <v>153792</v>
      </c>
    </row>
    <row r="15" spans="1:70" x14ac:dyDescent="0.25">
      <c r="A15">
        <v>33</v>
      </c>
      <c r="B15" s="7">
        <v>45988.527881944443</v>
      </c>
      <c r="C15" t="s">
        <v>125</v>
      </c>
      <c r="D15" s="6" t="s">
        <v>235</v>
      </c>
      <c r="E15" s="6" t="str">
        <f>VLOOKUP(F15,Germplasm!$A$1:$B$21,2,FALSE)</f>
        <v>Kinnan</v>
      </c>
      <c r="F15" t="s">
        <v>71</v>
      </c>
      <c r="G15" s="6" t="s">
        <v>113</v>
      </c>
      <c r="H15">
        <v>58711.1</v>
      </c>
      <c r="I15">
        <v>473.48700000000002</v>
      </c>
      <c r="J15">
        <v>216558</v>
      </c>
      <c r="K15">
        <v>17.120799999999999</v>
      </c>
      <c r="L15">
        <v>78.81</v>
      </c>
      <c r="M15">
        <v>1785.31</v>
      </c>
      <c r="N15">
        <v>628.73800000000006</v>
      </c>
      <c r="O15">
        <v>33460500</v>
      </c>
      <c r="P15">
        <v>0.13922399999999999</v>
      </c>
      <c r="Q15">
        <v>0.85038400000000003</v>
      </c>
      <c r="R15">
        <v>15.831</v>
      </c>
      <c r="S15">
        <v>35.369399999999999</v>
      </c>
      <c r="T15">
        <v>35.073799999999999</v>
      </c>
      <c r="U15">
        <v>12.628</v>
      </c>
      <c r="V15">
        <v>0.24743399999999999</v>
      </c>
      <c r="W15">
        <v>85.785700000000006</v>
      </c>
      <c r="X15">
        <v>8.2523300000000006</v>
      </c>
      <c r="Y15">
        <v>19.4222</v>
      </c>
      <c r="Z15">
        <v>8.3277800000000006</v>
      </c>
      <c r="AA15">
        <v>17.779199999999999</v>
      </c>
      <c r="AB15">
        <v>24.266200000000001</v>
      </c>
      <c r="AC15">
        <v>21.952300000000001</v>
      </c>
      <c r="AD15">
        <v>1.58351</v>
      </c>
      <c r="AE15">
        <v>10.3165</v>
      </c>
      <c r="AF15">
        <v>0</v>
      </c>
      <c r="AG15">
        <v>98.073499999999996</v>
      </c>
      <c r="AH15">
        <v>1.90334</v>
      </c>
      <c r="AI15">
        <v>2.3112000000000001E-2</v>
      </c>
      <c r="AJ15">
        <v>0</v>
      </c>
      <c r="AK15">
        <v>0</v>
      </c>
      <c r="AL15">
        <v>0.32300099999999998</v>
      </c>
      <c r="AM15">
        <v>4.3144600000000004</v>
      </c>
      <c r="AN15">
        <v>23.108599999999999</v>
      </c>
      <c r="AO15">
        <v>18.853899999999999</v>
      </c>
      <c r="AP15">
        <v>18.615300000000001</v>
      </c>
      <c r="AQ15">
        <v>27.5624</v>
      </c>
      <c r="AR15">
        <v>7.5453700000000001</v>
      </c>
      <c r="AS15">
        <v>0.15849299999999999</v>
      </c>
      <c r="AT15">
        <v>1.4771300000000001</v>
      </c>
      <c r="AU15">
        <v>22.315300000000001</v>
      </c>
      <c r="AV15">
        <v>36.402000000000001</v>
      </c>
      <c r="AW15">
        <v>28.4542</v>
      </c>
      <c r="AX15">
        <v>9.1278600000000001</v>
      </c>
      <c r="AY15">
        <v>2.2235100000000001</v>
      </c>
      <c r="AZ15">
        <v>569.91899999999998</v>
      </c>
      <c r="BA15">
        <v>660</v>
      </c>
      <c r="BB15">
        <v>37076.6</v>
      </c>
      <c r="BC15">
        <v>0.14725099999999999</v>
      </c>
      <c r="BD15">
        <v>7.0015599999999997E-2</v>
      </c>
      <c r="BE15">
        <v>0.33648299999999998</v>
      </c>
      <c r="BF15">
        <v>1.5049999999999999</v>
      </c>
      <c r="BG15">
        <v>21.8782</v>
      </c>
      <c r="BH15">
        <v>41.642299999999999</v>
      </c>
      <c r="BI15">
        <v>34.567999999999998</v>
      </c>
      <c r="BJ15">
        <v>29.8659</v>
      </c>
      <c r="BK15">
        <v>0</v>
      </c>
      <c r="BL15">
        <v>39.055100000000003</v>
      </c>
      <c r="BM15">
        <v>53.409700000000001</v>
      </c>
      <c r="BN15">
        <v>5.9642400000000002</v>
      </c>
      <c r="BO15">
        <v>0.89864699999999997</v>
      </c>
      <c r="BP15">
        <v>0.67228600000000005</v>
      </c>
      <c r="BQ15">
        <v>39.216000000000001</v>
      </c>
      <c r="BR15">
        <v>147110</v>
      </c>
    </row>
    <row r="16" spans="1:70" x14ac:dyDescent="0.25">
      <c r="A16">
        <v>33</v>
      </c>
      <c r="B16" s="7">
        <v>45994.534386574072</v>
      </c>
      <c r="C16" t="s">
        <v>125</v>
      </c>
      <c r="D16" s="6" t="s">
        <v>236</v>
      </c>
      <c r="E16" s="6" t="str">
        <f>VLOOKUP(F16,Germplasm!$A$1:$B$21,2,FALSE)</f>
        <v>Kinnan</v>
      </c>
      <c r="F16" t="s">
        <v>71</v>
      </c>
      <c r="G16" s="6" t="s">
        <v>113</v>
      </c>
      <c r="H16">
        <v>47310.7</v>
      </c>
      <c r="I16">
        <v>518.33699999999999</v>
      </c>
      <c r="J16">
        <v>212411</v>
      </c>
      <c r="K16">
        <v>12.6252</v>
      </c>
      <c r="L16">
        <v>73.842100000000002</v>
      </c>
      <c r="M16">
        <v>1786.1</v>
      </c>
      <c r="N16">
        <v>669.17200000000003</v>
      </c>
      <c r="O16">
        <v>29655900</v>
      </c>
      <c r="P16">
        <v>0.14746799999999999</v>
      </c>
      <c r="Q16">
        <v>0.91249199999999997</v>
      </c>
      <c r="R16">
        <v>12.607699999999999</v>
      </c>
      <c r="S16">
        <v>35.816699999999997</v>
      </c>
      <c r="T16">
        <v>38.162199999999999</v>
      </c>
      <c r="U16">
        <v>12.161799999999999</v>
      </c>
      <c r="V16">
        <v>0.33911400000000003</v>
      </c>
      <c r="W16">
        <v>89.629099999999994</v>
      </c>
      <c r="X16">
        <v>6.3959400000000004</v>
      </c>
      <c r="Y16">
        <v>15.9091</v>
      </c>
      <c r="Z16">
        <v>9.5717099999999995</v>
      </c>
      <c r="AA16">
        <v>20.361999999999998</v>
      </c>
      <c r="AB16">
        <v>25.994700000000002</v>
      </c>
      <c r="AC16">
        <v>21.7666</v>
      </c>
      <c r="AD16">
        <v>1.7641800000000001</v>
      </c>
      <c r="AE16">
        <v>9.4626199999999994</v>
      </c>
      <c r="AF16">
        <v>0</v>
      </c>
      <c r="AG16">
        <v>98.248699999999999</v>
      </c>
      <c r="AH16">
        <v>1.7314700000000001</v>
      </c>
      <c r="AI16">
        <v>1.8892200000000001E-2</v>
      </c>
      <c r="AJ16">
        <v>9.4460799999999999E-4</v>
      </c>
      <c r="AK16">
        <v>0</v>
      </c>
      <c r="AL16">
        <v>0.33402500000000002</v>
      </c>
      <c r="AM16">
        <v>3.59612</v>
      </c>
      <c r="AN16">
        <v>19.7423</v>
      </c>
      <c r="AO16">
        <v>20.369499999999999</v>
      </c>
      <c r="AP16">
        <v>20.6557</v>
      </c>
      <c r="AQ16">
        <v>28.848299999999998</v>
      </c>
      <c r="AR16">
        <v>6.7879500000000004</v>
      </c>
      <c r="AS16">
        <v>0.145005</v>
      </c>
      <c r="AT16">
        <v>1.8580399999999999</v>
      </c>
      <c r="AU16">
        <v>21.804400000000001</v>
      </c>
      <c r="AV16">
        <v>40.752299999999998</v>
      </c>
      <c r="AW16">
        <v>26.122199999999999</v>
      </c>
      <c r="AX16">
        <v>7.2649800000000004</v>
      </c>
      <c r="AY16">
        <v>2.1981000000000002</v>
      </c>
      <c r="AZ16">
        <v>626.83299999999997</v>
      </c>
      <c r="BA16">
        <v>673.19899999999996</v>
      </c>
      <c r="BB16">
        <v>26817.3</v>
      </c>
      <c r="BC16">
        <v>0.128747</v>
      </c>
      <c r="BD16">
        <v>7.6513300000000006E-2</v>
      </c>
      <c r="BE16">
        <v>0.495919</v>
      </c>
      <c r="BF16">
        <v>1.7843599999999999</v>
      </c>
      <c r="BG16">
        <v>21.302800000000001</v>
      </c>
      <c r="BH16">
        <v>45.876800000000003</v>
      </c>
      <c r="BI16">
        <v>30.4636</v>
      </c>
      <c r="BJ16">
        <v>29.101600000000001</v>
      </c>
      <c r="BK16">
        <v>0</v>
      </c>
      <c r="BL16">
        <v>42.163499999999999</v>
      </c>
      <c r="BM16">
        <v>50.508200000000002</v>
      </c>
      <c r="BN16">
        <v>5.7101600000000001</v>
      </c>
      <c r="BO16">
        <v>0.91627000000000003</v>
      </c>
      <c r="BP16">
        <v>0.70184400000000002</v>
      </c>
      <c r="BQ16">
        <v>34.568600000000004</v>
      </c>
      <c r="BR16">
        <v>105864</v>
      </c>
    </row>
    <row r="17" spans="1:70" x14ac:dyDescent="0.25">
      <c r="A17">
        <v>33</v>
      </c>
      <c r="B17" s="7">
        <v>46002.580439814818</v>
      </c>
      <c r="C17" t="s">
        <v>125</v>
      </c>
      <c r="D17" s="6" t="s">
        <v>237</v>
      </c>
      <c r="E17" s="6" t="str">
        <f>VLOOKUP(F17,Germplasm!$A$1:$B$21,2,FALSE)</f>
        <v>Kinnan</v>
      </c>
      <c r="F17" t="s">
        <v>71</v>
      </c>
      <c r="G17" s="6" t="s">
        <v>113</v>
      </c>
      <c r="H17">
        <v>43449.1</v>
      </c>
      <c r="I17">
        <v>467.22699999999998</v>
      </c>
      <c r="J17">
        <v>150098</v>
      </c>
      <c r="K17">
        <v>16.003900000000002</v>
      </c>
      <c r="L17">
        <v>80.542199999999994</v>
      </c>
      <c r="M17">
        <v>1436.63</v>
      </c>
      <c r="N17">
        <v>486.34500000000003</v>
      </c>
      <c r="O17">
        <v>25102300</v>
      </c>
      <c r="P17">
        <v>0.127355</v>
      </c>
      <c r="Q17">
        <v>1.1019600000000001</v>
      </c>
      <c r="R17">
        <v>16.260000000000002</v>
      </c>
      <c r="S17">
        <v>39.618099999999998</v>
      </c>
      <c r="T17">
        <v>31.577500000000001</v>
      </c>
      <c r="U17">
        <v>11.127599999999999</v>
      </c>
      <c r="V17">
        <v>0.31484600000000001</v>
      </c>
      <c r="W17">
        <v>75.037599999999998</v>
      </c>
      <c r="X17">
        <v>8.1113300000000006</v>
      </c>
      <c r="Y17">
        <v>24.0656</v>
      </c>
      <c r="Z17">
        <v>11.488899999999999</v>
      </c>
      <c r="AA17">
        <v>22.771899999999999</v>
      </c>
      <c r="AB17">
        <v>18.233799999999999</v>
      </c>
      <c r="AC17">
        <v>15.3286</v>
      </c>
      <c r="AD17">
        <v>1.8087500000000001</v>
      </c>
      <c r="AE17">
        <v>10.6434</v>
      </c>
      <c r="AF17">
        <v>0</v>
      </c>
      <c r="AG17">
        <v>95.929199999999994</v>
      </c>
      <c r="AH17">
        <v>4.0576800000000004</v>
      </c>
      <c r="AI17">
        <v>1.3118599999999999E-2</v>
      </c>
      <c r="AJ17">
        <v>0</v>
      </c>
      <c r="AK17">
        <v>0</v>
      </c>
      <c r="AL17">
        <v>0.271393</v>
      </c>
      <c r="AM17">
        <v>6.1839000000000004</v>
      </c>
      <c r="AN17">
        <v>28.677199999999999</v>
      </c>
      <c r="AO17">
        <v>21.091699999999999</v>
      </c>
      <c r="AP17">
        <v>20.472100000000001</v>
      </c>
      <c r="AQ17">
        <v>19.398399999999999</v>
      </c>
      <c r="AR17">
        <v>4.1767599999999998</v>
      </c>
      <c r="AS17">
        <v>0.195664</v>
      </c>
      <c r="AT17">
        <v>1.6115699999999999</v>
      </c>
      <c r="AU17">
        <v>13.608000000000001</v>
      </c>
      <c r="AV17">
        <v>36.660400000000003</v>
      </c>
      <c r="AW17">
        <v>35.073099999999997</v>
      </c>
      <c r="AX17">
        <v>10.379799999999999</v>
      </c>
      <c r="AY17">
        <v>2.6671100000000001</v>
      </c>
      <c r="AZ17">
        <v>577.74099999999999</v>
      </c>
      <c r="BA17">
        <v>633.59900000000005</v>
      </c>
      <c r="BB17">
        <v>24021.5</v>
      </c>
      <c r="BC17">
        <v>0.19085199999999999</v>
      </c>
      <c r="BD17">
        <v>8.98119E-2</v>
      </c>
      <c r="BE17">
        <v>0.41575800000000002</v>
      </c>
      <c r="BF17">
        <v>1.5681799999999999</v>
      </c>
      <c r="BG17">
        <v>13.143800000000001</v>
      </c>
      <c r="BH17">
        <v>41.424500000000002</v>
      </c>
      <c r="BI17">
        <v>43.357999999999997</v>
      </c>
      <c r="BJ17">
        <v>30.765000000000001</v>
      </c>
      <c r="BK17">
        <v>0</v>
      </c>
      <c r="BL17">
        <v>37.7089</v>
      </c>
      <c r="BM17">
        <v>53.907299999999999</v>
      </c>
      <c r="BN17">
        <v>6.4916799999999997</v>
      </c>
      <c r="BO17">
        <v>1.03233</v>
      </c>
      <c r="BP17">
        <v>0.85977199999999998</v>
      </c>
      <c r="BQ17">
        <v>33.598700000000001</v>
      </c>
      <c r="BR17">
        <v>99096</v>
      </c>
    </row>
    <row r="18" spans="1:70" x14ac:dyDescent="0.25">
      <c r="A18">
        <v>33</v>
      </c>
      <c r="B18" s="7">
        <v>46013.593865740739</v>
      </c>
      <c r="C18" t="s">
        <v>125</v>
      </c>
      <c r="D18" s="6" t="s">
        <v>238</v>
      </c>
      <c r="E18" s="6" t="str">
        <f>VLOOKUP(F18,Germplasm!$A$1:$B$21,2,FALSE)</f>
        <v>Kinnan</v>
      </c>
      <c r="F18" t="s">
        <v>71</v>
      </c>
      <c r="G18" s="6" t="s">
        <v>113</v>
      </c>
      <c r="H18">
        <v>32211.9</v>
      </c>
      <c r="I18">
        <v>462.49299999999999</v>
      </c>
      <c r="J18">
        <v>94721.5</v>
      </c>
      <c r="K18">
        <v>17.301100000000002</v>
      </c>
      <c r="L18">
        <v>80.628100000000003</v>
      </c>
      <c r="M18">
        <v>1152.3800000000001</v>
      </c>
      <c r="N18">
        <v>410.274</v>
      </c>
      <c r="O18">
        <v>18348600</v>
      </c>
      <c r="P18">
        <v>6.7796499999999996E-2</v>
      </c>
      <c r="Q18">
        <v>1.16303</v>
      </c>
      <c r="R18">
        <v>23.666599999999999</v>
      </c>
      <c r="S18">
        <v>56.343899999999998</v>
      </c>
      <c r="T18">
        <v>13.7561</v>
      </c>
      <c r="U18">
        <v>4.8427600000000002</v>
      </c>
      <c r="V18">
        <v>0.22766900000000001</v>
      </c>
      <c r="W18">
        <v>51.9893</v>
      </c>
      <c r="X18">
        <v>12.255699999999999</v>
      </c>
      <c r="Y18">
        <v>43.128100000000003</v>
      </c>
      <c r="Z18">
        <v>14.9795</v>
      </c>
      <c r="AA18">
        <v>11.895</v>
      </c>
      <c r="AB18">
        <v>6.1045400000000001</v>
      </c>
      <c r="AC18">
        <v>11.6372</v>
      </c>
      <c r="AD18">
        <v>1.9656</v>
      </c>
      <c r="AE18">
        <v>13.485099999999999</v>
      </c>
      <c r="AF18">
        <v>0</v>
      </c>
      <c r="AG18">
        <v>90.007300000000001</v>
      </c>
      <c r="AH18">
        <v>9.9845000000000006</v>
      </c>
      <c r="AI18">
        <v>8.2289900000000003E-3</v>
      </c>
      <c r="AJ18">
        <v>0</v>
      </c>
      <c r="AK18">
        <v>0</v>
      </c>
      <c r="AL18">
        <v>0.164573</v>
      </c>
      <c r="AM18">
        <v>10.7416</v>
      </c>
      <c r="AN18">
        <v>47.905000000000001</v>
      </c>
      <c r="AO18">
        <v>20.860499999999998</v>
      </c>
      <c r="AP18">
        <v>11.851100000000001</v>
      </c>
      <c r="AQ18">
        <v>6.3171200000000001</v>
      </c>
      <c r="AR18">
        <v>2.3246899999999999</v>
      </c>
      <c r="AS18">
        <v>0.250365</v>
      </c>
      <c r="AT18">
        <v>0.98885000000000001</v>
      </c>
      <c r="AU18">
        <v>9.1643500000000007</v>
      </c>
      <c r="AV18">
        <v>27.6357</v>
      </c>
      <c r="AW18">
        <v>44.122399999999999</v>
      </c>
      <c r="AX18">
        <v>14.3294</v>
      </c>
      <c r="AY18">
        <v>3.7592699999999999</v>
      </c>
      <c r="AZ18">
        <v>569.62099999999998</v>
      </c>
      <c r="BA18">
        <v>629.4</v>
      </c>
      <c r="BB18">
        <v>16387.900000000001</v>
      </c>
      <c r="BC18">
        <v>0.28086800000000001</v>
      </c>
      <c r="BD18">
        <v>7.4060899999999999E-2</v>
      </c>
      <c r="BE18">
        <v>0.35384599999999999</v>
      </c>
      <c r="BF18">
        <v>1.1301099999999999</v>
      </c>
      <c r="BG18">
        <v>8.5951699999999995</v>
      </c>
      <c r="BH18">
        <v>23.31</v>
      </c>
      <c r="BI18">
        <v>66.536799999999999</v>
      </c>
      <c r="BJ18">
        <v>30.2471</v>
      </c>
      <c r="BK18">
        <v>0</v>
      </c>
      <c r="BL18">
        <v>40.7883</v>
      </c>
      <c r="BM18">
        <v>48.904899999999998</v>
      </c>
      <c r="BN18">
        <v>7.8833700000000002</v>
      </c>
      <c r="BO18">
        <v>1.77197</v>
      </c>
      <c r="BP18">
        <v>0.65146099999999996</v>
      </c>
      <c r="BQ18">
        <v>30.6</v>
      </c>
      <c r="BR18">
        <v>72913</v>
      </c>
    </row>
    <row r="19" spans="1:70" x14ac:dyDescent="0.25">
      <c r="A19">
        <v>33</v>
      </c>
      <c r="B19" s="7">
        <v>46024.542060185187</v>
      </c>
      <c r="C19" t="s">
        <v>125</v>
      </c>
      <c r="D19" s="6" t="s">
        <v>239</v>
      </c>
      <c r="E19" s="6" t="str">
        <f>VLOOKUP(F19,Germplasm!$A$1:$B$21,2,FALSE)</f>
        <v>Kinnan</v>
      </c>
      <c r="F19" t="s">
        <v>71</v>
      </c>
      <c r="G19" s="6" t="s">
        <v>113</v>
      </c>
      <c r="H19">
        <v>35197.699999999997</v>
      </c>
      <c r="I19">
        <v>489.33600000000001</v>
      </c>
      <c r="J19">
        <v>135586</v>
      </c>
      <c r="K19">
        <v>13.1069</v>
      </c>
      <c r="L19">
        <v>51.001300000000001</v>
      </c>
      <c r="M19">
        <v>1519.37</v>
      </c>
      <c r="N19">
        <v>577.75599999999997</v>
      </c>
      <c r="O19">
        <v>20058600</v>
      </c>
      <c r="P19">
        <v>2.6502499999999998E-2</v>
      </c>
      <c r="Q19">
        <v>1.3574999999999999</v>
      </c>
      <c r="R19">
        <v>31.692900000000002</v>
      </c>
      <c r="S19">
        <v>59.909799999999997</v>
      </c>
      <c r="T19">
        <v>6.27637</v>
      </c>
      <c r="U19">
        <v>0.72399999999999998</v>
      </c>
      <c r="V19">
        <v>3.9514100000000003E-2</v>
      </c>
      <c r="W19">
        <v>44.507899999999999</v>
      </c>
      <c r="X19">
        <v>15.084199999999999</v>
      </c>
      <c r="Y19">
        <v>46.529800000000002</v>
      </c>
      <c r="Z19">
        <v>11.057600000000001</v>
      </c>
      <c r="AA19">
        <v>6.4459</v>
      </c>
      <c r="AB19">
        <v>4.7582599999999999</v>
      </c>
      <c r="AC19">
        <v>16.124300000000002</v>
      </c>
      <c r="AD19">
        <v>1.98061</v>
      </c>
      <c r="AE19">
        <v>16.025200000000002</v>
      </c>
      <c r="AF19">
        <v>0</v>
      </c>
      <c r="AG19">
        <v>83.177199999999999</v>
      </c>
      <c r="AH19">
        <v>16.671099999999999</v>
      </c>
      <c r="AI19">
        <v>0.15168300000000001</v>
      </c>
      <c r="AJ19">
        <v>0</v>
      </c>
      <c r="AK19">
        <v>0</v>
      </c>
      <c r="AL19">
        <v>0.112456</v>
      </c>
      <c r="AM19">
        <v>16.8827</v>
      </c>
      <c r="AN19">
        <v>52.282299999999999</v>
      </c>
      <c r="AO19">
        <v>20.062999999999999</v>
      </c>
      <c r="AP19">
        <v>7.89262</v>
      </c>
      <c r="AQ19">
        <v>2.5110600000000001</v>
      </c>
      <c r="AR19">
        <v>0.36837300000000001</v>
      </c>
      <c r="AS19">
        <v>0.201208</v>
      </c>
      <c r="AT19">
        <v>1.5359499999999999</v>
      </c>
      <c r="AU19">
        <v>11.6503</v>
      </c>
      <c r="AV19">
        <v>34.237099999999998</v>
      </c>
      <c r="AW19">
        <v>43.0946</v>
      </c>
      <c r="AX19">
        <v>7.3776700000000002</v>
      </c>
      <c r="AY19">
        <v>2.1044399999999999</v>
      </c>
      <c r="AZ19">
        <v>569.88400000000001</v>
      </c>
      <c r="BA19">
        <v>626.4</v>
      </c>
      <c r="BB19">
        <v>17771.099999999999</v>
      </c>
      <c r="BC19">
        <v>0.26025199999999998</v>
      </c>
      <c r="BD19">
        <v>4.8436600000000003E-2</v>
      </c>
      <c r="BE19">
        <v>0.64497199999999999</v>
      </c>
      <c r="BF19">
        <v>2.2930899999999999</v>
      </c>
      <c r="BG19">
        <v>10.1997</v>
      </c>
      <c r="BH19">
        <v>21.593800000000002</v>
      </c>
      <c r="BI19">
        <v>65.219899999999996</v>
      </c>
      <c r="BJ19">
        <v>24.7989</v>
      </c>
      <c r="BK19">
        <v>0</v>
      </c>
      <c r="BL19">
        <v>55.693199999999997</v>
      </c>
      <c r="BM19">
        <v>40.219000000000001</v>
      </c>
      <c r="BN19">
        <v>2.8615900000000001</v>
      </c>
      <c r="BO19">
        <v>0.75969100000000001</v>
      </c>
      <c r="BP19">
        <v>0.46652100000000002</v>
      </c>
      <c r="BQ19">
        <v>30.346</v>
      </c>
      <c r="BR19">
        <v>78453</v>
      </c>
    </row>
    <row r="20" spans="1:70" x14ac:dyDescent="0.25">
      <c r="A20">
        <v>55</v>
      </c>
      <c r="B20" s="7">
        <v>45952.584849537037</v>
      </c>
      <c r="C20" t="s">
        <v>213</v>
      </c>
      <c r="D20" s="6" t="s">
        <v>441</v>
      </c>
      <c r="E20" s="6" t="str">
        <f>VLOOKUP(F20,Germplasm!$A$1:$B$21,2,FALSE)</f>
        <v>Helium</v>
      </c>
      <c r="F20" t="s">
        <v>76</v>
      </c>
      <c r="G20" s="6" t="s">
        <v>113</v>
      </c>
      <c r="H20">
        <v>26447.599999999999</v>
      </c>
      <c r="I20">
        <v>341.06400000000002</v>
      </c>
      <c r="J20">
        <v>131543</v>
      </c>
      <c r="K20">
        <v>11.536799999999999</v>
      </c>
      <c r="L20">
        <v>82.264499999999998</v>
      </c>
      <c r="M20">
        <v>1371.7</v>
      </c>
      <c r="N20">
        <v>502.26100000000002</v>
      </c>
      <c r="O20">
        <v>10478900</v>
      </c>
      <c r="P20">
        <v>0.19800799999999999</v>
      </c>
      <c r="Q20">
        <v>0.76508299999999996</v>
      </c>
      <c r="R20">
        <v>5.7295800000000003</v>
      </c>
      <c r="S20">
        <v>26.540600000000001</v>
      </c>
      <c r="T20">
        <v>46.408099999999997</v>
      </c>
      <c r="U20">
        <v>20.247199999999999</v>
      </c>
      <c r="V20">
        <v>0.30945099999999998</v>
      </c>
      <c r="W20">
        <v>128.71100000000001</v>
      </c>
      <c r="X20">
        <v>1.0175799999999999</v>
      </c>
      <c r="Y20">
        <v>1.6478699999999999</v>
      </c>
      <c r="Z20">
        <v>3.1552600000000002</v>
      </c>
      <c r="AA20">
        <v>11.1706</v>
      </c>
      <c r="AB20">
        <v>27.8733</v>
      </c>
      <c r="AC20">
        <v>55.135399999999997</v>
      </c>
      <c r="AD20">
        <v>1.74275</v>
      </c>
      <c r="AE20">
        <v>6.8181599999999998</v>
      </c>
      <c r="AF20">
        <v>0</v>
      </c>
      <c r="AG20">
        <v>99.992400000000004</v>
      </c>
      <c r="AH20">
        <v>7.5938799999999999E-3</v>
      </c>
      <c r="AI20">
        <v>0</v>
      </c>
      <c r="AJ20">
        <v>0</v>
      </c>
      <c r="AK20">
        <v>0</v>
      </c>
      <c r="AL20">
        <v>0.51899499999999998</v>
      </c>
      <c r="AM20">
        <v>0.59042399999999995</v>
      </c>
      <c r="AN20">
        <v>2.6483699999999999</v>
      </c>
      <c r="AO20">
        <v>5.4410100000000003</v>
      </c>
      <c r="AP20">
        <v>16.978000000000002</v>
      </c>
      <c r="AQ20">
        <v>42.195399999999999</v>
      </c>
      <c r="AR20">
        <v>32.146799999999999</v>
      </c>
      <c r="AS20">
        <v>-2.3458799999999998E-2</v>
      </c>
      <c r="AT20">
        <v>12.7615</v>
      </c>
      <c r="AU20">
        <v>46.920699999999997</v>
      </c>
      <c r="AV20">
        <v>31.476600000000001</v>
      </c>
      <c r="AW20">
        <v>6.4282199999999996</v>
      </c>
      <c r="AX20">
        <v>1.38398</v>
      </c>
      <c r="AY20">
        <v>1.0289699999999999</v>
      </c>
      <c r="AZ20">
        <v>396.21300000000002</v>
      </c>
      <c r="BA20">
        <v>464.399</v>
      </c>
      <c r="BB20">
        <v>15175.8</v>
      </c>
      <c r="BC20">
        <v>-2.48659E-2</v>
      </c>
      <c r="BD20">
        <v>9.4923500000000001E-3</v>
      </c>
      <c r="BE20">
        <v>0.56194699999999997</v>
      </c>
      <c r="BF20">
        <v>5.6536400000000002</v>
      </c>
      <c r="BG20">
        <v>53.457099999999997</v>
      </c>
      <c r="BH20">
        <v>37.084699999999998</v>
      </c>
      <c r="BI20">
        <v>3.2330899999999998</v>
      </c>
      <c r="BJ20">
        <v>28.462599999999998</v>
      </c>
      <c r="BK20">
        <v>0</v>
      </c>
      <c r="BL20">
        <v>43.469299999999997</v>
      </c>
      <c r="BM20">
        <v>50.262</v>
      </c>
      <c r="BN20">
        <v>5.2967300000000002</v>
      </c>
      <c r="BO20">
        <v>0.71952000000000005</v>
      </c>
      <c r="BP20">
        <v>0.252496</v>
      </c>
      <c r="BQ20">
        <v>35.036999999999999</v>
      </c>
      <c r="BR20">
        <v>52674</v>
      </c>
    </row>
    <row r="21" spans="1:70" x14ac:dyDescent="0.25">
      <c r="A21">
        <v>55</v>
      </c>
      <c r="B21" s="7">
        <v>45959.558599537035</v>
      </c>
      <c r="C21" t="s">
        <v>213</v>
      </c>
      <c r="D21" s="6" t="s">
        <v>442</v>
      </c>
      <c r="E21" s="6" t="str">
        <f>VLOOKUP(F21,Germplasm!$A$1:$B$21,2,FALSE)</f>
        <v>Helium</v>
      </c>
      <c r="F21" t="s">
        <v>76</v>
      </c>
      <c r="G21" s="6" t="s">
        <v>113</v>
      </c>
      <c r="H21">
        <v>41093.599999999999</v>
      </c>
      <c r="I21">
        <v>370.66800000000001</v>
      </c>
      <c r="J21">
        <v>132977</v>
      </c>
      <c r="K21">
        <v>18.059699999999999</v>
      </c>
      <c r="L21">
        <v>74.448300000000003</v>
      </c>
      <c r="M21">
        <v>1481.95</v>
      </c>
      <c r="N21">
        <v>519.65899999999999</v>
      </c>
      <c r="O21">
        <v>19512600</v>
      </c>
      <c r="P21">
        <v>0.20333399999999999</v>
      </c>
      <c r="Q21">
        <v>0.90232100000000004</v>
      </c>
      <c r="R21">
        <v>4.2541399999999996</v>
      </c>
      <c r="S21">
        <v>26.676200000000001</v>
      </c>
      <c r="T21">
        <v>46.008699999999997</v>
      </c>
      <c r="U21">
        <v>21.658100000000001</v>
      </c>
      <c r="V21">
        <v>0.50048700000000002</v>
      </c>
      <c r="W21">
        <v>126.774</v>
      </c>
      <c r="X21">
        <v>1.05511</v>
      </c>
      <c r="Y21">
        <v>1.4605600000000001</v>
      </c>
      <c r="Z21">
        <v>2.8946399999999999</v>
      </c>
      <c r="AA21">
        <v>11.525600000000001</v>
      </c>
      <c r="AB21">
        <v>30.0184</v>
      </c>
      <c r="AC21">
        <v>53.0456</v>
      </c>
      <c r="AD21">
        <v>1.7111499999999999</v>
      </c>
      <c r="AE21">
        <v>6.6788800000000004</v>
      </c>
      <c r="AF21">
        <v>0</v>
      </c>
      <c r="AG21">
        <v>99.853200000000001</v>
      </c>
      <c r="AH21">
        <v>0.14316799999999999</v>
      </c>
      <c r="AI21">
        <v>3.6092799999999999E-3</v>
      </c>
      <c r="AJ21">
        <v>0</v>
      </c>
      <c r="AK21">
        <v>0</v>
      </c>
      <c r="AL21">
        <v>0.52905199999999997</v>
      </c>
      <c r="AM21">
        <v>0.65448300000000004</v>
      </c>
      <c r="AN21">
        <v>2.50725</v>
      </c>
      <c r="AO21">
        <v>5.2683499999999999</v>
      </c>
      <c r="AP21">
        <v>16.0565</v>
      </c>
      <c r="AQ21">
        <v>39.480699999999999</v>
      </c>
      <c r="AR21">
        <v>36.032699999999998</v>
      </c>
      <c r="AS21">
        <v>-1.4397399999999999E-2</v>
      </c>
      <c r="AT21">
        <v>10.726800000000001</v>
      </c>
      <c r="AU21">
        <v>47.560699999999997</v>
      </c>
      <c r="AV21">
        <v>33.150100000000002</v>
      </c>
      <c r="AW21">
        <v>5.8951599999999997</v>
      </c>
      <c r="AX21">
        <v>1.2355799999999999</v>
      </c>
      <c r="AY21">
        <v>1.4316800000000001</v>
      </c>
      <c r="AZ21">
        <v>474.83199999999999</v>
      </c>
      <c r="BA21">
        <v>607.20000000000005</v>
      </c>
      <c r="BB21">
        <v>24015.3</v>
      </c>
      <c r="BC21">
        <v>-2.1327100000000002E-2</v>
      </c>
      <c r="BD21">
        <v>7.9404199999999994E-2</v>
      </c>
      <c r="BE21">
        <v>0.59914100000000003</v>
      </c>
      <c r="BF21">
        <v>4.4201699999999997</v>
      </c>
      <c r="BG21">
        <v>53.185200000000002</v>
      </c>
      <c r="BH21">
        <v>38.962200000000003</v>
      </c>
      <c r="BI21">
        <v>2.7538800000000001</v>
      </c>
      <c r="BJ21">
        <v>28.8935</v>
      </c>
      <c r="BK21">
        <v>0</v>
      </c>
      <c r="BL21">
        <v>43.948999999999998</v>
      </c>
      <c r="BM21">
        <v>49.258299999999998</v>
      </c>
      <c r="BN21">
        <v>5.0951000000000004</v>
      </c>
      <c r="BO21">
        <v>0.70260699999999998</v>
      </c>
      <c r="BP21">
        <v>0.99495900000000004</v>
      </c>
      <c r="BQ21">
        <v>35.798099999999998</v>
      </c>
      <c r="BR21">
        <v>83119</v>
      </c>
    </row>
    <row r="22" spans="1:70" x14ac:dyDescent="0.25">
      <c r="A22">
        <v>55</v>
      </c>
      <c r="B22" s="7">
        <v>45966.52103009259</v>
      </c>
      <c r="C22" t="s">
        <v>213</v>
      </c>
      <c r="D22" s="6" t="s">
        <v>443</v>
      </c>
      <c r="E22" s="6" t="str">
        <f>VLOOKUP(F22,Germplasm!$A$1:$B$21,2,FALSE)</f>
        <v>Helium</v>
      </c>
      <c r="F22" t="s">
        <v>76</v>
      </c>
      <c r="G22" s="6" t="s">
        <v>113</v>
      </c>
      <c r="H22">
        <v>48775.9</v>
      </c>
      <c r="I22">
        <v>503.99099999999999</v>
      </c>
      <c r="J22">
        <v>161958</v>
      </c>
      <c r="K22">
        <v>17.508299999999998</v>
      </c>
      <c r="L22">
        <v>63.054499999999997</v>
      </c>
      <c r="M22">
        <v>1554.31</v>
      </c>
      <c r="N22">
        <v>570.30200000000002</v>
      </c>
      <c r="O22">
        <v>30045100</v>
      </c>
      <c r="P22">
        <v>0.20163800000000001</v>
      </c>
      <c r="Q22">
        <v>0.89330900000000002</v>
      </c>
      <c r="R22">
        <v>4.7185800000000002</v>
      </c>
      <c r="S22">
        <v>25.4574</v>
      </c>
      <c r="T22">
        <v>47.945799999999998</v>
      </c>
      <c r="U22">
        <v>20.518899999999999</v>
      </c>
      <c r="V22">
        <v>0.466117</v>
      </c>
      <c r="W22">
        <v>120.026</v>
      </c>
      <c r="X22">
        <v>1.3866700000000001</v>
      </c>
      <c r="Y22">
        <v>2.3597800000000002</v>
      </c>
      <c r="Z22">
        <v>4.0811999999999999</v>
      </c>
      <c r="AA22">
        <v>14.8437</v>
      </c>
      <c r="AB22">
        <v>32.984299999999998</v>
      </c>
      <c r="AC22">
        <v>44.344299999999997</v>
      </c>
      <c r="AD22">
        <v>1.7201200000000001</v>
      </c>
      <c r="AE22">
        <v>6.1433900000000001</v>
      </c>
      <c r="AF22">
        <v>0</v>
      </c>
      <c r="AG22">
        <v>99.871600000000001</v>
      </c>
      <c r="AH22">
        <v>0.12845000000000001</v>
      </c>
      <c r="AI22">
        <v>0</v>
      </c>
      <c r="AJ22">
        <v>0</v>
      </c>
      <c r="AK22">
        <v>0</v>
      </c>
      <c r="AL22">
        <v>0.50724400000000003</v>
      </c>
      <c r="AM22">
        <v>0.60429699999999997</v>
      </c>
      <c r="AN22">
        <v>3.06236</v>
      </c>
      <c r="AO22">
        <v>6.7290099999999997</v>
      </c>
      <c r="AP22">
        <v>17.2424</v>
      </c>
      <c r="AQ22">
        <v>43.9512</v>
      </c>
      <c r="AR22">
        <v>28.410699999999999</v>
      </c>
      <c r="AS22">
        <v>2.5569000000000001E-2</v>
      </c>
      <c r="AT22">
        <v>6.4438899999999997</v>
      </c>
      <c r="AU22">
        <v>42.940100000000001</v>
      </c>
      <c r="AV22">
        <v>37.546199999999999</v>
      </c>
      <c r="AW22">
        <v>9.0304000000000002</v>
      </c>
      <c r="AX22">
        <v>2.2216</v>
      </c>
      <c r="AY22">
        <v>1.81776</v>
      </c>
      <c r="AZ22">
        <v>615.98299999999995</v>
      </c>
      <c r="BA22">
        <v>679.79899999999998</v>
      </c>
      <c r="BB22">
        <v>28356.1</v>
      </c>
      <c r="BC22">
        <v>2.1079200000000001E-3</v>
      </c>
      <c r="BD22">
        <v>7.6875200000000005E-2</v>
      </c>
      <c r="BE22">
        <v>0.54785700000000004</v>
      </c>
      <c r="BF22">
        <v>3.01857</v>
      </c>
      <c r="BG22">
        <v>45.740699999999997</v>
      </c>
      <c r="BH22">
        <v>46.187399999999997</v>
      </c>
      <c r="BI22">
        <v>4.4285899999999998</v>
      </c>
      <c r="BJ22">
        <v>28.8794</v>
      </c>
      <c r="BK22">
        <v>0</v>
      </c>
      <c r="BL22">
        <v>43.991100000000003</v>
      </c>
      <c r="BM22">
        <v>48.799199999999999</v>
      </c>
      <c r="BN22">
        <v>5.4386700000000001</v>
      </c>
      <c r="BO22">
        <v>0.92055600000000004</v>
      </c>
      <c r="BP22">
        <v>0.85049200000000003</v>
      </c>
      <c r="BQ22">
        <v>35.588000000000001</v>
      </c>
      <c r="BR22">
        <v>102764</v>
      </c>
    </row>
    <row r="23" spans="1:70" x14ac:dyDescent="0.25">
      <c r="A23">
        <v>55</v>
      </c>
      <c r="B23" s="7">
        <v>45973.582233796296</v>
      </c>
      <c r="C23" t="s">
        <v>213</v>
      </c>
      <c r="D23" s="6" t="s">
        <v>444</v>
      </c>
      <c r="E23" s="6" t="str">
        <f>VLOOKUP(F23,Germplasm!$A$1:$B$21,2,FALSE)</f>
        <v>Helium</v>
      </c>
      <c r="F23" t="s">
        <v>76</v>
      </c>
      <c r="G23" s="6" t="s">
        <v>113</v>
      </c>
      <c r="H23">
        <v>60125</v>
      </c>
      <c r="I23">
        <v>509.22899999999998</v>
      </c>
      <c r="J23">
        <v>182080</v>
      </c>
      <c r="K23">
        <v>17.111699999999999</v>
      </c>
      <c r="L23">
        <v>69.81</v>
      </c>
      <c r="M23">
        <v>1711.36</v>
      </c>
      <c r="N23">
        <v>615.61400000000003</v>
      </c>
      <c r="O23">
        <v>39176200</v>
      </c>
      <c r="P23">
        <v>0.20694399999999999</v>
      </c>
      <c r="Q23">
        <v>0.73943000000000003</v>
      </c>
      <c r="R23">
        <v>4.3217299999999996</v>
      </c>
      <c r="S23">
        <v>24.638500000000001</v>
      </c>
      <c r="T23">
        <v>48.656500000000001</v>
      </c>
      <c r="U23">
        <v>20.996600000000001</v>
      </c>
      <c r="V23">
        <v>0.64721099999999998</v>
      </c>
      <c r="W23">
        <v>117.985</v>
      </c>
      <c r="X23">
        <v>1.14184</v>
      </c>
      <c r="Y23">
        <v>2.1512199999999999</v>
      </c>
      <c r="Z23">
        <v>4.46509</v>
      </c>
      <c r="AA23">
        <v>16.096399999999999</v>
      </c>
      <c r="AB23">
        <v>35.748399999999997</v>
      </c>
      <c r="AC23">
        <v>40.396999999999998</v>
      </c>
      <c r="AD23">
        <v>1.9297500000000001</v>
      </c>
      <c r="AE23">
        <v>6.3294800000000002</v>
      </c>
      <c r="AF23">
        <v>0</v>
      </c>
      <c r="AG23">
        <v>99.704899999999995</v>
      </c>
      <c r="AH23">
        <v>0.28671799999999997</v>
      </c>
      <c r="AI23">
        <v>8.38356E-3</v>
      </c>
      <c r="AJ23">
        <v>0</v>
      </c>
      <c r="AK23">
        <v>0</v>
      </c>
      <c r="AL23">
        <v>0.48886299999999999</v>
      </c>
      <c r="AM23">
        <v>0.77715599999999996</v>
      </c>
      <c r="AN23">
        <v>3.2293500000000002</v>
      </c>
      <c r="AO23">
        <v>7.9769600000000001</v>
      </c>
      <c r="AP23">
        <v>20.5791</v>
      </c>
      <c r="AQ23">
        <v>44.032200000000003</v>
      </c>
      <c r="AR23">
        <v>23.405200000000001</v>
      </c>
      <c r="AS23">
        <v>3.6320400000000003E-2</v>
      </c>
      <c r="AT23">
        <v>5.1844000000000001</v>
      </c>
      <c r="AU23">
        <v>40.506900000000002</v>
      </c>
      <c r="AV23">
        <v>40.668700000000001</v>
      </c>
      <c r="AW23">
        <v>9.6503200000000007</v>
      </c>
      <c r="AX23">
        <v>2.3172199999999998</v>
      </c>
      <c r="AY23">
        <v>1.67252</v>
      </c>
      <c r="AZ23">
        <v>651.57799999999997</v>
      </c>
      <c r="BA23">
        <v>709.79899999999998</v>
      </c>
      <c r="BB23">
        <v>31156.9</v>
      </c>
      <c r="BC23">
        <v>1.1015E-2</v>
      </c>
      <c r="BD23">
        <v>7.8805500000000001E-2</v>
      </c>
      <c r="BE23">
        <v>0.46109600000000001</v>
      </c>
      <c r="BF23">
        <v>2.7581899999999999</v>
      </c>
      <c r="BG23">
        <v>42.392299999999999</v>
      </c>
      <c r="BH23">
        <v>48.985999999999997</v>
      </c>
      <c r="BI23">
        <v>5.3235599999999996</v>
      </c>
      <c r="BJ23">
        <v>28.9834</v>
      </c>
      <c r="BK23">
        <v>0</v>
      </c>
      <c r="BL23">
        <v>42.819099999999999</v>
      </c>
      <c r="BM23">
        <v>50.083399999999997</v>
      </c>
      <c r="BN23">
        <v>5.2573299999999996</v>
      </c>
      <c r="BO23">
        <v>0.84674000000000005</v>
      </c>
      <c r="BP23">
        <v>0.993452</v>
      </c>
      <c r="BQ23">
        <v>31.247</v>
      </c>
      <c r="BR23">
        <v>119281</v>
      </c>
    </row>
    <row r="24" spans="1:70" x14ac:dyDescent="0.25">
      <c r="A24">
        <v>55</v>
      </c>
      <c r="B24" s="7">
        <v>45988.60527777778</v>
      </c>
      <c r="C24" t="s">
        <v>213</v>
      </c>
      <c r="D24" s="6" t="s">
        <v>445</v>
      </c>
      <c r="E24" s="6" t="str">
        <f>VLOOKUP(F24,Germplasm!$A$1:$B$21,2,FALSE)</f>
        <v>Helium</v>
      </c>
      <c r="F24" t="s">
        <v>76</v>
      </c>
      <c r="G24" s="6" t="s">
        <v>113</v>
      </c>
      <c r="H24">
        <v>55218.9</v>
      </c>
      <c r="I24">
        <v>474.90199999999999</v>
      </c>
      <c r="J24">
        <v>161033</v>
      </c>
      <c r="K24">
        <v>18.936299999999999</v>
      </c>
      <c r="L24">
        <v>71.723500000000001</v>
      </c>
      <c r="M24">
        <v>1505.44</v>
      </c>
      <c r="N24">
        <v>558.47500000000002</v>
      </c>
      <c r="O24">
        <v>35725300</v>
      </c>
      <c r="P24">
        <v>0.199237</v>
      </c>
      <c r="Q24">
        <v>0.84292800000000001</v>
      </c>
      <c r="R24">
        <v>5.1666999999999996</v>
      </c>
      <c r="S24">
        <v>24.75</v>
      </c>
      <c r="T24">
        <v>49.372700000000002</v>
      </c>
      <c r="U24">
        <v>19.307400000000001</v>
      </c>
      <c r="V24">
        <v>0.56023400000000001</v>
      </c>
      <c r="W24">
        <v>93.3703</v>
      </c>
      <c r="X24">
        <v>2.4480200000000001</v>
      </c>
      <c r="Y24">
        <v>6.4469799999999999</v>
      </c>
      <c r="Z24">
        <v>10.8429</v>
      </c>
      <c r="AA24">
        <v>38.2592</v>
      </c>
      <c r="AB24">
        <v>29.120999999999999</v>
      </c>
      <c r="AC24">
        <v>12.8819</v>
      </c>
      <c r="AD24">
        <v>1.8108299999999999</v>
      </c>
      <c r="AE24">
        <v>7.9088900000000004</v>
      </c>
      <c r="AF24">
        <v>0</v>
      </c>
      <c r="AG24">
        <v>99.613299999999995</v>
      </c>
      <c r="AH24">
        <v>0.38666400000000001</v>
      </c>
      <c r="AI24">
        <v>0</v>
      </c>
      <c r="AJ24">
        <v>0</v>
      </c>
      <c r="AK24">
        <v>0</v>
      </c>
      <c r="AL24">
        <v>0.39510800000000001</v>
      </c>
      <c r="AM24">
        <v>1.66523</v>
      </c>
      <c r="AN24">
        <v>7.3784200000000002</v>
      </c>
      <c r="AO24">
        <v>15.6496</v>
      </c>
      <c r="AP24">
        <v>33.763500000000001</v>
      </c>
      <c r="AQ24">
        <v>35.4253</v>
      </c>
      <c r="AR24">
        <v>6.1178900000000001</v>
      </c>
      <c r="AS24">
        <v>0.16783200000000001</v>
      </c>
      <c r="AT24">
        <v>1.2871600000000001</v>
      </c>
      <c r="AU24">
        <v>12.825200000000001</v>
      </c>
      <c r="AV24">
        <v>47.385300000000001</v>
      </c>
      <c r="AW24">
        <v>29.8385</v>
      </c>
      <c r="AX24">
        <v>6.3292700000000002</v>
      </c>
      <c r="AY24">
        <v>2.3345899999999999</v>
      </c>
      <c r="AZ24">
        <v>646.97500000000002</v>
      </c>
      <c r="BA24">
        <v>707.4</v>
      </c>
      <c r="BB24">
        <v>30493.7</v>
      </c>
      <c r="BC24">
        <v>0.11845</v>
      </c>
      <c r="BD24">
        <v>2.8355399999999999E-2</v>
      </c>
      <c r="BE24">
        <v>0.215673</v>
      </c>
      <c r="BF24">
        <v>1.00705</v>
      </c>
      <c r="BG24">
        <v>12.8596</v>
      </c>
      <c r="BH24">
        <v>65.278400000000005</v>
      </c>
      <c r="BI24">
        <v>20.610900000000001</v>
      </c>
      <c r="BJ24">
        <v>32.3536</v>
      </c>
      <c r="BK24">
        <v>0</v>
      </c>
      <c r="BL24">
        <v>32.545099999999998</v>
      </c>
      <c r="BM24">
        <v>57.946399999999997</v>
      </c>
      <c r="BN24">
        <v>7.5786199999999999</v>
      </c>
      <c r="BO24">
        <v>1.0302500000000001</v>
      </c>
      <c r="BP24">
        <v>0.89963899999999997</v>
      </c>
      <c r="BQ24">
        <v>33.561100000000003</v>
      </c>
      <c r="BR24">
        <v>116380</v>
      </c>
    </row>
    <row r="25" spans="1:70" x14ac:dyDescent="0.25">
      <c r="A25">
        <v>55</v>
      </c>
      <c r="B25" s="7">
        <v>45994.546215277776</v>
      </c>
      <c r="C25" t="s">
        <v>213</v>
      </c>
      <c r="D25" s="6" t="s">
        <v>446</v>
      </c>
      <c r="E25" s="6" t="str">
        <f>VLOOKUP(F25,Germplasm!$A$1:$B$21,2,FALSE)</f>
        <v>Helium</v>
      </c>
      <c r="F25" t="s">
        <v>76</v>
      </c>
      <c r="G25" s="6" t="s">
        <v>113</v>
      </c>
      <c r="H25">
        <v>59170.9</v>
      </c>
      <c r="I25">
        <v>466.09300000000002</v>
      </c>
      <c r="J25">
        <v>156451</v>
      </c>
      <c r="K25">
        <v>20.558299999999999</v>
      </c>
      <c r="L25">
        <v>87.498099999999994</v>
      </c>
      <c r="M25">
        <v>1494.11</v>
      </c>
      <c r="N25">
        <v>539.56100000000004</v>
      </c>
      <c r="O25">
        <v>34559500</v>
      </c>
      <c r="P25">
        <v>0.15715599999999999</v>
      </c>
      <c r="Q25">
        <v>1.01075</v>
      </c>
      <c r="R25">
        <v>10.430099999999999</v>
      </c>
      <c r="S25">
        <v>35.483499999999999</v>
      </c>
      <c r="T25">
        <v>37.852699999999999</v>
      </c>
      <c r="U25">
        <v>14.9825</v>
      </c>
      <c r="V25">
        <v>0.24049999999999999</v>
      </c>
      <c r="W25">
        <v>87.011899999999997</v>
      </c>
      <c r="X25">
        <v>5.1439300000000001</v>
      </c>
      <c r="Y25">
        <v>15.4001</v>
      </c>
      <c r="Z25">
        <v>13.698700000000001</v>
      </c>
      <c r="AA25">
        <v>25.546600000000002</v>
      </c>
      <c r="AB25">
        <v>19.775400000000001</v>
      </c>
      <c r="AC25">
        <v>20.435199999999998</v>
      </c>
      <c r="AD25">
        <v>1.83968</v>
      </c>
      <c r="AE25">
        <v>9.4939800000000005</v>
      </c>
      <c r="AF25">
        <v>0</v>
      </c>
      <c r="AG25">
        <v>97.963899999999995</v>
      </c>
      <c r="AH25">
        <v>2.0223100000000001</v>
      </c>
      <c r="AI25">
        <v>1.38125E-2</v>
      </c>
      <c r="AJ25">
        <v>0</v>
      </c>
      <c r="AK25">
        <v>0</v>
      </c>
      <c r="AL25">
        <v>0.33406200000000003</v>
      </c>
      <c r="AM25">
        <v>3.59206</v>
      </c>
      <c r="AN25">
        <v>18.6981</v>
      </c>
      <c r="AO25">
        <v>20.245899999999999</v>
      </c>
      <c r="AP25">
        <v>23.875299999999999</v>
      </c>
      <c r="AQ25">
        <v>26.402200000000001</v>
      </c>
      <c r="AR25">
        <v>7.1865600000000001</v>
      </c>
      <c r="AS25">
        <v>0.18151999999999999</v>
      </c>
      <c r="AT25">
        <v>1.95244</v>
      </c>
      <c r="AU25">
        <v>19.473199999999999</v>
      </c>
      <c r="AV25">
        <v>32.798200000000001</v>
      </c>
      <c r="AW25">
        <v>31.471399999999999</v>
      </c>
      <c r="AX25">
        <v>11.349</v>
      </c>
      <c r="AY25">
        <v>2.95587</v>
      </c>
      <c r="AZ25">
        <v>584.06299999999999</v>
      </c>
      <c r="BA25">
        <v>639.45000000000005</v>
      </c>
      <c r="BB25">
        <v>32163.7</v>
      </c>
      <c r="BC25">
        <v>0.15027299999999999</v>
      </c>
      <c r="BD25">
        <v>9.5062400000000005E-2</v>
      </c>
      <c r="BE25">
        <v>0.35668699999999998</v>
      </c>
      <c r="BF25">
        <v>1.73306</v>
      </c>
      <c r="BG25">
        <v>19.2408</v>
      </c>
      <c r="BH25">
        <v>43.200600000000001</v>
      </c>
      <c r="BI25">
        <v>35.373800000000003</v>
      </c>
      <c r="BJ25">
        <v>31.946899999999999</v>
      </c>
      <c r="BK25">
        <v>0</v>
      </c>
      <c r="BL25">
        <v>35.2804</v>
      </c>
      <c r="BM25">
        <v>53.259300000000003</v>
      </c>
      <c r="BN25">
        <v>9.5143699999999995</v>
      </c>
      <c r="BO25">
        <v>1.1171899999999999</v>
      </c>
      <c r="BP25">
        <v>0.82874899999999996</v>
      </c>
      <c r="BQ25">
        <v>32.968200000000003</v>
      </c>
      <c r="BR25">
        <v>123077</v>
      </c>
    </row>
    <row r="26" spans="1:70" x14ac:dyDescent="0.25">
      <c r="A26">
        <v>55</v>
      </c>
      <c r="B26" s="7">
        <v>46002.554236111115</v>
      </c>
      <c r="C26" t="s">
        <v>213</v>
      </c>
      <c r="D26" s="6" t="s">
        <v>447</v>
      </c>
      <c r="E26" s="6" t="str">
        <f>VLOOKUP(F26,Germplasm!$A$1:$B$21,2,FALSE)</f>
        <v>Helium</v>
      </c>
      <c r="F26" t="s">
        <v>76</v>
      </c>
      <c r="G26" s="6" t="s">
        <v>113</v>
      </c>
      <c r="H26">
        <v>42115.199999999997</v>
      </c>
      <c r="I26">
        <v>478.97</v>
      </c>
      <c r="J26">
        <v>135828</v>
      </c>
      <c r="K26">
        <v>16.191700000000001</v>
      </c>
      <c r="L26">
        <v>69.393799999999999</v>
      </c>
      <c r="M26">
        <v>1385.99</v>
      </c>
      <c r="N26">
        <v>535.51</v>
      </c>
      <c r="O26">
        <v>27045400</v>
      </c>
      <c r="P26">
        <v>0.10514800000000001</v>
      </c>
      <c r="Q26">
        <v>1.4754799999999999</v>
      </c>
      <c r="R26">
        <v>18.4133</v>
      </c>
      <c r="S26">
        <v>43.5396</v>
      </c>
      <c r="T26">
        <v>29.369199999999999</v>
      </c>
      <c r="U26">
        <v>7.0079900000000004</v>
      </c>
      <c r="V26">
        <v>0.19442599999999999</v>
      </c>
      <c r="W26">
        <v>61.438400000000001</v>
      </c>
      <c r="X26">
        <v>10.3575</v>
      </c>
      <c r="Y26">
        <v>29.4999</v>
      </c>
      <c r="Z26">
        <v>17.7803</v>
      </c>
      <c r="AA26">
        <v>25.627600000000001</v>
      </c>
      <c r="AB26">
        <v>8.65306</v>
      </c>
      <c r="AC26">
        <v>8.0816599999999994</v>
      </c>
      <c r="AD26">
        <v>1.9149499999999999</v>
      </c>
      <c r="AE26">
        <v>10.7875</v>
      </c>
      <c r="AF26">
        <v>0</v>
      </c>
      <c r="AG26">
        <v>95.8566</v>
      </c>
      <c r="AH26">
        <v>4.1175199999999998</v>
      </c>
      <c r="AI26">
        <v>2.5923499999999999E-2</v>
      </c>
      <c r="AJ26">
        <v>0</v>
      </c>
      <c r="AK26">
        <v>0</v>
      </c>
      <c r="AL26">
        <v>0.23344300000000001</v>
      </c>
      <c r="AM26">
        <v>7.4756999999999998</v>
      </c>
      <c r="AN26">
        <v>28.0989</v>
      </c>
      <c r="AO26">
        <v>29.546299999999999</v>
      </c>
      <c r="AP26">
        <v>22.9056</v>
      </c>
      <c r="AQ26">
        <v>9.8131299999999992</v>
      </c>
      <c r="AR26">
        <v>2.1602899999999998</v>
      </c>
      <c r="AS26">
        <v>0.26271499999999998</v>
      </c>
      <c r="AT26">
        <v>0.88356000000000001</v>
      </c>
      <c r="AU26">
        <v>5.6308100000000003</v>
      </c>
      <c r="AV26">
        <v>29.6889</v>
      </c>
      <c r="AW26">
        <v>44.504199999999997</v>
      </c>
      <c r="AX26">
        <v>15.5055</v>
      </c>
      <c r="AY26">
        <v>3.7869899999999999</v>
      </c>
      <c r="AZ26">
        <v>642.178</v>
      </c>
      <c r="BA26">
        <v>691.79899999999998</v>
      </c>
      <c r="BB26">
        <v>21992.799999999999</v>
      </c>
      <c r="BC26">
        <v>0.255245</v>
      </c>
      <c r="BD26">
        <v>6.2648499999999996E-2</v>
      </c>
      <c r="BE26">
        <v>0.24843399999999999</v>
      </c>
      <c r="BF26">
        <v>0.84251500000000001</v>
      </c>
      <c r="BG26">
        <v>5.3607699999999996</v>
      </c>
      <c r="BH26">
        <v>34.457799999999999</v>
      </c>
      <c r="BI26">
        <v>59.027900000000002</v>
      </c>
      <c r="BJ26">
        <v>33.162199999999999</v>
      </c>
      <c r="BK26">
        <v>0</v>
      </c>
      <c r="BL26">
        <v>31.448499999999999</v>
      </c>
      <c r="BM26">
        <v>57.899099999999997</v>
      </c>
      <c r="BN26">
        <v>8.3128100000000007</v>
      </c>
      <c r="BO26">
        <v>1.4182300000000001</v>
      </c>
      <c r="BP26">
        <v>0.92136499999999999</v>
      </c>
      <c r="BQ26">
        <v>31.509699999999999</v>
      </c>
      <c r="BR26">
        <v>92580</v>
      </c>
    </row>
    <row r="27" spans="1:70" x14ac:dyDescent="0.25">
      <c r="A27">
        <v>55</v>
      </c>
      <c r="B27" s="7">
        <v>46013.579131944447</v>
      </c>
      <c r="C27" t="s">
        <v>213</v>
      </c>
      <c r="D27" s="6" t="s">
        <v>448</v>
      </c>
      <c r="E27" s="6" t="str">
        <f>VLOOKUP(F27,Germplasm!$A$1:$B$21,2,FALSE)</f>
        <v>Helium</v>
      </c>
      <c r="F27" t="s">
        <v>76</v>
      </c>
      <c r="G27" s="6" t="s">
        <v>113</v>
      </c>
      <c r="H27">
        <v>26517.1</v>
      </c>
      <c r="I27">
        <v>499.15899999999999</v>
      </c>
      <c r="J27">
        <v>78079.8</v>
      </c>
      <c r="K27">
        <v>17.707999999999998</v>
      </c>
      <c r="L27">
        <v>78.446700000000007</v>
      </c>
      <c r="M27">
        <v>1034.77</v>
      </c>
      <c r="N27">
        <v>351.71499999999997</v>
      </c>
      <c r="O27">
        <v>16443300</v>
      </c>
      <c r="P27">
        <v>2.1782599999999999E-2</v>
      </c>
      <c r="Q27">
        <v>1.99603</v>
      </c>
      <c r="R27">
        <v>34.912700000000001</v>
      </c>
      <c r="S27">
        <v>55.809600000000003</v>
      </c>
      <c r="T27">
        <v>5.5181399999999998</v>
      </c>
      <c r="U27">
        <v>1.6455900000000001</v>
      </c>
      <c r="V27">
        <v>0.11788800000000001</v>
      </c>
      <c r="W27">
        <v>38.436500000000002</v>
      </c>
      <c r="X27">
        <v>19.6066</v>
      </c>
      <c r="Y27">
        <v>51.436500000000002</v>
      </c>
      <c r="Z27">
        <v>13.302</v>
      </c>
      <c r="AA27">
        <v>5.7103200000000003</v>
      </c>
      <c r="AB27">
        <v>2.1591300000000002</v>
      </c>
      <c r="AC27">
        <v>7.7854799999999997</v>
      </c>
      <c r="AD27">
        <v>1.9178599999999999</v>
      </c>
      <c r="AE27">
        <v>12.9245</v>
      </c>
      <c r="AF27">
        <v>0</v>
      </c>
      <c r="AG27">
        <v>93.073700000000002</v>
      </c>
      <c r="AH27">
        <v>6.7260999999999997</v>
      </c>
      <c r="AI27">
        <v>0.20024900000000001</v>
      </c>
      <c r="AJ27">
        <v>0</v>
      </c>
      <c r="AK27">
        <v>0</v>
      </c>
      <c r="AL27">
        <v>0.13472899999999999</v>
      </c>
      <c r="AM27">
        <v>11.8825</v>
      </c>
      <c r="AN27">
        <v>51.591500000000003</v>
      </c>
      <c r="AO27">
        <v>25.759399999999999</v>
      </c>
      <c r="AP27">
        <v>6.7697000000000003</v>
      </c>
      <c r="AQ27">
        <v>2.7178900000000001</v>
      </c>
      <c r="AR27">
        <v>1.27901</v>
      </c>
      <c r="AS27">
        <v>0.274617</v>
      </c>
      <c r="AT27">
        <v>0.73155400000000004</v>
      </c>
      <c r="AU27">
        <v>4.1051000000000002</v>
      </c>
      <c r="AV27">
        <v>25.4816</v>
      </c>
      <c r="AW27">
        <v>52.512</v>
      </c>
      <c r="AX27">
        <v>13.2972</v>
      </c>
      <c r="AY27">
        <v>3.8725499999999999</v>
      </c>
      <c r="AZ27">
        <v>620.10199999999998</v>
      </c>
      <c r="BA27">
        <v>677.99900000000002</v>
      </c>
      <c r="BB27">
        <v>13826.4</v>
      </c>
      <c r="BC27">
        <v>0.31268299999999999</v>
      </c>
      <c r="BD27">
        <v>0.121118</v>
      </c>
      <c r="BE27">
        <v>0.27292</v>
      </c>
      <c r="BF27">
        <v>0.83329299999999995</v>
      </c>
      <c r="BG27">
        <v>3.60771</v>
      </c>
      <c r="BH27">
        <v>16.058700000000002</v>
      </c>
      <c r="BI27">
        <v>79.106300000000005</v>
      </c>
      <c r="BJ27">
        <v>30.011399999999998</v>
      </c>
      <c r="BK27">
        <v>0</v>
      </c>
      <c r="BL27">
        <v>40.643999999999998</v>
      </c>
      <c r="BM27">
        <v>51.678699999999999</v>
      </c>
      <c r="BN27">
        <v>5.2807500000000003</v>
      </c>
      <c r="BO27">
        <v>1.4921800000000001</v>
      </c>
      <c r="BP27">
        <v>0.90434899999999996</v>
      </c>
      <c r="BQ27">
        <v>31.4405</v>
      </c>
      <c r="BR27">
        <v>61923</v>
      </c>
    </row>
    <row r="28" spans="1:70" x14ac:dyDescent="0.25">
      <c r="A28">
        <v>55</v>
      </c>
      <c r="B28" s="7">
        <v>46024.557962962965</v>
      </c>
      <c r="C28" t="s">
        <v>213</v>
      </c>
      <c r="D28" s="6" t="s">
        <v>449</v>
      </c>
      <c r="E28" s="6" t="str">
        <f>VLOOKUP(F28,Germplasm!$A$1:$B$21,2,FALSE)</f>
        <v>Helium</v>
      </c>
      <c r="F28" t="s">
        <v>76</v>
      </c>
      <c r="G28" s="6" t="s">
        <v>113</v>
      </c>
      <c r="H28">
        <v>39143</v>
      </c>
      <c r="I28">
        <v>483.73399999999998</v>
      </c>
      <c r="J28">
        <v>113578</v>
      </c>
      <c r="K28">
        <v>18.258600000000001</v>
      </c>
      <c r="L28">
        <v>69.072299999999998</v>
      </c>
      <c r="M28">
        <v>1274.58</v>
      </c>
      <c r="N28">
        <v>481.26</v>
      </c>
      <c r="O28">
        <v>24073900</v>
      </c>
      <c r="P28">
        <v>5.8051099999999996E-3</v>
      </c>
      <c r="Q28">
        <v>1.36497</v>
      </c>
      <c r="R28">
        <v>38.7241</v>
      </c>
      <c r="S28">
        <v>58.346699999999998</v>
      </c>
      <c r="T28">
        <v>1.37642</v>
      </c>
      <c r="U28">
        <v>0.16489599999999999</v>
      </c>
      <c r="V28">
        <v>2.2902200000000001E-2</v>
      </c>
      <c r="W28">
        <v>34.159599999999998</v>
      </c>
      <c r="X28">
        <v>20.948599999999999</v>
      </c>
      <c r="Y28">
        <v>58.922699999999999</v>
      </c>
      <c r="Z28">
        <v>9.1883499999999998</v>
      </c>
      <c r="AA28">
        <v>2.6257299999999999</v>
      </c>
      <c r="AB28">
        <v>0.96876099999999998</v>
      </c>
      <c r="AC28">
        <v>7.3458699999999997</v>
      </c>
      <c r="AD28">
        <v>1.8875200000000001</v>
      </c>
      <c r="AE28">
        <v>15.83</v>
      </c>
      <c r="AF28">
        <v>0</v>
      </c>
      <c r="AG28">
        <v>85.593400000000003</v>
      </c>
      <c r="AH28">
        <v>14.2417</v>
      </c>
      <c r="AI28">
        <v>0.15687999999999999</v>
      </c>
      <c r="AJ28">
        <v>8.0157600000000002E-3</v>
      </c>
      <c r="AK28">
        <v>0</v>
      </c>
      <c r="AL28">
        <v>9.1904600000000003E-2</v>
      </c>
      <c r="AM28">
        <v>17.380500000000001</v>
      </c>
      <c r="AN28">
        <v>58.125700000000002</v>
      </c>
      <c r="AO28">
        <v>19.337399999999999</v>
      </c>
      <c r="AP28">
        <v>3.8704700000000001</v>
      </c>
      <c r="AQ28">
        <v>0.97563200000000005</v>
      </c>
      <c r="AR28">
        <v>0.31032399999999999</v>
      </c>
      <c r="AS28">
        <v>0.26085399999999997</v>
      </c>
      <c r="AT28">
        <v>0.64698599999999995</v>
      </c>
      <c r="AU28">
        <v>3.54067</v>
      </c>
      <c r="AV28">
        <v>27.5776</v>
      </c>
      <c r="AW28">
        <v>54.686900000000001</v>
      </c>
      <c r="AX28">
        <v>11.0388</v>
      </c>
      <c r="AY28">
        <v>2.5089299999999999</v>
      </c>
      <c r="AZ28">
        <v>615.02499999999998</v>
      </c>
      <c r="BA28">
        <v>660.59900000000005</v>
      </c>
      <c r="BB28">
        <v>20737.8</v>
      </c>
      <c r="BC28">
        <v>0.32925599999999999</v>
      </c>
      <c r="BD28">
        <v>0.13855799999999999</v>
      </c>
      <c r="BE28">
        <v>0.31032399999999999</v>
      </c>
      <c r="BF28">
        <v>0.77065799999999995</v>
      </c>
      <c r="BG28">
        <v>2.9681199999999999</v>
      </c>
      <c r="BH28">
        <v>13.0519</v>
      </c>
      <c r="BI28">
        <v>82.760400000000004</v>
      </c>
      <c r="BJ28">
        <v>27.6829</v>
      </c>
      <c r="BK28">
        <v>0</v>
      </c>
      <c r="BL28">
        <v>46.436399999999999</v>
      </c>
      <c r="BM28">
        <v>48.298400000000001</v>
      </c>
      <c r="BN28">
        <v>3.9220000000000002</v>
      </c>
      <c r="BO28">
        <v>0.83249399999999996</v>
      </c>
      <c r="BP28">
        <v>0.51071800000000001</v>
      </c>
      <c r="BQ28">
        <v>32.019599999999997</v>
      </c>
      <c r="BR28">
        <v>87328</v>
      </c>
    </row>
    <row r="29" spans="1:70" x14ac:dyDescent="0.25">
      <c r="A29">
        <v>33</v>
      </c>
      <c r="B29" s="7">
        <v>45952.552048611113</v>
      </c>
      <c r="C29" t="s">
        <v>123</v>
      </c>
      <c r="D29" s="6" t="s">
        <v>231</v>
      </c>
      <c r="E29" s="6" t="str">
        <f>VLOOKUP(F29,Germplasm!$A$1:$B$21,2,FALSE)</f>
        <v>Tore</v>
      </c>
      <c r="F29" t="s">
        <v>72</v>
      </c>
      <c r="G29" s="6" t="s">
        <v>113</v>
      </c>
      <c r="H29">
        <v>35717.300000000003</v>
      </c>
      <c r="I29">
        <v>245.64599999999999</v>
      </c>
      <c r="J29">
        <v>133730</v>
      </c>
      <c r="K29">
        <v>15.3209</v>
      </c>
      <c r="L29">
        <v>85.332999999999998</v>
      </c>
      <c r="M29">
        <v>1437.27</v>
      </c>
      <c r="N29">
        <v>501.13799999999998</v>
      </c>
      <c r="O29">
        <v>10707800</v>
      </c>
      <c r="P29">
        <v>0.25713799999999998</v>
      </c>
      <c r="Q29">
        <v>0.58132099999999998</v>
      </c>
      <c r="R29">
        <v>3.4623400000000002</v>
      </c>
      <c r="S29">
        <v>15.8705</v>
      </c>
      <c r="T29">
        <v>41.127400000000002</v>
      </c>
      <c r="U29">
        <v>38.129800000000003</v>
      </c>
      <c r="V29">
        <v>0.82863100000000001</v>
      </c>
      <c r="W29">
        <v>117.655</v>
      </c>
      <c r="X29">
        <v>0.82436699999999996</v>
      </c>
      <c r="Y29">
        <v>1.8192900000000001</v>
      </c>
      <c r="Z29">
        <v>3.3230499999999998</v>
      </c>
      <c r="AA29">
        <v>16.436199999999999</v>
      </c>
      <c r="AB29">
        <v>39.923499999999997</v>
      </c>
      <c r="AC29">
        <v>37.6736</v>
      </c>
      <c r="AD29">
        <v>1.7432700000000001</v>
      </c>
      <c r="AE29">
        <v>6.3887499999999999</v>
      </c>
      <c r="AF29">
        <v>0</v>
      </c>
      <c r="AG29">
        <v>99.965900000000005</v>
      </c>
      <c r="AH29">
        <v>2.9847800000000001E-2</v>
      </c>
      <c r="AI29">
        <v>4.2639699999999997E-3</v>
      </c>
      <c r="AJ29">
        <v>0</v>
      </c>
      <c r="AK29">
        <v>0</v>
      </c>
      <c r="AL29">
        <v>0.55310700000000002</v>
      </c>
      <c r="AM29">
        <v>0.44061</v>
      </c>
      <c r="AN29">
        <v>1.9102600000000001</v>
      </c>
      <c r="AO29">
        <v>3.4182800000000002</v>
      </c>
      <c r="AP29">
        <v>12.669700000000001</v>
      </c>
      <c r="AQ29">
        <v>39.491500000000002</v>
      </c>
      <c r="AR29">
        <v>42.069699999999997</v>
      </c>
      <c r="AS29">
        <v>4.0426999999999998E-2</v>
      </c>
      <c r="AT29">
        <v>8.10154</v>
      </c>
      <c r="AU29">
        <v>35.854300000000002</v>
      </c>
      <c r="AV29">
        <v>39.328000000000003</v>
      </c>
      <c r="AW29">
        <v>12.1424</v>
      </c>
      <c r="AX29">
        <v>2.7943199999999999</v>
      </c>
      <c r="AY29">
        <v>1.7795000000000001</v>
      </c>
      <c r="AZ29">
        <v>299.79399999999998</v>
      </c>
      <c r="BA29">
        <v>325.8</v>
      </c>
      <c r="BB29">
        <v>20488.599999999999</v>
      </c>
      <c r="BC29">
        <v>1.05837E-2</v>
      </c>
      <c r="BD29">
        <v>3.2690400000000001E-2</v>
      </c>
      <c r="BE29">
        <v>0.44345299999999999</v>
      </c>
      <c r="BF29">
        <v>2.9790899999999998</v>
      </c>
      <c r="BG29">
        <v>40.500599999999999</v>
      </c>
      <c r="BH29">
        <v>51.855499999999999</v>
      </c>
      <c r="BI29">
        <v>4.1886400000000004</v>
      </c>
      <c r="BJ29">
        <v>34.460099999999997</v>
      </c>
      <c r="BK29">
        <v>0</v>
      </c>
      <c r="BL29">
        <v>26.963899999999999</v>
      </c>
      <c r="BM29">
        <v>60.183100000000003</v>
      </c>
      <c r="BN29">
        <v>10.976900000000001</v>
      </c>
      <c r="BO29">
        <v>1.3147200000000001</v>
      </c>
      <c r="BP29">
        <v>0.56142199999999998</v>
      </c>
      <c r="BQ29">
        <v>35.036299999999997</v>
      </c>
      <c r="BR29">
        <v>70357</v>
      </c>
    </row>
    <row r="30" spans="1:70" x14ac:dyDescent="0.25">
      <c r="A30">
        <v>33</v>
      </c>
      <c r="B30" s="7">
        <v>45959.512916666667</v>
      </c>
      <c r="C30" t="s">
        <v>123</v>
      </c>
      <c r="D30" s="6" t="s">
        <v>232</v>
      </c>
      <c r="E30" s="6" t="str">
        <f>VLOOKUP(F30,Germplasm!$A$1:$B$21,2,FALSE)</f>
        <v>Tore</v>
      </c>
      <c r="F30" t="s">
        <v>72</v>
      </c>
      <c r="G30" s="6" t="s">
        <v>113</v>
      </c>
      <c r="H30">
        <v>54484.4</v>
      </c>
      <c r="I30">
        <v>300.69</v>
      </c>
      <c r="J30">
        <v>181325</v>
      </c>
      <c r="K30">
        <v>16.9209</v>
      </c>
      <c r="L30">
        <v>90.970699999999994</v>
      </c>
      <c r="M30">
        <v>1568.49</v>
      </c>
      <c r="N30">
        <v>528.16700000000003</v>
      </c>
      <c r="O30">
        <v>19936200</v>
      </c>
      <c r="P30">
        <v>0.23666899999999999</v>
      </c>
      <c r="Q30">
        <v>0.519787</v>
      </c>
      <c r="R30">
        <v>3.20181</v>
      </c>
      <c r="S30">
        <v>19.6128</v>
      </c>
      <c r="T30">
        <v>45.678400000000003</v>
      </c>
      <c r="U30">
        <v>30.1737</v>
      </c>
      <c r="V30">
        <v>0.81349499999999997</v>
      </c>
      <c r="W30">
        <v>122.387</v>
      </c>
      <c r="X30">
        <v>0.63185999999999998</v>
      </c>
      <c r="Y30">
        <v>1.4221699999999999</v>
      </c>
      <c r="Z30">
        <v>3.0694499999999998</v>
      </c>
      <c r="AA30">
        <v>14.5656</v>
      </c>
      <c r="AB30">
        <v>35.667200000000001</v>
      </c>
      <c r="AC30">
        <v>44.643700000000003</v>
      </c>
      <c r="AD30">
        <v>1.7757799999999999</v>
      </c>
      <c r="AE30">
        <v>6.7864399999999998</v>
      </c>
      <c r="AF30">
        <v>0</v>
      </c>
      <c r="AG30">
        <v>99.665700000000001</v>
      </c>
      <c r="AH30">
        <v>0.31013299999999999</v>
      </c>
      <c r="AI30">
        <v>2.0289100000000001E-2</v>
      </c>
      <c r="AJ30">
        <v>3.8645799999999998E-3</v>
      </c>
      <c r="AK30">
        <v>0</v>
      </c>
      <c r="AL30">
        <v>0.53080400000000005</v>
      </c>
      <c r="AM30">
        <v>0.524617</v>
      </c>
      <c r="AN30">
        <v>2.2588499999999998</v>
      </c>
      <c r="AO30">
        <v>4.2452500000000004</v>
      </c>
      <c r="AP30">
        <v>15.6999</v>
      </c>
      <c r="AQ30">
        <v>43.621499999999997</v>
      </c>
      <c r="AR30">
        <v>33.649900000000002</v>
      </c>
      <c r="AS30">
        <v>1.30621E-2</v>
      </c>
      <c r="AT30">
        <v>10.169700000000001</v>
      </c>
      <c r="AU30">
        <v>40.346299999999999</v>
      </c>
      <c r="AV30">
        <v>35.797600000000003</v>
      </c>
      <c r="AW30">
        <v>9.8604900000000004</v>
      </c>
      <c r="AX30">
        <v>2.3854199999999999</v>
      </c>
      <c r="AY30">
        <v>1.44052</v>
      </c>
      <c r="AZ30">
        <v>365.90800000000002</v>
      </c>
      <c r="BA30">
        <v>454.8</v>
      </c>
      <c r="BB30">
        <v>30681.8</v>
      </c>
      <c r="BC30">
        <v>-5.9379000000000003E-3</v>
      </c>
      <c r="BD30">
        <v>0.15748200000000001</v>
      </c>
      <c r="BE30">
        <v>0.65794600000000003</v>
      </c>
      <c r="BF30">
        <v>4.2471800000000002</v>
      </c>
      <c r="BG30">
        <v>45.453299999999999</v>
      </c>
      <c r="BH30">
        <v>45.1355</v>
      </c>
      <c r="BI30">
        <v>4.3486200000000004</v>
      </c>
      <c r="BJ30">
        <v>32.257199999999997</v>
      </c>
      <c r="BK30">
        <v>0</v>
      </c>
      <c r="BL30">
        <v>33.195799999999998</v>
      </c>
      <c r="BM30">
        <v>56.707999999999998</v>
      </c>
      <c r="BN30">
        <v>8.2963000000000005</v>
      </c>
      <c r="BO30">
        <v>1.1004400000000001</v>
      </c>
      <c r="BP30">
        <v>0.69948999999999995</v>
      </c>
      <c r="BQ30">
        <v>34.314399999999999</v>
      </c>
      <c r="BR30">
        <v>103504</v>
      </c>
    </row>
    <row r="31" spans="1:70" x14ac:dyDescent="0.25">
      <c r="A31">
        <v>33</v>
      </c>
      <c r="B31" s="7">
        <v>45966.568796296298</v>
      </c>
      <c r="C31" t="s">
        <v>123</v>
      </c>
      <c r="D31" s="6" t="s">
        <v>233</v>
      </c>
      <c r="E31" s="6" t="str">
        <f>VLOOKUP(F31,Germplasm!$A$1:$B$21,2,FALSE)</f>
        <v>Tore</v>
      </c>
      <c r="F31" t="s">
        <v>72</v>
      </c>
      <c r="G31" s="6" t="s">
        <v>113</v>
      </c>
      <c r="H31">
        <v>56455.5</v>
      </c>
      <c r="I31">
        <v>410.077</v>
      </c>
      <c r="J31">
        <v>123960</v>
      </c>
      <c r="K31">
        <v>25.575199999999999</v>
      </c>
      <c r="L31">
        <v>63.754899999999999</v>
      </c>
      <c r="M31">
        <v>1376.69</v>
      </c>
      <c r="N31">
        <v>503.26</v>
      </c>
      <c r="O31">
        <v>26816800</v>
      </c>
      <c r="P31">
        <v>0.26160800000000001</v>
      </c>
      <c r="Q31">
        <v>0.39723000000000003</v>
      </c>
      <c r="R31">
        <v>1.9602200000000001</v>
      </c>
      <c r="S31">
        <v>14.713200000000001</v>
      </c>
      <c r="T31">
        <v>44.675800000000002</v>
      </c>
      <c r="U31">
        <v>37.561799999999998</v>
      </c>
      <c r="V31">
        <v>0.69167900000000004</v>
      </c>
      <c r="W31">
        <v>118.587</v>
      </c>
      <c r="X31">
        <v>0.58519600000000005</v>
      </c>
      <c r="Y31">
        <v>1.3602099999999999</v>
      </c>
      <c r="Z31">
        <v>2.5500500000000001</v>
      </c>
      <c r="AA31">
        <v>15.9123</v>
      </c>
      <c r="AB31">
        <v>41.886000000000003</v>
      </c>
      <c r="AC31">
        <v>37.706299999999999</v>
      </c>
      <c r="AD31">
        <v>1.7807599999999999</v>
      </c>
      <c r="AE31">
        <v>6.7654300000000003</v>
      </c>
      <c r="AF31">
        <v>0</v>
      </c>
      <c r="AG31">
        <v>99.757400000000004</v>
      </c>
      <c r="AH31">
        <v>0.18241099999999999</v>
      </c>
      <c r="AI31">
        <v>4.3519299999999997E-2</v>
      </c>
      <c r="AJ31">
        <v>1.6667000000000001E-2</v>
      </c>
      <c r="AK31">
        <v>0</v>
      </c>
      <c r="AL31">
        <v>0.55249899999999996</v>
      </c>
      <c r="AM31">
        <v>0.29630200000000001</v>
      </c>
      <c r="AN31">
        <v>1.4787300000000001</v>
      </c>
      <c r="AO31">
        <v>3.3704299999999998</v>
      </c>
      <c r="AP31">
        <v>12.1206</v>
      </c>
      <c r="AQ31">
        <v>42.321199999999997</v>
      </c>
      <c r="AR31">
        <v>40.412799999999997</v>
      </c>
      <c r="AS31">
        <v>4.3108500000000001E-2</v>
      </c>
      <c r="AT31">
        <v>6.3149300000000004</v>
      </c>
      <c r="AU31">
        <v>38.033999999999999</v>
      </c>
      <c r="AV31">
        <v>38.943300000000001</v>
      </c>
      <c r="AW31">
        <v>12.1465</v>
      </c>
      <c r="AX31">
        <v>2.93431</v>
      </c>
      <c r="AY31">
        <v>1.6268800000000001</v>
      </c>
      <c r="AZ31">
        <v>475.00700000000001</v>
      </c>
      <c r="BA31">
        <v>605.399</v>
      </c>
      <c r="BB31">
        <v>31703</v>
      </c>
      <c r="BC31">
        <v>1.00219E-2</v>
      </c>
      <c r="BD31">
        <v>4.53712E-2</v>
      </c>
      <c r="BE31">
        <v>0.30556100000000003</v>
      </c>
      <c r="BF31">
        <v>2.6667200000000002</v>
      </c>
      <c r="BG31">
        <v>41.328499999999998</v>
      </c>
      <c r="BH31">
        <v>51.7547</v>
      </c>
      <c r="BI31">
        <v>3.8991500000000001</v>
      </c>
      <c r="BJ31">
        <v>34.2241</v>
      </c>
      <c r="BK31">
        <v>0</v>
      </c>
      <c r="BL31">
        <v>26.7209</v>
      </c>
      <c r="BM31">
        <v>61.3187</v>
      </c>
      <c r="BN31">
        <v>10.1835</v>
      </c>
      <c r="BO31">
        <v>1.1991000000000001</v>
      </c>
      <c r="BP31">
        <v>0.57778799999999997</v>
      </c>
      <c r="BQ31">
        <v>34.205399999999997</v>
      </c>
      <c r="BR31">
        <v>107998</v>
      </c>
    </row>
    <row r="32" spans="1:70" x14ac:dyDescent="0.25">
      <c r="A32">
        <v>33</v>
      </c>
      <c r="B32" s="7">
        <v>45973.548726851855</v>
      </c>
      <c r="C32" t="s">
        <v>123</v>
      </c>
      <c r="D32" s="6" t="s">
        <v>234</v>
      </c>
      <c r="E32" s="6" t="str">
        <f>VLOOKUP(F32,Germplasm!$A$1:$B$21,2,FALSE)</f>
        <v>Tore</v>
      </c>
      <c r="F32" t="s">
        <v>72</v>
      </c>
      <c r="G32" s="6" t="s">
        <v>113</v>
      </c>
      <c r="H32">
        <v>53989.7</v>
      </c>
      <c r="I32">
        <v>466.565</v>
      </c>
      <c r="J32">
        <v>142171</v>
      </c>
      <c r="K32">
        <v>22.074999999999999</v>
      </c>
      <c r="L32">
        <v>67.0732</v>
      </c>
      <c r="M32">
        <v>1449.22</v>
      </c>
      <c r="N32">
        <v>540.30600000000004</v>
      </c>
      <c r="O32">
        <v>31249100</v>
      </c>
      <c r="P32">
        <v>0.224962</v>
      </c>
      <c r="Q32">
        <v>0.55766899999999997</v>
      </c>
      <c r="R32">
        <v>3.7292399999999999</v>
      </c>
      <c r="S32">
        <v>21.156199999999998</v>
      </c>
      <c r="T32">
        <v>47.032600000000002</v>
      </c>
      <c r="U32">
        <v>26.9528</v>
      </c>
      <c r="V32">
        <v>0.57158799999999998</v>
      </c>
      <c r="W32">
        <v>116.464</v>
      </c>
      <c r="X32">
        <v>1.52454</v>
      </c>
      <c r="Y32">
        <v>3.1557900000000001</v>
      </c>
      <c r="Z32">
        <v>3.9482200000000001</v>
      </c>
      <c r="AA32">
        <v>15.944100000000001</v>
      </c>
      <c r="AB32">
        <v>38.160899999999998</v>
      </c>
      <c r="AC32">
        <v>37.266399999999997</v>
      </c>
      <c r="AD32">
        <v>1.72028</v>
      </c>
      <c r="AE32">
        <v>7.2559199999999997</v>
      </c>
      <c r="AF32">
        <v>0</v>
      </c>
      <c r="AG32">
        <v>99.844099999999997</v>
      </c>
      <c r="AH32">
        <v>0.155888</v>
      </c>
      <c r="AI32">
        <v>0</v>
      </c>
      <c r="AJ32">
        <v>0</v>
      </c>
      <c r="AK32">
        <v>0</v>
      </c>
      <c r="AL32">
        <v>0.49432999999999999</v>
      </c>
      <c r="AM32">
        <v>0.82212099999999999</v>
      </c>
      <c r="AN32">
        <v>4.58291</v>
      </c>
      <c r="AO32">
        <v>7.4603299999999999</v>
      </c>
      <c r="AP32">
        <v>16.358000000000001</v>
      </c>
      <c r="AQ32">
        <v>43.540900000000001</v>
      </c>
      <c r="AR32">
        <v>27.235800000000001</v>
      </c>
      <c r="AS32">
        <v>5.0329400000000003E-2</v>
      </c>
      <c r="AT32">
        <v>4.8371500000000003</v>
      </c>
      <c r="AU32">
        <v>38.2333</v>
      </c>
      <c r="AV32">
        <v>40.423099999999998</v>
      </c>
      <c r="AW32">
        <v>11.1692</v>
      </c>
      <c r="AX32">
        <v>3.58263</v>
      </c>
      <c r="AY32">
        <v>1.7546600000000001</v>
      </c>
      <c r="AZ32">
        <v>578.79700000000003</v>
      </c>
      <c r="BA32">
        <v>610.79899999999998</v>
      </c>
      <c r="BB32">
        <v>31384.2</v>
      </c>
      <c r="BC32">
        <v>2.64082E-2</v>
      </c>
      <c r="BD32">
        <v>4.9178800000000002E-2</v>
      </c>
      <c r="BE32">
        <v>0.36744900000000003</v>
      </c>
      <c r="BF32">
        <v>2.7354599999999998</v>
      </c>
      <c r="BG32">
        <v>39.916499999999999</v>
      </c>
      <c r="BH32">
        <v>48.026400000000002</v>
      </c>
      <c r="BI32">
        <v>8.9050799999999999</v>
      </c>
      <c r="BJ32">
        <v>31.285399999999999</v>
      </c>
      <c r="BK32">
        <v>0</v>
      </c>
      <c r="BL32">
        <v>34.736899999999999</v>
      </c>
      <c r="BM32">
        <v>56.9407</v>
      </c>
      <c r="BN32">
        <v>6.6595500000000003</v>
      </c>
      <c r="BO32">
        <v>0.98357600000000001</v>
      </c>
      <c r="BP32">
        <v>0.67922400000000005</v>
      </c>
      <c r="BQ32">
        <v>35.5871</v>
      </c>
      <c r="BR32">
        <v>107770</v>
      </c>
    </row>
    <row r="33" spans="1:70" x14ac:dyDescent="0.25">
      <c r="A33">
        <v>33</v>
      </c>
      <c r="B33" s="7">
        <v>45988.527881944443</v>
      </c>
      <c r="C33" t="s">
        <v>123</v>
      </c>
      <c r="D33" s="6" t="s">
        <v>235</v>
      </c>
      <c r="E33" s="6" t="str">
        <f>VLOOKUP(F33,Germplasm!$A$1:$B$21,2,FALSE)</f>
        <v>Tore</v>
      </c>
      <c r="F33" t="s">
        <v>72</v>
      </c>
      <c r="G33" s="6" t="s">
        <v>113</v>
      </c>
      <c r="H33">
        <v>38579.300000000003</v>
      </c>
      <c r="I33">
        <v>419.46499999999997</v>
      </c>
      <c r="J33">
        <v>129201</v>
      </c>
      <c r="K33">
        <v>18.291799999999999</v>
      </c>
      <c r="L33">
        <v>89.811300000000003</v>
      </c>
      <c r="M33">
        <v>1340.96</v>
      </c>
      <c r="N33">
        <v>454.26</v>
      </c>
      <c r="O33">
        <v>21342400</v>
      </c>
      <c r="P33">
        <v>0.148426</v>
      </c>
      <c r="Q33">
        <v>0.98701399999999995</v>
      </c>
      <c r="R33">
        <v>13.927</v>
      </c>
      <c r="S33">
        <v>30.028700000000001</v>
      </c>
      <c r="T33">
        <v>44.4893</v>
      </c>
      <c r="U33">
        <v>10.2553</v>
      </c>
      <c r="V33">
        <v>0.312643</v>
      </c>
      <c r="W33">
        <v>82.486400000000003</v>
      </c>
      <c r="X33">
        <v>8.7593499999999995</v>
      </c>
      <c r="Y33">
        <v>16.323599999999999</v>
      </c>
      <c r="Z33">
        <v>11.4483</v>
      </c>
      <c r="AA33">
        <v>24.1557</v>
      </c>
      <c r="AB33">
        <v>23.916699999999999</v>
      </c>
      <c r="AC33">
        <v>15.3964</v>
      </c>
      <c r="AD33">
        <v>1.63242</v>
      </c>
      <c r="AE33">
        <v>10.3165</v>
      </c>
      <c r="AF33">
        <v>0</v>
      </c>
      <c r="AG33">
        <v>97.509500000000003</v>
      </c>
      <c r="AH33">
        <v>2.4712700000000001</v>
      </c>
      <c r="AI33">
        <v>1.92068E-2</v>
      </c>
      <c r="AJ33">
        <v>0</v>
      </c>
      <c r="AK33">
        <v>0</v>
      </c>
      <c r="AL33">
        <v>0.33008999999999999</v>
      </c>
      <c r="AM33">
        <v>4.0312900000000003</v>
      </c>
      <c r="AN33">
        <v>21.565999999999999</v>
      </c>
      <c r="AO33">
        <v>15.493499999999999</v>
      </c>
      <c r="AP33">
        <v>23.854800000000001</v>
      </c>
      <c r="AQ33">
        <v>29.457799999999999</v>
      </c>
      <c r="AR33">
        <v>5.5966399999999998</v>
      </c>
      <c r="AS33">
        <v>0.18420300000000001</v>
      </c>
      <c r="AT33">
        <v>0.84402999999999995</v>
      </c>
      <c r="AU33">
        <v>16.155000000000001</v>
      </c>
      <c r="AV33">
        <v>38.221499999999999</v>
      </c>
      <c r="AW33">
        <v>32.9193</v>
      </c>
      <c r="AX33">
        <v>9.4667999999999992</v>
      </c>
      <c r="AY33">
        <v>2.3933800000000001</v>
      </c>
      <c r="AZ33">
        <v>553.20899999999995</v>
      </c>
      <c r="BA33">
        <v>611.4</v>
      </c>
      <c r="BB33">
        <v>23633.200000000001</v>
      </c>
      <c r="BC33">
        <v>0.170822</v>
      </c>
      <c r="BD33">
        <v>4.1614600000000002E-2</v>
      </c>
      <c r="BE33">
        <v>0.13231299999999999</v>
      </c>
      <c r="BF33">
        <v>0.71811899999999995</v>
      </c>
      <c r="BG33">
        <v>16.105899999999998</v>
      </c>
      <c r="BH33">
        <v>45.267099999999999</v>
      </c>
      <c r="BI33">
        <v>37.734900000000003</v>
      </c>
      <c r="BJ33">
        <v>31.090699999999998</v>
      </c>
      <c r="BK33">
        <v>0</v>
      </c>
      <c r="BL33">
        <v>34.714100000000002</v>
      </c>
      <c r="BM33">
        <v>57.8294</v>
      </c>
      <c r="BN33">
        <v>5.7374900000000002</v>
      </c>
      <c r="BO33">
        <v>1.0990500000000001</v>
      </c>
      <c r="BP33">
        <v>0.61995199999999995</v>
      </c>
      <c r="BQ33">
        <v>37.814399999999999</v>
      </c>
      <c r="BR33">
        <v>93717</v>
      </c>
    </row>
    <row r="34" spans="1:70" x14ac:dyDescent="0.25">
      <c r="A34">
        <v>33</v>
      </c>
      <c r="B34" s="7">
        <v>45994.534386574072</v>
      </c>
      <c r="C34" t="s">
        <v>123</v>
      </c>
      <c r="D34" s="6" t="s">
        <v>236</v>
      </c>
      <c r="E34" s="6" t="str">
        <f>VLOOKUP(F34,Germplasm!$A$1:$B$21,2,FALSE)</f>
        <v>Tore</v>
      </c>
      <c r="F34" t="s">
        <v>72</v>
      </c>
      <c r="G34" s="6" t="s">
        <v>113</v>
      </c>
      <c r="H34">
        <v>35772.400000000001</v>
      </c>
      <c r="I34">
        <v>436.21600000000001</v>
      </c>
      <c r="J34">
        <v>101925</v>
      </c>
      <c r="K34">
        <v>20.255600000000001</v>
      </c>
      <c r="L34">
        <v>83.057699999999997</v>
      </c>
      <c r="M34">
        <v>1184.69</v>
      </c>
      <c r="N34">
        <v>411.71199999999999</v>
      </c>
      <c r="O34">
        <v>20053700</v>
      </c>
      <c r="P34">
        <v>0.12449499999999999</v>
      </c>
      <c r="Q34">
        <v>1.08203</v>
      </c>
      <c r="R34">
        <v>16.590699999999998</v>
      </c>
      <c r="S34">
        <v>38.431399999999996</v>
      </c>
      <c r="T34">
        <v>34.778700000000001</v>
      </c>
      <c r="U34">
        <v>8.7569199999999991</v>
      </c>
      <c r="V34">
        <v>0.360236</v>
      </c>
      <c r="W34">
        <v>67.905500000000004</v>
      </c>
      <c r="X34">
        <v>9.8786799999999992</v>
      </c>
      <c r="Y34">
        <v>27.9329</v>
      </c>
      <c r="Z34">
        <v>13.4877</v>
      </c>
      <c r="AA34">
        <v>23.179600000000001</v>
      </c>
      <c r="AB34">
        <v>16.266300000000001</v>
      </c>
      <c r="AC34">
        <v>9.2548899999999996</v>
      </c>
      <c r="AD34">
        <v>1.7326900000000001</v>
      </c>
      <c r="AE34">
        <v>12.629300000000001</v>
      </c>
      <c r="AF34">
        <v>0</v>
      </c>
      <c r="AG34">
        <v>91.384799999999998</v>
      </c>
      <c r="AH34">
        <v>8.5953400000000002</v>
      </c>
      <c r="AI34">
        <v>1.9866000000000002E-2</v>
      </c>
      <c r="AJ34">
        <v>0</v>
      </c>
      <c r="AK34">
        <v>0</v>
      </c>
      <c r="AL34">
        <v>0.255</v>
      </c>
      <c r="AM34">
        <v>7.8245399999999998</v>
      </c>
      <c r="AN34">
        <v>32.862299999999998</v>
      </c>
      <c r="AO34">
        <v>16.271599999999999</v>
      </c>
      <c r="AP34">
        <v>19.372</v>
      </c>
      <c r="AQ34">
        <v>20.356000000000002</v>
      </c>
      <c r="AR34">
        <v>3.3136399999999999</v>
      </c>
      <c r="AS34">
        <v>0.23422999999999999</v>
      </c>
      <c r="AT34">
        <v>0.62246699999999999</v>
      </c>
      <c r="AU34">
        <v>8.2695399999999992</v>
      </c>
      <c r="AV34">
        <v>33.997300000000003</v>
      </c>
      <c r="AW34">
        <v>41.280200000000001</v>
      </c>
      <c r="AX34">
        <v>13.244</v>
      </c>
      <c r="AY34">
        <v>2.5865499999999999</v>
      </c>
      <c r="AZ34">
        <v>560.59299999999996</v>
      </c>
      <c r="BA34">
        <v>603.59900000000005</v>
      </c>
      <c r="BB34">
        <v>20645.599999999999</v>
      </c>
      <c r="BC34">
        <v>0.23972399999999999</v>
      </c>
      <c r="BD34">
        <v>3.4434300000000001E-2</v>
      </c>
      <c r="BE34">
        <v>0.16422500000000001</v>
      </c>
      <c r="BF34">
        <v>0.59200600000000003</v>
      </c>
      <c r="BG34">
        <v>8.1013400000000004</v>
      </c>
      <c r="BH34">
        <v>39.053800000000003</v>
      </c>
      <c r="BI34">
        <v>52.054099999999998</v>
      </c>
      <c r="BJ34">
        <v>32.413800000000002</v>
      </c>
      <c r="BK34">
        <v>0</v>
      </c>
      <c r="BL34">
        <v>29.9725</v>
      </c>
      <c r="BM34">
        <v>61.4786</v>
      </c>
      <c r="BN34">
        <v>6.6497999999999999</v>
      </c>
      <c r="BO34">
        <v>1.20123</v>
      </c>
      <c r="BP34">
        <v>0.69795799999999997</v>
      </c>
      <c r="BQ34">
        <v>35.2821</v>
      </c>
      <c r="BR34">
        <v>75506</v>
      </c>
    </row>
    <row r="35" spans="1:70" x14ac:dyDescent="0.25">
      <c r="A35">
        <v>33</v>
      </c>
      <c r="B35" s="7">
        <v>46002.580439814818</v>
      </c>
      <c r="C35" t="s">
        <v>123</v>
      </c>
      <c r="D35" s="6" t="s">
        <v>237</v>
      </c>
      <c r="E35" s="6" t="str">
        <f>VLOOKUP(F35,Germplasm!$A$1:$B$21,2,FALSE)</f>
        <v>Tore</v>
      </c>
      <c r="F35" t="s">
        <v>72</v>
      </c>
      <c r="G35" s="6" t="s">
        <v>113</v>
      </c>
      <c r="H35">
        <v>30885.9</v>
      </c>
      <c r="I35">
        <v>482.26400000000001</v>
      </c>
      <c r="J35">
        <v>74820</v>
      </c>
      <c r="K35">
        <v>23.081299999999999</v>
      </c>
      <c r="L35">
        <v>59.643900000000002</v>
      </c>
      <c r="M35">
        <v>1096.07</v>
      </c>
      <c r="N35">
        <v>443.79399999999998</v>
      </c>
      <c r="O35">
        <v>17262300</v>
      </c>
      <c r="P35">
        <v>5.4943899999999997E-2</v>
      </c>
      <c r="Q35">
        <v>1.1897599999999999</v>
      </c>
      <c r="R35">
        <v>29.1357</v>
      </c>
      <c r="S35">
        <v>52.139800000000001</v>
      </c>
      <c r="T35">
        <v>13.009499999999999</v>
      </c>
      <c r="U35">
        <v>4.3499800000000004</v>
      </c>
      <c r="V35">
        <v>0.175318</v>
      </c>
      <c r="W35">
        <v>43.870199999999997</v>
      </c>
      <c r="X35">
        <v>16.352499999999999</v>
      </c>
      <c r="Y35">
        <v>48.604900000000001</v>
      </c>
      <c r="Z35">
        <v>14.8226</v>
      </c>
      <c r="AA35">
        <v>10.5236</v>
      </c>
      <c r="AB35">
        <v>3.4269400000000001</v>
      </c>
      <c r="AC35">
        <v>6.2694799999999997</v>
      </c>
      <c r="AD35">
        <v>1.7884800000000001</v>
      </c>
      <c r="AE35">
        <v>15.7316</v>
      </c>
      <c r="AF35">
        <v>0</v>
      </c>
      <c r="AG35">
        <v>86.740300000000005</v>
      </c>
      <c r="AH35">
        <v>13.2597</v>
      </c>
      <c r="AI35">
        <v>0</v>
      </c>
      <c r="AJ35">
        <v>0</v>
      </c>
      <c r="AK35">
        <v>0</v>
      </c>
      <c r="AL35">
        <v>0.13100200000000001</v>
      </c>
      <c r="AM35">
        <v>13.1683</v>
      </c>
      <c r="AN35">
        <v>54.928400000000003</v>
      </c>
      <c r="AO35">
        <v>17.500299999999999</v>
      </c>
      <c r="AP35">
        <v>8.9696700000000007</v>
      </c>
      <c r="AQ35">
        <v>4.1656700000000004</v>
      </c>
      <c r="AR35">
        <v>1.2676799999999999</v>
      </c>
      <c r="AS35">
        <v>0.29089700000000002</v>
      </c>
      <c r="AT35">
        <v>0.71026100000000003</v>
      </c>
      <c r="AU35">
        <v>3.4898699999999998</v>
      </c>
      <c r="AV35">
        <v>22.8842</v>
      </c>
      <c r="AW35">
        <v>50.314700000000002</v>
      </c>
      <c r="AX35">
        <v>19.1965</v>
      </c>
      <c r="AY35">
        <v>3.4044599999999998</v>
      </c>
      <c r="AZ35">
        <v>558.90300000000002</v>
      </c>
      <c r="BA35">
        <v>599.399</v>
      </c>
      <c r="BB35">
        <v>17269.400000000001</v>
      </c>
      <c r="BC35">
        <v>0.33703899999999998</v>
      </c>
      <c r="BD35">
        <v>0.118377</v>
      </c>
      <c r="BE35">
        <v>0.37760700000000003</v>
      </c>
      <c r="BF35">
        <v>0.69527700000000003</v>
      </c>
      <c r="BG35">
        <v>3.0058699999999998</v>
      </c>
      <c r="BH35">
        <v>16.926400000000001</v>
      </c>
      <c r="BI35">
        <v>78.876499999999993</v>
      </c>
      <c r="BJ35">
        <v>32.476799999999997</v>
      </c>
      <c r="BK35">
        <v>0</v>
      </c>
      <c r="BL35">
        <v>33.0182</v>
      </c>
      <c r="BM35">
        <v>55.957799999999999</v>
      </c>
      <c r="BN35">
        <v>8.8378099999999993</v>
      </c>
      <c r="BO35">
        <v>1.56437</v>
      </c>
      <c r="BP35">
        <v>0.62185299999999999</v>
      </c>
      <c r="BQ35">
        <v>34.020499999999998</v>
      </c>
      <c r="BR35">
        <v>66736</v>
      </c>
    </row>
    <row r="36" spans="1:70" x14ac:dyDescent="0.25">
      <c r="A36">
        <v>33</v>
      </c>
      <c r="B36" s="7">
        <v>46013.593865740739</v>
      </c>
      <c r="C36" t="s">
        <v>123</v>
      </c>
      <c r="D36" s="6" t="s">
        <v>238</v>
      </c>
      <c r="E36" s="6" t="str">
        <f>VLOOKUP(F36,Germplasm!$A$1:$B$21,2,FALSE)</f>
        <v>Tore</v>
      </c>
      <c r="F36" t="s">
        <v>72</v>
      </c>
      <c r="G36" s="6" t="s">
        <v>113</v>
      </c>
      <c r="H36">
        <v>29530.6</v>
      </c>
      <c r="I36">
        <v>476.83300000000003</v>
      </c>
      <c r="J36">
        <v>60488.2</v>
      </c>
      <c r="K36">
        <v>26.150300000000001</v>
      </c>
      <c r="L36">
        <v>73.7637</v>
      </c>
      <c r="M36">
        <v>922.87300000000005</v>
      </c>
      <c r="N36">
        <v>341.70400000000001</v>
      </c>
      <c r="O36">
        <v>15873000</v>
      </c>
      <c r="P36">
        <v>1.1121799999999999E-2</v>
      </c>
      <c r="Q36">
        <v>1.2632300000000001</v>
      </c>
      <c r="R36">
        <v>36.195700000000002</v>
      </c>
      <c r="S36">
        <v>59.899500000000003</v>
      </c>
      <c r="T36">
        <v>2.2409300000000001</v>
      </c>
      <c r="U36">
        <v>0.38719100000000001</v>
      </c>
      <c r="V36">
        <v>1.3454499999999999E-2</v>
      </c>
      <c r="W36">
        <v>35.451900000000002</v>
      </c>
      <c r="X36">
        <v>19.468699999999998</v>
      </c>
      <c r="Y36">
        <v>57.545000000000002</v>
      </c>
      <c r="Z36">
        <v>10.9953</v>
      </c>
      <c r="AA36">
        <v>3.2844000000000002</v>
      </c>
      <c r="AB36">
        <v>1.10327</v>
      </c>
      <c r="AC36">
        <v>7.6032999999999999</v>
      </c>
      <c r="AD36">
        <v>1.8669199999999999</v>
      </c>
      <c r="AE36">
        <v>18.697099999999999</v>
      </c>
      <c r="AF36">
        <v>0</v>
      </c>
      <c r="AG36">
        <v>75.500799999999998</v>
      </c>
      <c r="AH36">
        <v>24.092600000000001</v>
      </c>
      <c r="AI36">
        <v>0.390181</v>
      </c>
      <c r="AJ36">
        <v>1.6444400000000001E-2</v>
      </c>
      <c r="AK36">
        <v>0</v>
      </c>
      <c r="AL36">
        <v>6.4423599999999998E-2</v>
      </c>
      <c r="AM36">
        <v>22.880199999999999</v>
      </c>
      <c r="AN36">
        <v>61.673999999999999</v>
      </c>
      <c r="AO36">
        <v>11.5724</v>
      </c>
      <c r="AP36">
        <v>2.8762799999999999</v>
      </c>
      <c r="AQ36">
        <v>0.82521100000000003</v>
      </c>
      <c r="AR36">
        <v>0.17191899999999999</v>
      </c>
      <c r="AS36">
        <v>0.243866</v>
      </c>
      <c r="AT36">
        <v>0.65777699999999995</v>
      </c>
      <c r="AU36">
        <v>3.77474</v>
      </c>
      <c r="AV36">
        <v>30.6374</v>
      </c>
      <c r="AW36">
        <v>55.428199999999997</v>
      </c>
      <c r="AX36">
        <v>7.4448400000000001</v>
      </c>
      <c r="AY36">
        <v>2.0570499999999998</v>
      </c>
      <c r="AZ36">
        <v>537.51</v>
      </c>
      <c r="BA36">
        <v>587.4</v>
      </c>
      <c r="BB36">
        <v>15817.8</v>
      </c>
      <c r="BC36">
        <v>0.33039499999999999</v>
      </c>
      <c r="BD36">
        <v>0.11959599999999999</v>
      </c>
      <c r="BE36">
        <v>0.33636300000000002</v>
      </c>
      <c r="BF36">
        <v>0.92387699999999995</v>
      </c>
      <c r="BG36">
        <v>3.0482</v>
      </c>
      <c r="BH36">
        <v>14.6325</v>
      </c>
      <c r="BI36">
        <v>80.939400000000006</v>
      </c>
      <c r="BJ36">
        <v>26.151499999999999</v>
      </c>
      <c r="BK36">
        <v>0</v>
      </c>
      <c r="BL36">
        <v>49.470799999999997</v>
      </c>
      <c r="BM36">
        <v>46.630400000000002</v>
      </c>
      <c r="BN36">
        <v>2.6460599999999999</v>
      </c>
      <c r="BO36">
        <v>0.77587799999999996</v>
      </c>
      <c r="BP36">
        <v>0.47688799999999998</v>
      </c>
      <c r="BQ36">
        <v>32.406199999999998</v>
      </c>
      <c r="BR36">
        <v>66892</v>
      </c>
    </row>
    <row r="37" spans="1:70" x14ac:dyDescent="0.25">
      <c r="A37">
        <v>33</v>
      </c>
      <c r="B37" s="7">
        <v>46024.542060185187</v>
      </c>
      <c r="C37" t="s">
        <v>123</v>
      </c>
      <c r="D37" s="6" t="s">
        <v>239</v>
      </c>
      <c r="E37" s="6" t="str">
        <f>VLOOKUP(F37,Germplasm!$A$1:$B$21,2,FALSE)</f>
        <v>Tore</v>
      </c>
      <c r="F37" t="s">
        <v>72</v>
      </c>
      <c r="G37" s="6" t="s">
        <v>113</v>
      </c>
      <c r="H37">
        <v>28073.1</v>
      </c>
      <c r="I37">
        <v>436.84300000000002</v>
      </c>
      <c r="J37">
        <v>70628.100000000006</v>
      </c>
      <c r="K37">
        <v>20.941600000000001</v>
      </c>
      <c r="L37">
        <v>80.424999999999997</v>
      </c>
      <c r="M37">
        <v>1007.39</v>
      </c>
      <c r="N37">
        <v>368.75200000000001</v>
      </c>
      <c r="O37">
        <v>13582700</v>
      </c>
      <c r="P37">
        <v>8.6171500000000005E-3</v>
      </c>
      <c r="Q37">
        <v>1.2468399999999999</v>
      </c>
      <c r="R37">
        <v>35.874600000000001</v>
      </c>
      <c r="S37">
        <v>61.3217</v>
      </c>
      <c r="T37">
        <v>1.3354299999999999</v>
      </c>
      <c r="U37">
        <v>0.187026</v>
      </c>
      <c r="V37">
        <v>3.4452200000000002E-2</v>
      </c>
      <c r="W37">
        <v>35.7575</v>
      </c>
      <c r="X37">
        <v>19.291599999999999</v>
      </c>
      <c r="Y37">
        <v>57.594200000000001</v>
      </c>
      <c r="Z37">
        <v>10.923</v>
      </c>
      <c r="AA37">
        <v>2.9678100000000001</v>
      </c>
      <c r="AB37">
        <v>1.1549700000000001</v>
      </c>
      <c r="AC37">
        <v>8.0683799999999994</v>
      </c>
      <c r="AD37">
        <v>1.8980300000000001</v>
      </c>
      <c r="AE37">
        <v>20.022400000000001</v>
      </c>
      <c r="AF37">
        <v>0</v>
      </c>
      <c r="AG37">
        <v>72.341399999999993</v>
      </c>
      <c r="AH37">
        <v>27.025300000000001</v>
      </c>
      <c r="AI37">
        <v>0.63326400000000005</v>
      </c>
      <c r="AJ37">
        <v>0</v>
      </c>
      <c r="AK37">
        <v>0</v>
      </c>
      <c r="AL37">
        <v>5.7603399999999999E-2</v>
      </c>
      <c r="AM37">
        <v>23.3963</v>
      </c>
      <c r="AN37">
        <v>63.8596</v>
      </c>
      <c r="AO37">
        <v>9.6580999999999992</v>
      </c>
      <c r="AP37">
        <v>2.2033</v>
      </c>
      <c r="AQ37">
        <v>0.710372</v>
      </c>
      <c r="AR37">
        <v>0.172261</v>
      </c>
      <c r="AS37">
        <v>0.22675600000000001</v>
      </c>
      <c r="AT37">
        <v>0.89903900000000003</v>
      </c>
      <c r="AU37">
        <v>4.29176</v>
      </c>
      <c r="AV37">
        <v>36.7211</v>
      </c>
      <c r="AW37">
        <v>50.014800000000001</v>
      </c>
      <c r="AX37">
        <v>5.94055</v>
      </c>
      <c r="AY37">
        <v>2.1327600000000002</v>
      </c>
      <c r="AZ37">
        <v>483.834</v>
      </c>
      <c r="BA37">
        <v>502.2</v>
      </c>
      <c r="BB37">
        <v>14790.6</v>
      </c>
      <c r="BC37">
        <v>0.31168000000000001</v>
      </c>
      <c r="BD37">
        <v>0.16733899999999999</v>
      </c>
      <c r="BE37">
        <v>0.49873699999999999</v>
      </c>
      <c r="BF37">
        <v>1.15825</v>
      </c>
      <c r="BG37">
        <v>3.3664700000000001</v>
      </c>
      <c r="BH37">
        <v>15.898899999999999</v>
      </c>
      <c r="BI37">
        <v>78.910300000000007</v>
      </c>
      <c r="BJ37">
        <v>24.621400000000001</v>
      </c>
      <c r="BK37">
        <v>0</v>
      </c>
      <c r="BL37">
        <v>56.647599999999997</v>
      </c>
      <c r="BM37">
        <v>39.769300000000001</v>
      </c>
      <c r="BN37">
        <v>2.1885400000000002</v>
      </c>
      <c r="BO37">
        <v>0.86130499999999999</v>
      </c>
      <c r="BP37">
        <v>0.53318900000000002</v>
      </c>
      <c r="BQ37">
        <v>31.810700000000001</v>
      </c>
      <c r="BR37">
        <v>60954</v>
      </c>
    </row>
    <row r="38" spans="1:70" x14ac:dyDescent="0.25">
      <c r="A38">
        <v>33</v>
      </c>
      <c r="B38" s="7">
        <v>45952.552048611113</v>
      </c>
      <c r="C38" t="s">
        <v>124</v>
      </c>
      <c r="D38" s="6" t="s">
        <v>231</v>
      </c>
      <c r="E38" s="6" t="str">
        <f>VLOOKUP(F38,Germplasm!$A$1:$B$21,2,FALSE)</f>
        <v>Tyra</v>
      </c>
      <c r="F38" t="s">
        <v>73</v>
      </c>
      <c r="G38" s="6" t="s">
        <v>113</v>
      </c>
      <c r="H38">
        <v>34333.599999999999</v>
      </c>
      <c r="I38">
        <v>325.64400000000001</v>
      </c>
      <c r="J38">
        <v>147640</v>
      </c>
      <c r="K38">
        <v>13.307499999999999</v>
      </c>
      <c r="L38">
        <v>69.241500000000002</v>
      </c>
      <c r="M38">
        <v>1451.71</v>
      </c>
      <c r="N38">
        <v>536.02200000000005</v>
      </c>
      <c r="O38">
        <v>13588900</v>
      </c>
      <c r="P38">
        <v>0.24581800000000001</v>
      </c>
      <c r="Q38">
        <v>0.54813299999999998</v>
      </c>
      <c r="R38">
        <v>3.8169499999999998</v>
      </c>
      <c r="S38">
        <v>17.3047</v>
      </c>
      <c r="T38">
        <v>42.290500000000002</v>
      </c>
      <c r="U38">
        <v>35.671500000000002</v>
      </c>
      <c r="V38">
        <v>0.36827700000000002</v>
      </c>
      <c r="W38">
        <v>115.51300000000001</v>
      </c>
      <c r="X38">
        <v>0.96208700000000003</v>
      </c>
      <c r="Y38">
        <v>1.7585900000000001</v>
      </c>
      <c r="Z38">
        <v>3.7213099999999999</v>
      </c>
      <c r="AA38">
        <v>18.1983</v>
      </c>
      <c r="AB38">
        <v>41.117100000000001</v>
      </c>
      <c r="AC38">
        <v>34.242600000000003</v>
      </c>
      <c r="AD38">
        <v>1.7475099999999999</v>
      </c>
      <c r="AE38">
        <v>6.9310200000000002</v>
      </c>
      <c r="AF38">
        <v>0</v>
      </c>
      <c r="AG38">
        <v>99.885800000000003</v>
      </c>
      <c r="AH38">
        <v>0.10563</v>
      </c>
      <c r="AI38">
        <v>5.7097199999999997E-3</v>
      </c>
      <c r="AJ38">
        <v>2.8548599999999999E-3</v>
      </c>
      <c r="AK38">
        <v>0</v>
      </c>
      <c r="AL38">
        <v>0.51033899999999999</v>
      </c>
      <c r="AM38">
        <v>0.59809299999999999</v>
      </c>
      <c r="AN38">
        <v>3.1003799999999999</v>
      </c>
      <c r="AO38">
        <v>6.8316800000000004</v>
      </c>
      <c r="AP38">
        <v>16.633800000000001</v>
      </c>
      <c r="AQ38">
        <v>41.787999999999997</v>
      </c>
      <c r="AR38">
        <v>31.047999999999998</v>
      </c>
      <c r="AS38">
        <v>4.8089300000000001E-2</v>
      </c>
      <c r="AT38">
        <v>6.2021800000000002</v>
      </c>
      <c r="AU38">
        <v>33.807200000000002</v>
      </c>
      <c r="AV38">
        <v>43.623699999999999</v>
      </c>
      <c r="AW38">
        <v>12.7155</v>
      </c>
      <c r="AX38">
        <v>2.45661</v>
      </c>
      <c r="AY38">
        <v>1.19476</v>
      </c>
      <c r="AZ38">
        <v>395.79</v>
      </c>
      <c r="BA38">
        <v>471</v>
      </c>
      <c r="BB38">
        <v>19647.2</v>
      </c>
      <c r="BC38">
        <v>1.7719700000000001E-2</v>
      </c>
      <c r="BD38">
        <v>7.4226299999999995E-2</v>
      </c>
      <c r="BE38">
        <v>0.49531799999999998</v>
      </c>
      <c r="BF38">
        <v>2.9005399999999999</v>
      </c>
      <c r="BG38">
        <v>36.539299999999997</v>
      </c>
      <c r="BH38">
        <v>55.195799999999998</v>
      </c>
      <c r="BI38">
        <v>4.79474</v>
      </c>
      <c r="BJ38">
        <v>32.827500000000001</v>
      </c>
      <c r="BK38">
        <v>0</v>
      </c>
      <c r="BL38">
        <v>29.921800000000001</v>
      </c>
      <c r="BM38">
        <v>59.7179</v>
      </c>
      <c r="BN38">
        <v>9.1740899999999996</v>
      </c>
      <c r="BO38">
        <v>0.76938499999999999</v>
      </c>
      <c r="BP38">
        <v>0.41680899999999999</v>
      </c>
      <c r="BQ38">
        <v>34.937399999999997</v>
      </c>
      <c r="BR38">
        <v>70056</v>
      </c>
    </row>
    <row r="39" spans="1:70" x14ac:dyDescent="0.25">
      <c r="A39">
        <v>33</v>
      </c>
      <c r="B39" s="7">
        <v>45959.512916666667</v>
      </c>
      <c r="C39" t="s">
        <v>124</v>
      </c>
      <c r="D39" s="6" t="s">
        <v>232</v>
      </c>
      <c r="E39" s="6" t="str">
        <f>VLOOKUP(F39,Germplasm!$A$1:$B$21,2,FALSE)</f>
        <v>Tyra</v>
      </c>
      <c r="F39" t="s">
        <v>73</v>
      </c>
      <c r="G39" s="6" t="s">
        <v>113</v>
      </c>
      <c r="H39">
        <v>44721.8</v>
      </c>
      <c r="I39">
        <v>354.27600000000001</v>
      </c>
      <c r="J39">
        <v>169594</v>
      </c>
      <c r="K39">
        <v>15.581099999999999</v>
      </c>
      <c r="L39">
        <v>68.9148</v>
      </c>
      <c r="M39">
        <v>1587.31</v>
      </c>
      <c r="N39">
        <v>594.49</v>
      </c>
      <c r="O39">
        <v>19735100</v>
      </c>
      <c r="P39">
        <v>0.227189</v>
      </c>
      <c r="Q39">
        <v>0.63072399999999995</v>
      </c>
      <c r="R39">
        <v>4.69916</v>
      </c>
      <c r="S39">
        <v>20.577500000000001</v>
      </c>
      <c r="T39">
        <v>45.2288</v>
      </c>
      <c r="U39">
        <v>28.153600000000001</v>
      </c>
      <c r="V39">
        <v>0.71022700000000005</v>
      </c>
      <c r="W39">
        <v>115.97799999999999</v>
      </c>
      <c r="X39">
        <v>1.5943000000000001</v>
      </c>
      <c r="Y39">
        <v>2.6288999999999998</v>
      </c>
      <c r="Z39">
        <v>3.8818700000000002</v>
      </c>
      <c r="AA39">
        <v>17.551100000000002</v>
      </c>
      <c r="AB39">
        <v>36.9679</v>
      </c>
      <c r="AC39">
        <v>37.375999999999998</v>
      </c>
      <c r="AD39">
        <v>1.6924300000000001</v>
      </c>
      <c r="AE39">
        <v>7.1874500000000001</v>
      </c>
      <c r="AF39">
        <v>0</v>
      </c>
      <c r="AG39">
        <v>99.507099999999994</v>
      </c>
      <c r="AH39">
        <v>0.48019800000000001</v>
      </c>
      <c r="AI39">
        <v>1.2720499999999999E-2</v>
      </c>
      <c r="AJ39">
        <v>0</v>
      </c>
      <c r="AK39">
        <v>0</v>
      </c>
      <c r="AL39">
        <v>0.486956</v>
      </c>
      <c r="AM39">
        <v>1.15438</v>
      </c>
      <c r="AN39">
        <v>5.0818399999999997</v>
      </c>
      <c r="AO39">
        <v>7.9980099999999998</v>
      </c>
      <c r="AP39">
        <v>17.8935</v>
      </c>
      <c r="AQ39">
        <v>41.475200000000001</v>
      </c>
      <c r="AR39">
        <v>26.397099999999998</v>
      </c>
      <c r="AS39">
        <v>4.6805399999999997E-2</v>
      </c>
      <c r="AT39">
        <v>6.2796799999999999</v>
      </c>
      <c r="AU39">
        <v>36.514200000000002</v>
      </c>
      <c r="AV39">
        <v>40.246600000000001</v>
      </c>
      <c r="AW39">
        <v>12.4756</v>
      </c>
      <c r="AX39">
        <v>2.81759</v>
      </c>
      <c r="AY39">
        <v>1.66638</v>
      </c>
      <c r="AZ39">
        <v>441.286</v>
      </c>
      <c r="BA39">
        <v>538.79999999999995</v>
      </c>
      <c r="BB39">
        <v>26424.6</v>
      </c>
      <c r="BC39">
        <v>2.1790799999999999E-2</v>
      </c>
      <c r="BD39">
        <v>7.7382999999999993E-2</v>
      </c>
      <c r="BE39">
        <v>0.57984199999999997</v>
      </c>
      <c r="BF39">
        <v>2.9235899999999999</v>
      </c>
      <c r="BG39">
        <v>39.213000000000001</v>
      </c>
      <c r="BH39">
        <v>49.493299999999998</v>
      </c>
      <c r="BI39">
        <v>7.71286</v>
      </c>
      <c r="BJ39">
        <v>31.555299999999999</v>
      </c>
      <c r="BK39">
        <v>0</v>
      </c>
      <c r="BL39">
        <v>35.527299999999997</v>
      </c>
      <c r="BM39">
        <v>54.421399999999998</v>
      </c>
      <c r="BN39">
        <v>8.2238000000000007</v>
      </c>
      <c r="BO39">
        <v>1.1247</v>
      </c>
      <c r="BP39">
        <v>0.70280699999999996</v>
      </c>
      <c r="BQ39">
        <v>36.261200000000002</v>
      </c>
      <c r="BR39">
        <v>94336</v>
      </c>
    </row>
    <row r="40" spans="1:70" x14ac:dyDescent="0.25">
      <c r="A40">
        <v>33</v>
      </c>
      <c r="B40" s="7">
        <v>45966.568796296298</v>
      </c>
      <c r="C40" t="s">
        <v>124</v>
      </c>
      <c r="D40" s="6" t="s">
        <v>233</v>
      </c>
      <c r="E40" s="6" t="str">
        <f>VLOOKUP(F40,Germplasm!$A$1:$B$21,2,FALSE)</f>
        <v>Tyra</v>
      </c>
      <c r="F40" t="s">
        <v>73</v>
      </c>
      <c r="G40" s="6" t="s">
        <v>113</v>
      </c>
      <c r="H40">
        <v>51667.4</v>
      </c>
      <c r="I40">
        <v>429.76499999999999</v>
      </c>
      <c r="J40">
        <v>182228</v>
      </c>
      <c r="K40">
        <v>15.444100000000001</v>
      </c>
      <c r="L40">
        <v>64.221299999999999</v>
      </c>
      <c r="M40">
        <v>1648.1</v>
      </c>
      <c r="N40">
        <v>601.57299999999998</v>
      </c>
      <c r="O40">
        <v>28020700</v>
      </c>
      <c r="P40">
        <v>0.22098400000000001</v>
      </c>
      <c r="Q40">
        <v>0.55107499999999998</v>
      </c>
      <c r="R40">
        <v>4.6368900000000002</v>
      </c>
      <c r="S40">
        <v>22.018699999999999</v>
      </c>
      <c r="T40">
        <v>45.385599999999997</v>
      </c>
      <c r="U40">
        <v>26.9072</v>
      </c>
      <c r="V40">
        <v>0.500552</v>
      </c>
      <c r="W40">
        <v>108.67100000000001</v>
      </c>
      <c r="X40">
        <v>1.5241100000000001</v>
      </c>
      <c r="Y40">
        <v>4.1428900000000004</v>
      </c>
      <c r="Z40">
        <v>7.1059700000000001</v>
      </c>
      <c r="AA40">
        <v>22.3125</v>
      </c>
      <c r="AB40">
        <v>35.297800000000002</v>
      </c>
      <c r="AC40">
        <v>29.616800000000001</v>
      </c>
      <c r="AD40">
        <v>1.83586</v>
      </c>
      <c r="AE40">
        <v>6.9677699999999998</v>
      </c>
      <c r="AF40">
        <v>0</v>
      </c>
      <c r="AG40">
        <v>99.6828</v>
      </c>
      <c r="AH40">
        <v>0.31249399999999999</v>
      </c>
      <c r="AI40">
        <v>4.6780600000000004E-3</v>
      </c>
      <c r="AJ40">
        <v>0</v>
      </c>
      <c r="AK40">
        <v>0</v>
      </c>
      <c r="AL40">
        <v>0.45351799999999998</v>
      </c>
      <c r="AM40">
        <v>1.30518</v>
      </c>
      <c r="AN40">
        <v>6.6924299999999999</v>
      </c>
      <c r="AO40">
        <v>11.311500000000001</v>
      </c>
      <c r="AP40">
        <v>21.259</v>
      </c>
      <c r="AQ40">
        <v>38.7727</v>
      </c>
      <c r="AR40">
        <v>20.659199999999998</v>
      </c>
      <c r="AS40">
        <v>9.2747999999999997E-2</v>
      </c>
      <c r="AT40">
        <v>3.91553</v>
      </c>
      <c r="AU40">
        <v>30.118300000000001</v>
      </c>
      <c r="AV40">
        <v>41.535499999999999</v>
      </c>
      <c r="AW40">
        <v>16.841899999999999</v>
      </c>
      <c r="AX40">
        <v>5.3077199999999998</v>
      </c>
      <c r="AY40">
        <v>2.2810199999999998</v>
      </c>
      <c r="AZ40">
        <v>542.32799999999997</v>
      </c>
      <c r="BA40">
        <v>589.79899999999998</v>
      </c>
      <c r="BB40">
        <v>28143.4</v>
      </c>
      <c r="BC40">
        <v>5.4933000000000003E-2</v>
      </c>
      <c r="BD40">
        <v>6.1750300000000001E-2</v>
      </c>
      <c r="BE40">
        <v>0.47529100000000002</v>
      </c>
      <c r="BF40">
        <v>2.49153</v>
      </c>
      <c r="BG40">
        <v>31.004300000000001</v>
      </c>
      <c r="BH40">
        <v>52.965899999999998</v>
      </c>
      <c r="BI40">
        <v>13.001300000000001</v>
      </c>
      <c r="BJ40">
        <v>32.052</v>
      </c>
      <c r="BK40">
        <v>0</v>
      </c>
      <c r="BL40">
        <v>34.100200000000001</v>
      </c>
      <c r="BM40">
        <v>54.979300000000002</v>
      </c>
      <c r="BN40">
        <v>9.1371800000000007</v>
      </c>
      <c r="BO40">
        <v>1.1667099999999999</v>
      </c>
      <c r="BP40">
        <v>0.616568</v>
      </c>
      <c r="BQ40">
        <v>33.041699999999999</v>
      </c>
      <c r="BR40">
        <v>106882</v>
      </c>
    </row>
    <row r="41" spans="1:70" x14ac:dyDescent="0.25">
      <c r="A41">
        <v>33</v>
      </c>
      <c r="B41" s="7">
        <v>45973.548726851855</v>
      </c>
      <c r="C41" t="s">
        <v>124</v>
      </c>
      <c r="D41" s="6" t="s">
        <v>234</v>
      </c>
      <c r="E41" s="6" t="str">
        <f>VLOOKUP(F41,Germplasm!$A$1:$B$21,2,FALSE)</f>
        <v>Tyra</v>
      </c>
      <c r="F41" t="s">
        <v>73</v>
      </c>
      <c r="G41" s="6" t="s">
        <v>113</v>
      </c>
      <c r="H41">
        <v>54803.1</v>
      </c>
      <c r="I41">
        <v>388.721</v>
      </c>
      <c r="J41">
        <v>195917</v>
      </c>
      <c r="K41">
        <v>15.539199999999999</v>
      </c>
      <c r="L41">
        <v>74.339799999999997</v>
      </c>
      <c r="M41">
        <v>1667.07</v>
      </c>
      <c r="N41">
        <v>589.92700000000002</v>
      </c>
      <c r="O41">
        <v>28614200</v>
      </c>
      <c r="P41">
        <v>0.193442</v>
      </c>
      <c r="Q41">
        <v>0.77311600000000003</v>
      </c>
      <c r="R41">
        <v>6.7448600000000001</v>
      </c>
      <c r="S41">
        <v>28.309100000000001</v>
      </c>
      <c r="T41">
        <v>42.9666</v>
      </c>
      <c r="U41">
        <v>20.712299999999999</v>
      </c>
      <c r="V41">
        <v>0.49400699999999997</v>
      </c>
      <c r="W41">
        <v>105.265</v>
      </c>
      <c r="X41">
        <v>2.57877</v>
      </c>
      <c r="Y41">
        <v>5.9323600000000001</v>
      </c>
      <c r="Z41">
        <v>8.3895499999999998</v>
      </c>
      <c r="AA41">
        <v>23.122399999999999</v>
      </c>
      <c r="AB41">
        <v>30.5154</v>
      </c>
      <c r="AC41">
        <v>29.461500000000001</v>
      </c>
      <c r="AD41">
        <v>1.80013</v>
      </c>
      <c r="AE41">
        <v>7.6147299999999998</v>
      </c>
      <c r="AF41">
        <v>0</v>
      </c>
      <c r="AG41">
        <v>99.100200000000001</v>
      </c>
      <c r="AH41">
        <v>0.89811600000000003</v>
      </c>
      <c r="AI41">
        <v>1.71233E-3</v>
      </c>
      <c r="AJ41">
        <v>0</v>
      </c>
      <c r="AK41">
        <v>0</v>
      </c>
      <c r="AL41">
        <v>0.41379300000000002</v>
      </c>
      <c r="AM41">
        <v>2.1489699999999998</v>
      </c>
      <c r="AN41">
        <v>9.0488</v>
      </c>
      <c r="AO41">
        <v>15.5223</v>
      </c>
      <c r="AP41">
        <v>23.233699999999999</v>
      </c>
      <c r="AQ41">
        <v>35.237200000000001</v>
      </c>
      <c r="AR41">
        <v>14.809100000000001</v>
      </c>
      <c r="AS41">
        <v>9.7163399999999997E-2</v>
      </c>
      <c r="AT41">
        <v>3.9392100000000001</v>
      </c>
      <c r="AU41">
        <v>28.593299999999999</v>
      </c>
      <c r="AV41">
        <v>41.598500000000001</v>
      </c>
      <c r="AW41">
        <v>18.578800000000001</v>
      </c>
      <c r="AX41">
        <v>5.2345899999999999</v>
      </c>
      <c r="AY41">
        <v>2.05565</v>
      </c>
      <c r="AZ41">
        <v>522.12800000000004</v>
      </c>
      <c r="BA41">
        <v>568.79899999999998</v>
      </c>
      <c r="BB41">
        <v>30443.9</v>
      </c>
      <c r="BC41">
        <v>6.4330300000000007E-2</v>
      </c>
      <c r="BD41">
        <v>7.1917800000000004E-2</v>
      </c>
      <c r="BE41">
        <v>0.63527400000000001</v>
      </c>
      <c r="BF41">
        <v>2.74315</v>
      </c>
      <c r="BG41">
        <v>29.0822</v>
      </c>
      <c r="BH41">
        <v>52.0488</v>
      </c>
      <c r="BI41">
        <v>15.418699999999999</v>
      </c>
      <c r="BJ41">
        <v>30.294899999999998</v>
      </c>
      <c r="BK41">
        <v>0</v>
      </c>
      <c r="BL41">
        <v>39.5471</v>
      </c>
      <c r="BM41">
        <v>51.077100000000002</v>
      </c>
      <c r="BN41">
        <v>7.5684899999999997</v>
      </c>
      <c r="BO41">
        <v>1.0539400000000001</v>
      </c>
      <c r="BP41">
        <v>0.75342500000000001</v>
      </c>
      <c r="BQ41">
        <v>33.786700000000003</v>
      </c>
      <c r="BR41">
        <v>116800</v>
      </c>
    </row>
    <row r="42" spans="1:70" x14ac:dyDescent="0.25">
      <c r="A42">
        <v>33</v>
      </c>
      <c r="B42" s="7">
        <v>45988.527881944443</v>
      </c>
      <c r="C42" t="s">
        <v>124</v>
      </c>
      <c r="D42" s="6" t="s">
        <v>235</v>
      </c>
      <c r="E42" s="6" t="str">
        <f>VLOOKUP(F42,Germplasm!$A$1:$B$21,2,FALSE)</f>
        <v>Tyra</v>
      </c>
      <c r="F42" t="s">
        <v>73</v>
      </c>
      <c r="G42" s="6" t="s">
        <v>113</v>
      </c>
      <c r="H42">
        <v>42426.5</v>
      </c>
      <c r="I42">
        <v>300.22899999999998</v>
      </c>
      <c r="J42">
        <v>129105</v>
      </c>
      <c r="K42">
        <v>19.306000000000001</v>
      </c>
      <c r="L42">
        <v>71.985799999999998</v>
      </c>
      <c r="M42">
        <v>1349.95</v>
      </c>
      <c r="N42">
        <v>494.96</v>
      </c>
      <c r="O42">
        <v>20562100</v>
      </c>
      <c r="P42">
        <v>0.13941100000000001</v>
      </c>
      <c r="Q42">
        <v>1.13205</v>
      </c>
      <c r="R42">
        <v>14.449199999999999</v>
      </c>
      <c r="S42">
        <v>38.760800000000003</v>
      </c>
      <c r="T42">
        <v>32.484699999999997</v>
      </c>
      <c r="U42">
        <v>12.6632</v>
      </c>
      <c r="V42">
        <v>0.51004499999999997</v>
      </c>
      <c r="W42">
        <v>76.460999999999999</v>
      </c>
      <c r="X42">
        <v>7.62758</v>
      </c>
      <c r="Y42">
        <v>20.574200000000001</v>
      </c>
      <c r="Z42">
        <v>14.4581</v>
      </c>
      <c r="AA42">
        <v>25.734200000000001</v>
      </c>
      <c r="AB42">
        <v>17.192299999999999</v>
      </c>
      <c r="AC42">
        <v>14.4137</v>
      </c>
      <c r="AD42">
        <v>1.70217</v>
      </c>
      <c r="AE42">
        <v>9.9398099999999996</v>
      </c>
      <c r="AF42">
        <v>0</v>
      </c>
      <c r="AG42">
        <v>98.166899999999998</v>
      </c>
      <c r="AH42">
        <v>1.8278099999999999</v>
      </c>
      <c r="AI42">
        <v>5.3314900000000004E-3</v>
      </c>
      <c r="AJ42">
        <v>0</v>
      </c>
      <c r="AK42">
        <v>0</v>
      </c>
      <c r="AL42">
        <v>0.29478500000000002</v>
      </c>
      <c r="AM42">
        <v>5.1137800000000002</v>
      </c>
      <c r="AN42">
        <v>22.434000000000001</v>
      </c>
      <c r="AO42">
        <v>24.026299999999999</v>
      </c>
      <c r="AP42">
        <v>23.877099999999999</v>
      </c>
      <c r="AQ42">
        <v>18.589099999999998</v>
      </c>
      <c r="AR42">
        <v>5.9597100000000003</v>
      </c>
      <c r="AS42">
        <v>0.21632599999999999</v>
      </c>
      <c r="AT42">
        <v>1.4164000000000001</v>
      </c>
      <c r="AU42">
        <v>13.153700000000001</v>
      </c>
      <c r="AV42">
        <v>33.783799999999999</v>
      </c>
      <c r="AW42">
        <v>34.814599999999999</v>
      </c>
      <c r="AX42">
        <v>12.936</v>
      </c>
      <c r="AY42">
        <v>3.89554</v>
      </c>
      <c r="AZ42">
        <v>484.65199999999999</v>
      </c>
      <c r="BA42">
        <v>525.6</v>
      </c>
      <c r="BB42">
        <v>24925</v>
      </c>
      <c r="BC42">
        <v>0.18834400000000001</v>
      </c>
      <c r="BD42">
        <v>8.7080900000000003E-2</v>
      </c>
      <c r="BE42">
        <v>0.37231500000000001</v>
      </c>
      <c r="BF42">
        <v>1.23424</v>
      </c>
      <c r="BG42">
        <v>12.8764</v>
      </c>
      <c r="BH42">
        <v>42.3889</v>
      </c>
      <c r="BI42">
        <v>43.0411</v>
      </c>
      <c r="BJ42">
        <v>32.511899999999997</v>
      </c>
      <c r="BK42">
        <v>0</v>
      </c>
      <c r="BL42">
        <v>35.4482</v>
      </c>
      <c r="BM42">
        <v>51.977499999999999</v>
      </c>
      <c r="BN42">
        <v>9.8117099999999997</v>
      </c>
      <c r="BO42">
        <v>1.78427</v>
      </c>
      <c r="BP42">
        <v>0.97832799999999998</v>
      </c>
      <c r="BQ42">
        <v>36.017600000000002</v>
      </c>
      <c r="BR42">
        <v>112539</v>
      </c>
    </row>
    <row r="43" spans="1:70" x14ac:dyDescent="0.25">
      <c r="A43">
        <v>33</v>
      </c>
      <c r="B43" s="7">
        <v>45994.534386574072</v>
      </c>
      <c r="C43" t="s">
        <v>124</v>
      </c>
      <c r="D43" s="6" t="s">
        <v>236</v>
      </c>
      <c r="E43" s="6" t="str">
        <f>VLOOKUP(F43,Germplasm!$A$1:$B$21,2,FALSE)</f>
        <v>Tyra</v>
      </c>
      <c r="F43" t="s">
        <v>73</v>
      </c>
      <c r="G43" s="6" t="s">
        <v>113</v>
      </c>
      <c r="H43">
        <v>30684.1</v>
      </c>
      <c r="I43">
        <v>406.69099999999997</v>
      </c>
      <c r="J43">
        <v>104176</v>
      </c>
      <c r="K43">
        <v>15.5656</v>
      </c>
      <c r="L43">
        <v>50.606900000000003</v>
      </c>
      <c r="M43">
        <v>1281.04</v>
      </c>
      <c r="N43">
        <v>535.50300000000004</v>
      </c>
      <c r="O43">
        <v>15519000</v>
      </c>
      <c r="P43">
        <v>9.3920799999999999E-2</v>
      </c>
      <c r="Q43">
        <v>1.3892</v>
      </c>
      <c r="R43">
        <v>20.090399999999999</v>
      </c>
      <c r="S43">
        <v>47.143900000000002</v>
      </c>
      <c r="T43">
        <v>24.693300000000001</v>
      </c>
      <c r="U43">
        <v>6.4711699999999999</v>
      </c>
      <c r="V43">
        <v>0.21198400000000001</v>
      </c>
      <c r="W43">
        <v>59.510899999999999</v>
      </c>
      <c r="X43">
        <v>11.168699999999999</v>
      </c>
      <c r="Y43">
        <v>32.624400000000001</v>
      </c>
      <c r="Z43">
        <v>17.796800000000001</v>
      </c>
      <c r="AA43">
        <v>18.8171</v>
      </c>
      <c r="AB43">
        <v>9.9208599999999993</v>
      </c>
      <c r="AC43">
        <v>9.6721299999999992</v>
      </c>
      <c r="AD43">
        <v>1.8922600000000001</v>
      </c>
      <c r="AE43">
        <v>11.7974</v>
      </c>
      <c r="AF43">
        <v>0</v>
      </c>
      <c r="AG43">
        <v>94.985900000000001</v>
      </c>
      <c r="AH43">
        <v>4.95336</v>
      </c>
      <c r="AI43">
        <v>6.0768799999999998E-2</v>
      </c>
      <c r="AJ43">
        <v>0</v>
      </c>
      <c r="AK43">
        <v>0</v>
      </c>
      <c r="AL43">
        <v>0.215473</v>
      </c>
      <c r="AM43">
        <v>8.3959899999999994</v>
      </c>
      <c r="AN43">
        <v>34.8431</v>
      </c>
      <c r="AO43">
        <v>26.786300000000001</v>
      </c>
      <c r="AP43">
        <v>17.204599999999999</v>
      </c>
      <c r="AQ43">
        <v>9.6438699999999997</v>
      </c>
      <c r="AR43">
        <v>3.1260599999999998</v>
      </c>
      <c r="AS43">
        <v>0.25318000000000002</v>
      </c>
      <c r="AT43">
        <v>0.99349900000000002</v>
      </c>
      <c r="AU43">
        <v>7.4731500000000004</v>
      </c>
      <c r="AV43">
        <v>31.2239</v>
      </c>
      <c r="AW43">
        <v>40.9497</v>
      </c>
      <c r="AX43">
        <v>14.9491</v>
      </c>
      <c r="AY43">
        <v>4.4106800000000002</v>
      </c>
      <c r="AZ43">
        <v>505.76900000000001</v>
      </c>
      <c r="BA43">
        <v>557.399</v>
      </c>
      <c r="BB43">
        <v>16215.5</v>
      </c>
      <c r="BC43">
        <v>0.25639299999999998</v>
      </c>
      <c r="BD43">
        <v>0.18513299999999999</v>
      </c>
      <c r="BE43">
        <v>0.31514999999999999</v>
      </c>
      <c r="BF43">
        <v>0.84793700000000005</v>
      </c>
      <c r="BG43">
        <v>7.1170200000000001</v>
      </c>
      <c r="BH43">
        <v>31.567299999999999</v>
      </c>
      <c r="BI43">
        <v>59.967500000000001</v>
      </c>
      <c r="BJ43">
        <v>32.006300000000003</v>
      </c>
      <c r="BK43">
        <v>0</v>
      </c>
      <c r="BL43">
        <v>36.157400000000003</v>
      </c>
      <c r="BM43">
        <v>52.758600000000001</v>
      </c>
      <c r="BN43">
        <v>8.3606599999999993</v>
      </c>
      <c r="BO43">
        <v>1.64358</v>
      </c>
      <c r="BP43">
        <v>1.0797099999999999</v>
      </c>
      <c r="BQ43">
        <v>31.9224</v>
      </c>
      <c r="BR43">
        <v>70760</v>
      </c>
    </row>
    <row r="44" spans="1:70" x14ac:dyDescent="0.25">
      <c r="A44">
        <v>33</v>
      </c>
      <c r="B44" s="7">
        <v>46002.580439814818</v>
      </c>
      <c r="C44" t="s">
        <v>124</v>
      </c>
      <c r="D44" s="6" t="s">
        <v>237</v>
      </c>
      <c r="E44" s="6" t="str">
        <f>VLOOKUP(F44,Germplasm!$A$1:$B$21,2,FALSE)</f>
        <v>Tyra</v>
      </c>
      <c r="F44" t="s">
        <v>73</v>
      </c>
      <c r="G44" s="6" t="s">
        <v>113</v>
      </c>
      <c r="H44">
        <v>25985.3</v>
      </c>
      <c r="I44">
        <v>415.97199999999998</v>
      </c>
      <c r="J44">
        <v>75626</v>
      </c>
      <c r="K44">
        <v>17.539100000000001</v>
      </c>
      <c r="L44">
        <v>76.018299999999996</v>
      </c>
      <c r="M44">
        <v>1040.17</v>
      </c>
      <c r="N44">
        <v>366.57600000000002</v>
      </c>
      <c r="O44">
        <v>13163100</v>
      </c>
      <c r="P44">
        <v>3.7862800000000002E-2</v>
      </c>
      <c r="Q44">
        <v>1.7214100000000001</v>
      </c>
      <c r="R44">
        <v>32.6417</v>
      </c>
      <c r="S44">
        <v>53.475299999999997</v>
      </c>
      <c r="T44">
        <v>8.5386399999999991</v>
      </c>
      <c r="U44">
        <v>3.4144600000000001</v>
      </c>
      <c r="V44">
        <v>0.20850399999999999</v>
      </c>
      <c r="W44">
        <v>42.178100000000001</v>
      </c>
      <c r="X44">
        <v>18.1615</v>
      </c>
      <c r="Y44">
        <v>47.303600000000003</v>
      </c>
      <c r="Z44">
        <v>13.7279</v>
      </c>
      <c r="AA44">
        <v>8.7638200000000008</v>
      </c>
      <c r="AB44">
        <v>3.2559900000000002</v>
      </c>
      <c r="AC44">
        <v>8.7871799999999993</v>
      </c>
      <c r="AD44">
        <v>1.9590700000000001</v>
      </c>
      <c r="AE44">
        <v>13.784000000000001</v>
      </c>
      <c r="AF44">
        <v>0</v>
      </c>
      <c r="AG44">
        <v>89.956800000000001</v>
      </c>
      <c r="AH44">
        <v>10.023199999999999</v>
      </c>
      <c r="AI44">
        <v>2.0016300000000001E-2</v>
      </c>
      <c r="AJ44">
        <v>0</v>
      </c>
      <c r="AK44">
        <v>0</v>
      </c>
      <c r="AL44">
        <v>0.12709000000000001</v>
      </c>
      <c r="AM44">
        <v>15.864599999999999</v>
      </c>
      <c r="AN44">
        <v>50.726399999999998</v>
      </c>
      <c r="AO44">
        <v>19.699400000000001</v>
      </c>
      <c r="AP44">
        <v>8.5019399999999994</v>
      </c>
      <c r="AQ44">
        <v>3.9599000000000002</v>
      </c>
      <c r="AR44">
        <v>1.24769</v>
      </c>
      <c r="AS44">
        <v>0.26300600000000002</v>
      </c>
      <c r="AT44">
        <v>1.2043200000000001</v>
      </c>
      <c r="AU44">
        <v>4.9323600000000001</v>
      </c>
      <c r="AV44">
        <v>29.323899999999998</v>
      </c>
      <c r="AW44">
        <v>47.749000000000002</v>
      </c>
      <c r="AX44">
        <v>11.8247</v>
      </c>
      <c r="AY44">
        <v>4.9657200000000001</v>
      </c>
      <c r="AZ44">
        <v>506.55799999999999</v>
      </c>
      <c r="BA44">
        <v>541.19899999999996</v>
      </c>
      <c r="BB44">
        <v>13264.1</v>
      </c>
      <c r="BC44">
        <v>0.30194900000000002</v>
      </c>
      <c r="BD44">
        <v>0.27188899999999999</v>
      </c>
      <c r="BE44">
        <v>0.56045800000000001</v>
      </c>
      <c r="BF44">
        <v>1.1109100000000001</v>
      </c>
      <c r="BG44">
        <v>4.1917600000000004</v>
      </c>
      <c r="BH44">
        <v>19.4375</v>
      </c>
      <c r="BI44">
        <v>74.427499999999995</v>
      </c>
      <c r="BJ44">
        <v>29.926100000000002</v>
      </c>
      <c r="BK44">
        <v>0</v>
      </c>
      <c r="BL44">
        <v>43.465499999999999</v>
      </c>
      <c r="BM44">
        <v>46.88</v>
      </c>
      <c r="BN44">
        <v>6.5586900000000004</v>
      </c>
      <c r="BO44">
        <v>1.9349099999999999</v>
      </c>
      <c r="BP44">
        <v>1.1609499999999999</v>
      </c>
      <c r="BQ44">
        <v>30.7043</v>
      </c>
      <c r="BR44">
        <v>59951</v>
      </c>
    </row>
    <row r="45" spans="1:70" x14ac:dyDescent="0.25">
      <c r="A45">
        <v>33</v>
      </c>
      <c r="B45" s="7">
        <v>46013.593865740739</v>
      </c>
      <c r="C45" t="s">
        <v>124</v>
      </c>
      <c r="D45" s="6" t="s">
        <v>238</v>
      </c>
      <c r="E45" s="6" t="str">
        <f>VLOOKUP(F45,Germplasm!$A$1:$B$21,2,FALSE)</f>
        <v>Tyra</v>
      </c>
      <c r="F45" t="s">
        <v>73</v>
      </c>
      <c r="G45" s="6" t="s">
        <v>113</v>
      </c>
      <c r="H45">
        <v>28013.5</v>
      </c>
      <c r="I45">
        <v>417.06599999999997</v>
      </c>
      <c r="J45">
        <v>78335</v>
      </c>
      <c r="K45">
        <v>18.577400000000001</v>
      </c>
      <c r="L45">
        <v>60.087400000000002</v>
      </c>
      <c r="M45">
        <v>1085.3499999999999</v>
      </c>
      <c r="N45">
        <v>407.31599999999997</v>
      </c>
      <c r="O45">
        <v>13130000</v>
      </c>
      <c r="P45">
        <v>5.6757300000000004E-3</v>
      </c>
      <c r="Q45">
        <v>1.29339</v>
      </c>
      <c r="R45">
        <v>40.222499999999997</v>
      </c>
      <c r="S45">
        <v>56.3568</v>
      </c>
      <c r="T45">
        <v>1.7103600000000001</v>
      </c>
      <c r="U45">
        <v>0.36976399999999998</v>
      </c>
      <c r="V45">
        <v>4.7204000000000003E-2</v>
      </c>
      <c r="W45">
        <v>34.5274</v>
      </c>
      <c r="X45">
        <v>22.425000000000001</v>
      </c>
      <c r="Y45">
        <v>56.937399999999997</v>
      </c>
      <c r="Z45">
        <v>9.1260999999999992</v>
      </c>
      <c r="AA45">
        <v>2.9533900000000002</v>
      </c>
      <c r="AB45">
        <v>1.2162900000000001</v>
      </c>
      <c r="AC45">
        <v>7.3417899999999996</v>
      </c>
      <c r="AD45">
        <v>1.9249799999999999</v>
      </c>
      <c r="AE45">
        <v>17.686599999999999</v>
      </c>
      <c r="AF45">
        <v>0</v>
      </c>
      <c r="AG45">
        <v>80.98</v>
      </c>
      <c r="AH45">
        <v>18.878399999999999</v>
      </c>
      <c r="AI45">
        <v>9.1260999999999995E-2</v>
      </c>
      <c r="AJ45">
        <v>5.0350899999999997E-2</v>
      </c>
      <c r="AK45">
        <v>0</v>
      </c>
      <c r="AL45">
        <v>7.9974100000000006E-2</v>
      </c>
      <c r="AM45">
        <v>21.89</v>
      </c>
      <c r="AN45">
        <v>57.173400000000001</v>
      </c>
      <c r="AO45">
        <v>14.889699999999999</v>
      </c>
      <c r="AP45">
        <v>4.0847199999999999</v>
      </c>
      <c r="AQ45">
        <v>1.5026600000000001</v>
      </c>
      <c r="AR45">
        <v>0.45945200000000003</v>
      </c>
      <c r="AS45">
        <v>0.24292</v>
      </c>
      <c r="AT45">
        <v>0.69232499999999997</v>
      </c>
      <c r="AU45">
        <v>3.8723000000000001</v>
      </c>
      <c r="AV45">
        <v>35.415599999999998</v>
      </c>
      <c r="AW45">
        <v>49.015000000000001</v>
      </c>
      <c r="AX45">
        <v>7.9255399999999998</v>
      </c>
      <c r="AY45">
        <v>3.0792700000000002</v>
      </c>
      <c r="AZ45">
        <v>468.70299999999997</v>
      </c>
      <c r="BA45">
        <v>503.4</v>
      </c>
      <c r="BB45">
        <v>14552.6</v>
      </c>
      <c r="BC45">
        <v>0.31422</v>
      </c>
      <c r="BD45">
        <v>0.165214</v>
      </c>
      <c r="BE45">
        <v>0.39021899999999998</v>
      </c>
      <c r="BF45">
        <v>0.80404100000000001</v>
      </c>
      <c r="BG45">
        <v>3.2051500000000002</v>
      </c>
      <c r="BH45">
        <v>15.725199999999999</v>
      </c>
      <c r="BI45">
        <v>79.7102</v>
      </c>
      <c r="BJ45">
        <v>26.019200000000001</v>
      </c>
      <c r="BK45">
        <v>0</v>
      </c>
      <c r="BL45">
        <v>54.862000000000002</v>
      </c>
      <c r="BM45">
        <v>39.9739</v>
      </c>
      <c r="BN45">
        <v>3.2523499999999999</v>
      </c>
      <c r="BO45">
        <v>1.11873</v>
      </c>
      <c r="BP45">
        <v>0.79302600000000001</v>
      </c>
      <c r="BQ45">
        <v>31.312999999999999</v>
      </c>
      <c r="BR45">
        <v>63554</v>
      </c>
    </row>
    <row r="46" spans="1:70" x14ac:dyDescent="0.25">
      <c r="A46">
        <v>33</v>
      </c>
      <c r="B46" s="7">
        <v>46024.542060185187</v>
      </c>
      <c r="C46" t="s">
        <v>124</v>
      </c>
      <c r="D46" s="6" t="s">
        <v>239</v>
      </c>
      <c r="E46" s="6" t="str">
        <f>VLOOKUP(F46,Germplasm!$A$1:$B$21,2,FALSE)</f>
        <v>Tyra</v>
      </c>
      <c r="F46" t="s">
        <v>73</v>
      </c>
      <c r="G46" s="6" t="s">
        <v>113</v>
      </c>
      <c r="H46">
        <v>31379.200000000001</v>
      </c>
      <c r="I46">
        <v>284.58699999999999</v>
      </c>
      <c r="J46">
        <v>129466</v>
      </c>
      <c r="K46">
        <v>13.536199999999999</v>
      </c>
      <c r="L46">
        <v>61.685600000000001</v>
      </c>
      <c r="M46">
        <v>1377.61</v>
      </c>
      <c r="N46">
        <v>516.42200000000003</v>
      </c>
      <c r="O46">
        <v>10975700</v>
      </c>
      <c r="P46">
        <v>8.0496600000000001E-3</v>
      </c>
      <c r="Q46">
        <v>1.2104900000000001</v>
      </c>
      <c r="R46">
        <v>38.072299999999998</v>
      </c>
      <c r="S46">
        <v>58.6676</v>
      </c>
      <c r="T46">
        <v>1.67824</v>
      </c>
      <c r="U46">
        <v>0.347271</v>
      </c>
      <c r="V46">
        <v>2.40964E-2</v>
      </c>
      <c r="W46">
        <v>35.737400000000001</v>
      </c>
      <c r="X46">
        <v>20.334499999999998</v>
      </c>
      <c r="Y46">
        <v>57.641399999999997</v>
      </c>
      <c r="Z46">
        <v>9.2232500000000002</v>
      </c>
      <c r="AA46">
        <v>3.05741</v>
      </c>
      <c r="AB46">
        <v>1.5606</v>
      </c>
      <c r="AC46">
        <v>8.1828500000000002</v>
      </c>
      <c r="AD46">
        <v>1.7905599999999999</v>
      </c>
      <c r="AE46">
        <v>21.868099999999998</v>
      </c>
      <c r="AF46">
        <v>0</v>
      </c>
      <c r="AG46">
        <v>63.8568</v>
      </c>
      <c r="AH46">
        <v>35.464199999999998</v>
      </c>
      <c r="AI46">
        <v>0.67895099999999997</v>
      </c>
      <c r="AJ46">
        <v>0</v>
      </c>
      <c r="AK46">
        <v>0</v>
      </c>
      <c r="AL46">
        <v>7.6305100000000001E-2</v>
      </c>
      <c r="AM46">
        <v>22.2849</v>
      </c>
      <c r="AN46">
        <v>57.686700000000002</v>
      </c>
      <c r="AO46">
        <v>14.292</v>
      </c>
      <c r="AP46">
        <v>4.0567000000000002</v>
      </c>
      <c r="AQ46">
        <v>1.3990100000000001</v>
      </c>
      <c r="AR46">
        <v>0.28065200000000001</v>
      </c>
      <c r="AS46">
        <v>0.229881</v>
      </c>
      <c r="AT46">
        <v>0.837704</v>
      </c>
      <c r="AU46">
        <v>4.7682500000000001</v>
      </c>
      <c r="AV46">
        <v>38.463500000000003</v>
      </c>
      <c r="AW46">
        <v>45.703800000000001</v>
      </c>
      <c r="AX46">
        <v>7.1226099999999999</v>
      </c>
      <c r="AY46">
        <v>3.1041799999999999</v>
      </c>
      <c r="AZ46">
        <v>349.77800000000002</v>
      </c>
      <c r="BA46">
        <v>388.2</v>
      </c>
      <c r="BB46">
        <v>17524.8</v>
      </c>
      <c r="BC46">
        <v>0.29750399999999999</v>
      </c>
      <c r="BD46">
        <v>0.26080799999999998</v>
      </c>
      <c r="BE46">
        <v>0.47200599999999998</v>
      </c>
      <c r="BF46">
        <v>1.0063800000000001</v>
      </c>
      <c r="BG46">
        <v>3.8667600000000002</v>
      </c>
      <c r="BH46">
        <v>16.938300000000002</v>
      </c>
      <c r="BI46">
        <v>77.455699999999993</v>
      </c>
      <c r="BJ46">
        <v>24.983899999999998</v>
      </c>
      <c r="BK46">
        <v>0</v>
      </c>
      <c r="BL46">
        <v>58.636400000000002</v>
      </c>
      <c r="BM46">
        <v>36.061</v>
      </c>
      <c r="BN46">
        <v>3.4358599999999999</v>
      </c>
      <c r="BO46">
        <v>1.2275</v>
      </c>
      <c r="BP46">
        <v>0.63926300000000003</v>
      </c>
      <c r="BQ46">
        <v>33.976799999999997</v>
      </c>
      <c r="BR46">
        <v>70550</v>
      </c>
    </row>
    <row r="47" spans="1:70" x14ac:dyDescent="0.25">
      <c r="A47">
        <v>34</v>
      </c>
      <c r="B47" s="7">
        <v>45952.538090277776</v>
      </c>
      <c r="C47" t="s">
        <v>117</v>
      </c>
      <c r="D47" s="6" t="s">
        <v>240</v>
      </c>
      <c r="E47" s="6" t="str">
        <f>VLOOKUP(F47,Germplasm!$A$1:$B$21,2,FALSE)</f>
        <v>Arild</v>
      </c>
      <c r="F47" t="s">
        <v>74</v>
      </c>
      <c r="G47" s="6" t="s">
        <v>113</v>
      </c>
      <c r="H47">
        <v>43200.800000000003</v>
      </c>
      <c r="I47">
        <v>320.45800000000003</v>
      </c>
      <c r="J47">
        <v>202169</v>
      </c>
      <c r="K47">
        <v>12.651199999999999</v>
      </c>
      <c r="L47">
        <v>77.599999999999994</v>
      </c>
      <c r="M47">
        <v>1737.15</v>
      </c>
      <c r="N47">
        <v>615.14599999999996</v>
      </c>
      <c r="O47">
        <v>17152700</v>
      </c>
      <c r="P47">
        <v>0.218801</v>
      </c>
      <c r="Q47">
        <v>0.49251499999999998</v>
      </c>
      <c r="R47">
        <v>6.4553799999999999</v>
      </c>
      <c r="S47">
        <v>23.3383</v>
      </c>
      <c r="T47">
        <v>39.423000000000002</v>
      </c>
      <c r="U47">
        <v>29.7456</v>
      </c>
      <c r="V47">
        <v>0.54520299999999999</v>
      </c>
      <c r="W47">
        <v>114.902</v>
      </c>
      <c r="X47">
        <v>2.1155200000000001</v>
      </c>
      <c r="Y47">
        <v>3.68126</v>
      </c>
      <c r="Z47">
        <v>4.8690300000000004</v>
      </c>
      <c r="AA47">
        <v>15.650499999999999</v>
      </c>
      <c r="AB47">
        <v>36.6477</v>
      </c>
      <c r="AC47">
        <v>37.036000000000001</v>
      </c>
      <c r="AD47">
        <v>1.68906</v>
      </c>
      <c r="AE47">
        <v>12.958600000000001</v>
      </c>
      <c r="AF47">
        <v>0</v>
      </c>
      <c r="AG47">
        <v>91.177099999999996</v>
      </c>
      <c r="AH47">
        <v>1.08582</v>
      </c>
      <c r="AI47">
        <v>1.45807</v>
      </c>
      <c r="AJ47">
        <v>6.2789900000000003</v>
      </c>
      <c r="AK47">
        <v>0</v>
      </c>
      <c r="AL47">
        <v>0.47390399999999999</v>
      </c>
      <c r="AM47">
        <v>7.7588299999999997</v>
      </c>
      <c r="AN47">
        <v>5.0751900000000001</v>
      </c>
      <c r="AO47">
        <v>5.7463899999999999</v>
      </c>
      <c r="AP47">
        <v>12.6691</v>
      </c>
      <c r="AQ47">
        <v>35.443899999999999</v>
      </c>
      <c r="AR47">
        <v>33.306600000000003</v>
      </c>
      <c r="AS47">
        <v>3.8703300000000003E-2</v>
      </c>
      <c r="AT47">
        <v>6.50807</v>
      </c>
      <c r="AU47">
        <v>35.960500000000003</v>
      </c>
      <c r="AV47">
        <v>42.893500000000003</v>
      </c>
      <c r="AW47">
        <v>10.599399999999999</v>
      </c>
      <c r="AX47">
        <v>2.4786100000000002</v>
      </c>
      <c r="AY47">
        <v>1.5600099999999999</v>
      </c>
      <c r="AZ47">
        <v>397.04599999999999</v>
      </c>
      <c r="BA47">
        <v>405.44900000000001</v>
      </c>
      <c r="BB47">
        <v>25576.799999999999</v>
      </c>
      <c r="BC47">
        <v>1.06392E-2</v>
      </c>
      <c r="BD47">
        <v>0.47304299999999999</v>
      </c>
      <c r="BE47">
        <v>0.74335399999999996</v>
      </c>
      <c r="BF47">
        <v>3.11544</v>
      </c>
      <c r="BG47">
        <v>38.1355</v>
      </c>
      <c r="BH47">
        <v>51.6648</v>
      </c>
      <c r="BI47">
        <v>5.8677999999999999</v>
      </c>
      <c r="BJ47">
        <v>32.620399999999997</v>
      </c>
      <c r="BK47">
        <v>0</v>
      </c>
      <c r="BL47">
        <v>33.796799999999998</v>
      </c>
      <c r="BM47">
        <v>55.035699999999999</v>
      </c>
      <c r="BN47">
        <v>8.2834099999999999</v>
      </c>
      <c r="BO47">
        <v>1.5336700000000001</v>
      </c>
      <c r="BP47">
        <v>1.3504100000000001</v>
      </c>
      <c r="BQ47">
        <v>36.341500000000003</v>
      </c>
      <c r="BR47">
        <v>87307</v>
      </c>
    </row>
    <row r="48" spans="1:70" x14ac:dyDescent="0.25">
      <c r="A48">
        <v>34</v>
      </c>
      <c r="B48" s="7">
        <v>45959.514710648145</v>
      </c>
      <c r="C48" t="s">
        <v>117</v>
      </c>
      <c r="D48" s="6" t="s">
        <v>241</v>
      </c>
      <c r="E48" s="6" t="str">
        <f>VLOOKUP(F48,Germplasm!$A$1:$B$21,2,FALSE)</f>
        <v>Arild</v>
      </c>
      <c r="F48" t="s">
        <v>74</v>
      </c>
      <c r="G48" s="6" t="s">
        <v>113</v>
      </c>
      <c r="H48">
        <v>66571.600000000006</v>
      </c>
      <c r="I48">
        <v>376.64499999999998</v>
      </c>
      <c r="J48">
        <v>217678</v>
      </c>
      <c r="K48">
        <v>17.4574</v>
      </c>
      <c r="L48">
        <v>76.048900000000003</v>
      </c>
      <c r="M48">
        <v>1763.96</v>
      </c>
      <c r="N48">
        <v>635.36099999999999</v>
      </c>
      <c r="O48">
        <v>30547200</v>
      </c>
      <c r="P48">
        <v>0.215725</v>
      </c>
      <c r="Q48">
        <v>0.55517700000000003</v>
      </c>
      <c r="R48">
        <v>5.7600499999999997</v>
      </c>
      <c r="S48">
        <v>24.014199999999999</v>
      </c>
      <c r="T48">
        <v>42.432099999999998</v>
      </c>
      <c r="U48">
        <v>26.3779</v>
      </c>
      <c r="V48">
        <v>0.86056100000000002</v>
      </c>
      <c r="W48">
        <v>120.163</v>
      </c>
      <c r="X48">
        <v>1.75596</v>
      </c>
      <c r="Y48">
        <v>2.5979899999999998</v>
      </c>
      <c r="Z48">
        <v>3.97</v>
      </c>
      <c r="AA48">
        <v>14.1166</v>
      </c>
      <c r="AB48">
        <v>33.3536</v>
      </c>
      <c r="AC48">
        <v>44.2059</v>
      </c>
      <c r="AD48">
        <v>1.75183</v>
      </c>
      <c r="AE48">
        <v>10.604799999999999</v>
      </c>
      <c r="AF48">
        <v>0</v>
      </c>
      <c r="AG48">
        <v>94.0428</v>
      </c>
      <c r="AH48">
        <v>0.68637300000000001</v>
      </c>
      <c r="AI48">
        <v>0.85759600000000002</v>
      </c>
      <c r="AJ48">
        <v>4.4132499999999997</v>
      </c>
      <c r="AK48">
        <v>0</v>
      </c>
      <c r="AL48">
        <v>0.48991699999999999</v>
      </c>
      <c r="AM48">
        <v>5.3405199999999997</v>
      </c>
      <c r="AN48">
        <v>4.1753099999999996</v>
      </c>
      <c r="AO48">
        <v>5.3731299999999997</v>
      </c>
      <c r="AP48">
        <v>15.1951</v>
      </c>
      <c r="AQ48">
        <v>37.435499999999998</v>
      </c>
      <c r="AR48">
        <v>32.480400000000003</v>
      </c>
      <c r="AS48">
        <v>1.7077599999999998E-2</v>
      </c>
      <c r="AT48">
        <v>8.5159199999999995</v>
      </c>
      <c r="AU48">
        <v>40.9771</v>
      </c>
      <c r="AV48">
        <v>37.642299999999999</v>
      </c>
      <c r="AW48">
        <v>9.0592400000000008</v>
      </c>
      <c r="AX48">
        <v>2.2785199999999999</v>
      </c>
      <c r="AY48">
        <v>1.5269200000000001</v>
      </c>
      <c r="AZ48">
        <v>458.86200000000002</v>
      </c>
      <c r="BA48">
        <v>486.6</v>
      </c>
      <c r="BB48">
        <v>38001.1</v>
      </c>
      <c r="BC48">
        <v>-4.1179700000000003E-3</v>
      </c>
      <c r="BD48">
        <v>0.36171700000000001</v>
      </c>
      <c r="BE48">
        <v>0.76346099999999995</v>
      </c>
      <c r="BF48">
        <v>3.5452699999999999</v>
      </c>
      <c r="BG48">
        <v>44.821800000000003</v>
      </c>
      <c r="BH48">
        <v>45.726799999999997</v>
      </c>
      <c r="BI48">
        <v>4.7808900000000003</v>
      </c>
      <c r="BJ48">
        <v>31.48</v>
      </c>
      <c r="BK48">
        <v>0</v>
      </c>
      <c r="BL48">
        <v>37.055300000000003</v>
      </c>
      <c r="BM48">
        <v>52.707000000000001</v>
      </c>
      <c r="BN48">
        <v>7.6479499999999998</v>
      </c>
      <c r="BO48">
        <v>1.38609</v>
      </c>
      <c r="BP48">
        <v>1.2037500000000001</v>
      </c>
      <c r="BQ48">
        <v>34.854199999999999</v>
      </c>
      <c r="BR48">
        <v>134912</v>
      </c>
    </row>
    <row r="49" spans="1:70" x14ac:dyDescent="0.25">
      <c r="A49">
        <v>34</v>
      </c>
      <c r="B49" s="7">
        <v>45966.5705787037</v>
      </c>
      <c r="C49" t="s">
        <v>117</v>
      </c>
      <c r="D49" s="6" t="s">
        <v>242</v>
      </c>
      <c r="E49" s="6" t="str">
        <f>VLOOKUP(F49,Germplasm!$A$1:$B$21,2,FALSE)</f>
        <v>Arild</v>
      </c>
      <c r="F49" t="s">
        <v>74</v>
      </c>
      <c r="G49" s="6" t="s">
        <v>113</v>
      </c>
      <c r="H49">
        <v>68842.3</v>
      </c>
      <c r="I49">
        <v>426.44900000000001</v>
      </c>
      <c r="J49">
        <v>243838</v>
      </c>
      <c r="K49">
        <v>16.9985</v>
      </c>
      <c r="L49">
        <v>89.729100000000003</v>
      </c>
      <c r="M49">
        <v>1830.7</v>
      </c>
      <c r="N49">
        <v>634.01499999999999</v>
      </c>
      <c r="O49">
        <v>36121800</v>
      </c>
      <c r="P49">
        <v>0.20150799999999999</v>
      </c>
      <c r="Q49">
        <v>0.54871199999999998</v>
      </c>
      <c r="R49">
        <v>5.7060000000000004</v>
      </c>
      <c r="S49">
        <v>26.420200000000001</v>
      </c>
      <c r="T49">
        <v>44.527099999999997</v>
      </c>
      <c r="U49">
        <v>22.488099999999999</v>
      </c>
      <c r="V49">
        <v>0.30993199999999999</v>
      </c>
      <c r="W49">
        <v>106.798</v>
      </c>
      <c r="X49">
        <v>1.93014</v>
      </c>
      <c r="Y49">
        <v>7.5517200000000004</v>
      </c>
      <c r="Z49">
        <v>7.9858700000000002</v>
      </c>
      <c r="AA49">
        <v>19.194700000000001</v>
      </c>
      <c r="AB49">
        <v>32.671900000000001</v>
      </c>
      <c r="AC49">
        <v>30.665800000000001</v>
      </c>
      <c r="AD49">
        <v>1.66089</v>
      </c>
      <c r="AE49">
        <v>10.3201</v>
      </c>
      <c r="AF49">
        <v>0</v>
      </c>
      <c r="AG49">
        <v>95.359499999999997</v>
      </c>
      <c r="AH49">
        <v>1.04738</v>
      </c>
      <c r="AI49">
        <v>0.85201099999999996</v>
      </c>
      <c r="AJ49">
        <v>2.7411500000000002</v>
      </c>
      <c r="AK49">
        <v>0</v>
      </c>
      <c r="AL49">
        <v>0.422678</v>
      </c>
      <c r="AM49">
        <v>5.2296399999999998</v>
      </c>
      <c r="AN49">
        <v>9.0652000000000008</v>
      </c>
      <c r="AO49">
        <v>10.8874</v>
      </c>
      <c r="AP49">
        <v>18.608000000000001</v>
      </c>
      <c r="AQ49">
        <v>36.405500000000004</v>
      </c>
      <c r="AR49">
        <v>19.804300000000001</v>
      </c>
      <c r="AS49">
        <v>9.50352E-2</v>
      </c>
      <c r="AT49">
        <v>3.5931600000000001</v>
      </c>
      <c r="AU49">
        <v>31.4068</v>
      </c>
      <c r="AV49">
        <v>39.618200000000002</v>
      </c>
      <c r="AW49">
        <v>16.004899999999999</v>
      </c>
      <c r="AX49">
        <v>7.4618799999999998</v>
      </c>
      <c r="AY49">
        <v>1.91506</v>
      </c>
      <c r="AZ49">
        <v>524.70299999999997</v>
      </c>
      <c r="BA49">
        <v>604.80200000000002</v>
      </c>
      <c r="BB49">
        <v>41448.9</v>
      </c>
      <c r="BC49">
        <v>6.4730599999999999E-2</v>
      </c>
      <c r="BD49">
        <v>0.37806800000000002</v>
      </c>
      <c r="BE49">
        <v>0.47936899999999999</v>
      </c>
      <c r="BF49">
        <v>2.2177600000000002</v>
      </c>
      <c r="BG49">
        <v>31.924199999999999</v>
      </c>
      <c r="BH49">
        <v>48.507300000000001</v>
      </c>
      <c r="BI49">
        <v>16.493300000000001</v>
      </c>
      <c r="BJ49">
        <v>31.758500000000002</v>
      </c>
      <c r="BK49">
        <v>0</v>
      </c>
      <c r="BL49">
        <v>34.9101</v>
      </c>
      <c r="BM49">
        <v>54.805399999999999</v>
      </c>
      <c r="BN49">
        <v>8.3880499999999998</v>
      </c>
      <c r="BO49">
        <v>1.0672699999999999</v>
      </c>
      <c r="BP49">
        <v>0.82909699999999997</v>
      </c>
      <c r="BQ49">
        <v>37.070099999999996</v>
      </c>
      <c r="BR49">
        <v>165843</v>
      </c>
    </row>
    <row r="50" spans="1:70" x14ac:dyDescent="0.25">
      <c r="A50">
        <v>34</v>
      </c>
      <c r="B50" s="7">
        <v>45973.550416666665</v>
      </c>
      <c r="C50" t="s">
        <v>117</v>
      </c>
      <c r="D50" s="6" t="s">
        <v>243</v>
      </c>
      <c r="E50" s="6" t="str">
        <f>VLOOKUP(F50,Germplasm!$A$1:$B$21,2,FALSE)</f>
        <v>Arild</v>
      </c>
      <c r="F50" t="s">
        <v>74</v>
      </c>
      <c r="G50" s="6" t="s">
        <v>113</v>
      </c>
      <c r="H50">
        <v>79654.7</v>
      </c>
      <c r="I50">
        <v>459.63</v>
      </c>
      <c r="J50">
        <v>260498</v>
      </c>
      <c r="K50">
        <v>17.3947</v>
      </c>
      <c r="L50">
        <v>88.721999999999994</v>
      </c>
      <c r="M50">
        <v>1860.28</v>
      </c>
      <c r="N50">
        <v>639.85900000000004</v>
      </c>
      <c r="O50">
        <v>47783800</v>
      </c>
      <c r="P50">
        <v>0.177532</v>
      </c>
      <c r="Q50">
        <v>1.03199</v>
      </c>
      <c r="R50">
        <v>9.1151099999999996</v>
      </c>
      <c r="S50">
        <v>28.683499999999999</v>
      </c>
      <c r="T50">
        <v>42.199300000000001</v>
      </c>
      <c r="U50">
        <v>18.595800000000001</v>
      </c>
      <c r="V50">
        <v>0.37436000000000003</v>
      </c>
      <c r="W50">
        <v>107.202</v>
      </c>
      <c r="X50">
        <v>4.3877100000000002</v>
      </c>
      <c r="Y50">
        <v>6.6814799999999996</v>
      </c>
      <c r="Z50">
        <v>6.3517799999999998</v>
      </c>
      <c r="AA50">
        <v>18.7638</v>
      </c>
      <c r="AB50">
        <v>30.6129</v>
      </c>
      <c r="AC50">
        <v>33.202300000000001</v>
      </c>
      <c r="AD50">
        <v>1.75789</v>
      </c>
      <c r="AE50">
        <v>10.7502</v>
      </c>
      <c r="AF50">
        <v>0</v>
      </c>
      <c r="AG50">
        <v>94.467500000000001</v>
      </c>
      <c r="AH50">
        <v>1.37696</v>
      </c>
      <c r="AI50">
        <v>0.87683699999999998</v>
      </c>
      <c r="AJ50">
        <v>3.27874</v>
      </c>
      <c r="AK50">
        <v>0</v>
      </c>
      <c r="AL50">
        <v>0.40328199999999997</v>
      </c>
      <c r="AM50">
        <v>6.1131799999999998</v>
      </c>
      <c r="AN50">
        <v>10.584300000000001</v>
      </c>
      <c r="AO50">
        <v>12.2646</v>
      </c>
      <c r="AP50">
        <v>18.782699999999998</v>
      </c>
      <c r="AQ50">
        <v>34.423499999999997</v>
      </c>
      <c r="AR50">
        <v>17.831800000000001</v>
      </c>
      <c r="AS50">
        <v>7.8472100000000003E-2</v>
      </c>
      <c r="AT50">
        <v>3.95635</v>
      </c>
      <c r="AU50">
        <v>32.563499999999998</v>
      </c>
      <c r="AV50">
        <v>41.046199999999999</v>
      </c>
      <c r="AW50">
        <v>16.6341</v>
      </c>
      <c r="AX50">
        <v>4.0162899999999997</v>
      </c>
      <c r="AY50">
        <v>1.78365</v>
      </c>
      <c r="AZ50">
        <v>599.88699999999994</v>
      </c>
      <c r="BA50">
        <v>704.399</v>
      </c>
      <c r="BB50">
        <v>45312.7</v>
      </c>
      <c r="BC50">
        <v>5.5729399999999998E-2</v>
      </c>
      <c r="BD50">
        <v>0.31617899999999999</v>
      </c>
      <c r="BE50">
        <v>0.71287100000000003</v>
      </c>
      <c r="BF50">
        <v>2.5000399999999998</v>
      </c>
      <c r="BG50">
        <v>32.987200000000001</v>
      </c>
      <c r="BH50">
        <v>47.697099999999999</v>
      </c>
      <c r="BI50">
        <v>15.7866</v>
      </c>
      <c r="BJ50">
        <v>29.744700000000002</v>
      </c>
      <c r="BK50">
        <v>0</v>
      </c>
      <c r="BL50">
        <v>40.236400000000003</v>
      </c>
      <c r="BM50">
        <v>52.053100000000001</v>
      </c>
      <c r="BN50">
        <v>5.48787</v>
      </c>
      <c r="BO50">
        <v>1.0296400000000001</v>
      </c>
      <c r="BP50">
        <v>1.19302</v>
      </c>
      <c r="BQ50">
        <v>34.722700000000003</v>
      </c>
      <c r="BR50">
        <v>170157</v>
      </c>
    </row>
    <row r="51" spans="1:70" x14ac:dyDescent="0.25">
      <c r="A51">
        <v>34</v>
      </c>
      <c r="B51" s="7">
        <v>45988.530023148145</v>
      </c>
      <c r="C51" t="s">
        <v>117</v>
      </c>
      <c r="D51" s="6" t="s">
        <v>244</v>
      </c>
      <c r="E51" s="6" t="str">
        <f>VLOOKUP(F51,Germplasm!$A$1:$B$21,2,FALSE)</f>
        <v>Arild</v>
      </c>
      <c r="F51" t="s">
        <v>74</v>
      </c>
      <c r="G51" s="6" t="s">
        <v>113</v>
      </c>
      <c r="H51">
        <v>58496.4</v>
      </c>
      <c r="I51">
        <v>541.846</v>
      </c>
      <c r="J51">
        <v>183648</v>
      </c>
      <c r="K51">
        <v>17.5825</v>
      </c>
      <c r="L51">
        <v>79.135099999999994</v>
      </c>
      <c r="M51">
        <v>1612.65</v>
      </c>
      <c r="N51">
        <v>554.16600000000005</v>
      </c>
      <c r="O51">
        <v>38020700</v>
      </c>
      <c r="P51">
        <v>0.13602300000000001</v>
      </c>
      <c r="Q51">
        <v>1.1872799999999999</v>
      </c>
      <c r="R51">
        <v>15.1122</v>
      </c>
      <c r="S51">
        <v>37.281199999999998</v>
      </c>
      <c r="T51">
        <v>33.347900000000003</v>
      </c>
      <c r="U51">
        <v>12.5365</v>
      </c>
      <c r="V51">
        <v>0.53488000000000002</v>
      </c>
      <c r="W51">
        <v>84.066299999999998</v>
      </c>
      <c r="X51">
        <v>8.1550399999999996</v>
      </c>
      <c r="Y51">
        <v>17.106400000000001</v>
      </c>
      <c r="Z51">
        <v>10.2569</v>
      </c>
      <c r="AA51">
        <v>22.584</v>
      </c>
      <c r="AB51">
        <v>22.748999999999999</v>
      </c>
      <c r="AC51">
        <v>19.148700000000002</v>
      </c>
      <c r="AD51">
        <v>1.8116000000000001</v>
      </c>
      <c r="AE51">
        <v>13.4781</v>
      </c>
      <c r="AF51">
        <v>0</v>
      </c>
      <c r="AG51">
        <v>91.575299999999999</v>
      </c>
      <c r="AH51">
        <v>3.0729199999999999</v>
      </c>
      <c r="AI51">
        <v>0.97785100000000003</v>
      </c>
      <c r="AJ51">
        <v>4.3739600000000003</v>
      </c>
      <c r="AK51">
        <v>0</v>
      </c>
      <c r="AL51">
        <v>0.29912699999999998</v>
      </c>
      <c r="AM51">
        <v>10.009</v>
      </c>
      <c r="AN51">
        <v>21.473600000000001</v>
      </c>
      <c r="AO51">
        <v>18.344899999999999</v>
      </c>
      <c r="AP51">
        <v>18.412700000000001</v>
      </c>
      <c r="AQ51">
        <v>23.467700000000001</v>
      </c>
      <c r="AR51">
        <v>8.2921499999999995</v>
      </c>
      <c r="AS51">
        <v>0.162436</v>
      </c>
      <c r="AT51">
        <v>2.3293699999999999</v>
      </c>
      <c r="AU51">
        <v>17.623899999999999</v>
      </c>
      <c r="AV51">
        <v>40.857300000000002</v>
      </c>
      <c r="AW51">
        <v>28.5106</v>
      </c>
      <c r="AX51">
        <v>7.7211100000000004</v>
      </c>
      <c r="AY51">
        <v>2.9576600000000002</v>
      </c>
      <c r="AZ51">
        <v>649.96600000000001</v>
      </c>
      <c r="BA51">
        <v>710.99900000000002</v>
      </c>
      <c r="BB51">
        <v>32289.9</v>
      </c>
      <c r="BC51">
        <v>0.14138700000000001</v>
      </c>
      <c r="BD51">
        <v>0.44447799999999998</v>
      </c>
      <c r="BE51">
        <v>0.67726399999999998</v>
      </c>
      <c r="BF51">
        <v>1.8178399999999999</v>
      </c>
      <c r="BG51">
        <v>17.013000000000002</v>
      </c>
      <c r="BH51">
        <v>47.184699999999999</v>
      </c>
      <c r="BI51">
        <v>32.862699999999997</v>
      </c>
      <c r="BJ51">
        <v>30.8504</v>
      </c>
      <c r="BK51">
        <v>0</v>
      </c>
      <c r="BL51">
        <v>38.464700000000001</v>
      </c>
      <c r="BM51">
        <v>51.987299999999998</v>
      </c>
      <c r="BN51">
        <v>6.3567900000000002</v>
      </c>
      <c r="BO51">
        <v>1.5918300000000001</v>
      </c>
      <c r="BP51">
        <v>1.59937</v>
      </c>
      <c r="BQ51">
        <v>33.545200000000001</v>
      </c>
      <c r="BR51">
        <v>132740</v>
      </c>
    </row>
    <row r="52" spans="1:70" x14ac:dyDescent="0.25">
      <c r="A52">
        <v>34</v>
      </c>
      <c r="B52" s="7">
        <v>45994.535682870373</v>
      </c>
      <c r="C52" t="s">
        <v>117</v>
      </c>
      <c r="D52" s="6" t="s">
        <v>245</v>
      </c>
      <c r="E52" s="6" t="str">
        <f>VLOOKUP(F52,Germplasm!$A$1:$B$21,2,FALSE)</f>
        <v>Arild</v>
      </c>
      <c r="F52" t="s">
        <v>74</v>
      </c>
      <c r="G52" s="6" t="s">
        <v>113</v>
      </c>
      <c r="H52">
        <v>24929.1</v>
      </c>
      <c r="I52">
        <v>551.49699999999996</v>
      </c>
      <c r="J52">
        <v>171058</v>
      </c>
      <c r="K52">
        <v>9.0321200000000008</v>
      </c>
      <c r="L52">
        <v>77.997900000000001</v>
      </c>
      <c r="M52">
        <v>1560.68</v>
      </c>
      <c r="N52">
        <v>570.09100000000001</v>
      </c>
      <c r="O52">
        <v>15796200</v>
      </c>
      <c r="P52">
        <v>6.6912700000000006E-2</v>
      </c>
      <c r="Q52">
        <v>1.86826</v>
      </c>
      <c r="R52">
        <v>24.450099999999999</v>
      </c>
      <c r="S52">
        <v>50.915500000000002</v>
      </c>
      <c r="T52">
        <v>18.453299999999999</v>
      </c>
      <c r="U52">
        <v>3.8589000000000002</v>
      </c>
      <c r="V52">
        <v>0.45389800000000002</v>
      </c>
      <c r="W52">
        <v>62.203800000000001</v>
      </c>
      <c r="X52">
        <v>13.0174</v>
      </c>
      <c r="Y52">
        <v>29.929400000000001</v>
      </c>
      <c r="Z52">
        <v>12.754099999999999</v>
      </c>
      <c r="AA52">
        <v>13.6448</v>
      </c>
      <c r="AB52">
        <v>11.522500000000001</v>
      </c>
      <c r="AC52">
        <v>19.131900000000002</v>
      </c>
      <c r="AD52">
        <v>1.6135200000000001</v>
      </c>
      <c r="AE52">
        <v>18.292400000000001</v>
      </c>
      <c r="AF52">
        <v>0</v>
      </c>
      <c r="AG52">
        <v>85.019800000000004</v>
      </c>
      <c r="AH52">
        <v>6.0478399999999999</v>
      </c>
      <c r="AI52">
        <v>1.6823600000000001</v>
      </c>
      <c r="AJ52">
        <v>7.2499700000000002</v>
      </c>
      <c r="AK52">
        <v>0</v>
      </c>
      <c r="AL52">
        <v>0.18620100000000001</v>
      </c>
      <c r="AM52">
        <v>14.193199999999999</v>
      </c>
      <c r="AN52">
        <v>37.616199999999999</v>
      </c>
      <c r="AO52">
        <v>23.1922</v>
      </c>
      <c r="AP52">
        <v>13.3071</v>
      </c>
      <c r="AQ52">
        <v>8.9664099999999998</v>
      </c>
      <c r="AR52">
        <v>2.7249400000000001</v>
      </c>
      <c r="AS52">
        <v>0.19847300000000001</v>
      </c>
      <c r="AT52">
        <v>2.67381</v>
      </c>
      <c r="AU52">
        <v>14.8407</v>
      </c>
      <c r="AV52">
        <v>34.386200000000002</v>
      </c>
      <c r="AW52">
        <v>31.3127</v>
      </c>
      <c r="AX52">
        <v>12.819100000000001</v>
      </c>
      <c r="AY52">
        <v>3.9673400000000001</v>
      </c>
      <c r="AZ52">
        <v>633.64400000000001</v>
      </c>
      <c r="BA52">
        <v>698.99900000000002</v>
      </c>
      <c r="BB52">
        <v>15450.1</v>
      </c>
      <c r="BC52">
        <v>0.196021</v>
      </c>
      <c r="BD52">
        <v>0.89075499999999996</v>
      </c>
      <c r="BE52">
        <v>1.02708</v>
      </c>
      <c r="BF52">
        <v>2.1703399999999999</v>
      </c>
      <c r="BG52">
        <v>13.426399999999999</v>
      </c>
      <c r="BH52">
        <v>32.8232</v>
      </c>
      <c r="BI52">
        <v>49.662300000000002</v>
      </c>
      <c r="BJ52">
        <v>30.323</v>
      </c>
      <c r="BK52">
        <v>0</v>
      </c>
      <c r="BL52">
        <v>43.101700000000001</v>
      </c>
      <c r="BM52">
        <v>46.531500000000001</v>
      </c>
      <c r="BN52">
        <v>6.4753999999999996</v>
      </c>
      <c r="BO52">
        <v>1.9085399999999999</v>
      </c>
      <c r="BP52">
        <v>1.9829000000000001</v>
      </c>
      <c r="BQ52">
        <v>38.321800000000003</v>
      </c>
      <c r="BR52">
        <v>64552</v>
      </c>
    </row>
    <row r="53" spans="1:70" x14ac:dyDescent="0.25">
      <c r="A53">
        <v>34</v>
      </c>
      <c r="B53" s="7">
        <v>46002.581469907411</v>
      </c>
      <c r="C53" t="s">
        <v>117</v>
      </c>
      <c r="D53" s="6" t="s">
        <v>246</v>
      </c>
      <c r="E53" s="6" t="str">
        <f>VLOOKUP(F53,Germplasm!$A$1:$B$21,2,FALSE)</f>
        <v>Arild</v>
      </c>
      <c r="F53" t="s">
        <v>74</v>
      </c>
      <c r="G53" s="6" t="s">
        <v>113</v>
      </c>
      <c r="H53">
        <v>36708.199999999997</v>
      </c>
      <c r="I53">
        <v>548.995</v>
      </c>
      <c r="J53">
        <v>116273</v>
      </c>
      <c r="K53">
        <v>18.235600000000002</v>
      </c>
      <c r="L53">
        <v>75.837900000000005</v>
      </c>
      <c r="M53">
        <v>1281.27</v>
      </c>
      <c r="N53">
        <v>450.322</v>
      </c>
      <c r="O53">
        <v>22850200</v>
      </c>
      <c r="P53">
        <v>4.0563200000000001E-2</v>
      </c>
      <c r="Q53">
        <v>1.25813</v>
      </c>
      <c r="R53">
        <v>28.965499999999999</v>
      </c>
      <c r="S53">
        <v>58.297800000000002</v>
      </c>
      <c r="T53">
        <v>8.7794000000000008</v>
      </c>
      <c r="U53">
        <v>2.53634</v>
      </c>
      <c r="V53">
        <v>0.16281699999999999</v>
      </c>
      <c r="W53">
        <v>49.531999999999996</v>
      </c>
      <c r="X53">
        <v>15.3893</v>
      </c>
      <c r="Y53">
        <v>40.411299999999997</v>
      </c>
      <c r="Z53">
        <v>14.118499999999999</v>
      </c>
      <c r="AA53">
        <v>10.644399999999999</v>
      </c>
      <c r="AB53">
        <v>5.7577800000000003</v>
      </c>
      <c r="AC53">
        <v>13.678699999999999</v>
      </c>
      <c r="AD53">
        <v>1.7312700000000001</v>
      </c>
      <c r="AE53">
        <v>21.8949</v>
      </c>
      <c r="AF53">
        <v>0</v>
      </c>
      <c r="AG53">
        <v>79.2102</v>
      </c>
      <c r="AH53">
        <v>8.3512199999999996</v>
      </c>
      <c r="AI53">
        <v>2.9550100000000001</v>
      </c>
      <c r="AJ53">
        <v>9.48353</v>
      </c>
      <c r="AK53">
        <v>0</v>
      </c>
      <c r="AL53">
        <v>0.11874800000000001</v>
      </c>
      <c r="AM53">
        <v>23.088200000000001</v>
      </c>
      <c r="AN53">
        <v>42.283700000000003</v>
      </c>
      <c r="AO53">
        <v>21.519300000000001</v>
      </c>
      <c r="AP53">
        <v>8.7423999999999999</v>
      </c>
      <c r="AQ53">
        <v>3.1939500000000001</v>
      </c>
      <c r="AR53">
        <v>1.17249</v>
      </c>
      <c r="AS53">
        <v>0.21974199999999999</v>
      </c>
      <c r="AT53">
        <v>1.70852</v>
      </c>
      <c r="AU53">
        <v>10.111499999999999</v>
      </c>
      <c r="AV53">
        <v>32.585500000000003</v>
      </c>
      <c r="AW53">
        <v>41.249699999999997</v>
      </c>
      <c r="AX53">
        <v>11.08</v>
      </c>
      <c r="AY53">
        <v>3.2647900000000001</v>
      </c>
      <c r="AZ53">
        <v>622.48199999999997</v>
      </c>
      <c r="BA53">
        <v>698.399</v>
      </c>
      <c r="BB53">
        <v>21203</v>
      </c>
      <c r="BC53">
        <v>0.24179300000000001</v>
      </c>
      <c r="BD53">
        <v>0.94729600000000003</v>
      </c>
      <c r="BE53">
        <v>0.76439199999999996</v>
      </c>
      <c r="BF53">
        <v>1.46852</v>
      </c>
      <c r="BG53">
        <v>8.6398499999999991</v>
      </c>
      <c r="BH53">
        <v>26.5243</v>
      </c>
      <c r="BI53">
        <v>61.655700000000003</v>
      </c>
      <c r="BJ53">
        <v>29.049600000000002</v>
      </c>
      <c r="BK53">
        <v>0</v>
      </c>
      <c r="BL53">
        <v>45.857199999999999</v>
      </c>
      <c r="BM53">
        <v>45.069499999999998</v>
      </c>
      <c r="BN53">
        <v>5.9692299999999996</v>
      </c>
      <c r="BO53">
        <v>1.7116899999999999</v>
      </c>
      <c r="BP53">
        <v>1.3924000000000001</v>
      </c>
      <c r="BQ53">
        <v>35.315100000000001</v>
      </c>
      <c r="BR53">
        <v>94585</v>
      </c>
    </row>
    <row r="54" spans="1:70" x14ac:dyDescent="0.25">
      <c r="A54">
        <v>34</v>
      </c>
      <c r="B54" s="7">
        <v>46013.595173611109</v>
      </c>
      <c r="C54" t="s">
        <v>117</v>
      </c>
      <c r="D54" s="6" t="s">
        <v>247</v>
      </c>
      <c r="E54" s="6" t="str">
        <f>VLOOKUP(F54,Germplasm!$A$1:$B$21,2,FALSE)</f>
        <v>Arild</v>
      </c>
      <c r="F54" t="s">
        <v>74</v>
      </c>
      <c r="G54" s="6" t="s">
        <v>113</v>
      </c>
      <c r="H54">
        <v>48366.7</v>
      </c>
      <c r="I54">
        <v>312.166</v>
      </c>
      <c r="J54">
        <v>233258</v>
      </c>
      <c r="K54">
        <v>12.006</v>
      </c>
      <c r="L54">
        <v>87.190899999999999</v>
      </c>
      <c r="M54">
        <v>1871.36</v>
      </c>
      <c r="N54">
        <v>679.96100000000001</v>
      </c>
      <c r="O54">
        <v>16753500</v>
      </c>
      <c r="P54">
        <v>4.8411599999999997E-3</v>
      </c>
      <c r="Q54">
        <v>1.0363599999999999</v>
      </c>
      <c r="R54">
        <v>41.218400000000003</v>
      </c>
      <c r="S54">
        <v>55.921500000000002</v>
      </c>
      <c r="T54">
        <v>1.5008999999999999</v>
      </c>
      <c r="U54">
        <v>0.30223299999999997</v>
      </c>
      <c r="V54">
        <v>2.0521999999999999E-2</v>
      </c>
      <c r="W54">
        <v>35.831499999999998</v>
      </c>
      <c r="X54">
        <v>22.437999999999999</v>
      </c>
      <c r="Y54">
        <v>54.595100000000002</v>
      </c>
      <c r="Z54">
        <v>9.0222200000000008</v>
      </c>
      <c r="AA54">
        <v>3.4850099999999999</v>
      </c>
      <c r="AB54">
        <v>1.6277699999999999</v>
      </c>
      <c r="AC54">
        <v>8.8319200000000002</v>
      </c>
      <c r="AD54">
        <v>1.7270799999999999</v>
      </c>
      <c r="AE54">
        <v>25.369499999999999</v>
      </c>
      <c r="AF54">
        <v>0</v>
      </c>
      <c r="AG54">
        <v>60.537100000000002</v>
      </c>
      <c r="AH54">
        <v>33.096400000000003</v>
      </c>
      <c r="AI54">
        <v>1.4626600000000001</v>
      </c>
      <c r="AJ54">
        <v>4.9038300000000001</v>
      </c>
      <c r="AK54">
        <v>0</v>
      </c>
      <c r="AL54">
        <v>7.1701500000000001E-2</v>
      </c>
      <c r="AM54">
        <v>23.607800000000001</v>
      </c>
      <c r="AN54">
        <v>58.023200000000003</v>
      </c>
      <c r="AO54">
        <v>13.835599999999999</v>
      </c>
      <c r="AP54">
        <v>3.1193399999999998</v>
      </c>
      <c r="AQ54">
        <v>1.05688</v>
      </c>
      <c r="AR54">
        <v>0.357269</v>
      </c>
      <c r="AS54">
        <v>0.24056</v>
      </c>
      <c r="AT54">
        <v>1.0018499999999999</v>
      </c>
      <c r="AU54">
        <v>5.71631</v>
      </c>
      <c r="AV54">
        <v>32.349200000000003</v>
      </c>
      <c r="AW54">
        <v>48.327500000000001</v>
      </c>
      <c r="AX54">
        <v>9.49329</v>
      </c>
      <c r="AY54">
        <v>3.1118800000000002</v>
      </c>
      <c r="AZ54">
        <v>346.38499999999999</v>
      </c>
      <c r="BA54">
        <v>355.47399999999999</v>
      </c>
      <c r="BB54">
        <v>28004.9</v>
      </c>
      <c r="BC54">
        <v>0.29722900000000002</v>
      </c>
      <c r="BD54">
        <v>0.52424400000000004</v>
      </c>
      <c r="BE54">
        <v>0.59607100000000002</v>
      </c>
      <c r="BF54">
        <v>1.22106</v>
      </c>
      <c r="BG54">
        <v>4.3767800000000001</v>
      </c>
      <c r="BH54">
        <v>15.890599999999999</v>
      </c>
      <c r="BI54">
        <v>77.391300000000001</v>
      </c>
      <c r="BJ54">
        <v>27.628</v>
      </c>
      <c r="BK54">
        <v>0</v>
      </c>
      <c r="BL54">
        <v>50.022399999999998</v>
      </c>
      <c r="BM54">
        <v>43.317300000000003</v>
      </c>
      <c r="BN54">
        <v>3.8310900000000001</v>
      </c>
      <c r="BO54">
        <v>1.52982</v>
      </c>
      <c r="BP54">
        <v>1.29942</v>
      </c>
      <c r="BQ54">
        <v>35.420499999999997</v>
      </c>
      <c r="BR54">
        <v>107202</v>
      </c>
    </row>
    <row r="55" spans="1:70" x14ac:dyDescent="0.25">
      <c r="A55">
        <v>34</v>
      </c>
      <c r="B55" s="7">
        <v>46024.544074074074</v>
      </c>
      <c r="C55" t="s">
        <v>117</v>
      </c>
      <c r="D55" s="6" t="s">
        <v>248</v>
      </c>
      <c r="E55" s="6" t="str">
        <f>VLOOKUP(F55,Germplasm!$A$1:$B$21,2,FALSE)</f>
        <v>Arild</v>
      </c>
      <c r="F55" t="s">
        <v>74</v>
      </c>
      <c r="G55" s="6" t="s">
        <v>113</v>
      </c>
      <c r="H55">
        <v>34960.5</v>
      </c>
      <c r="I55">
        <v>186.42099999999999</v>
      </c>
      <c r="J55">
        <v>122040</v>
      </c>
      <c r="K55">
        <v>16.197800000000001</v>
      </c>
      <c r="L55">
        <v>86.216499999999996</v>
      </c>
      <c r="M55">
        <v>1327.58</v>
      </c>
      <c r="N55">
        <v>464.48099999999999</v>
      </c>
      <c r="O55">
        <v>7982800</v>
      </c>
      <c r="P55">
        <v>4.4215599999999997E-3</v>
      </c>
      <c r="Q55">
        <v>1.1541300000000001</v>
      </c>
      <c r="R55">
        <v>39.149900000000002</v>
      </c>
      <c r="S55">
        <v>58.376600000000003</v>
      </c>
      <c r="T55">
        <v>1.1449499999999999</v>
      </c>
      <c r="U55">
        <v>0.15606999999999999</v>
      </c>
      <c r="V55">
        <v>1.8361100000000002E-2</v>
      </c>
      <c r="W55">
        <v>36.4208</v>
      </c>
      <c r="X55">
        <v>20.8858</v>
      </c>
      <c r="Y55">
        <v>56.051299999999998</v>
      </c>
      <c r="Z55">
        <v>8.1523400000000006</v>
      </c>
      <c r="AA55">
        <v>3.5043500000000001</v>
      </c>
      <c r="AB55">
        <v>1.77972</v>
      </c>
      <c r="AC55">
        <v>9.6264800000000008</v>
      </c>
      <c r="AD55">
        <v>1.7685599999999999</v>
      </c>
      <c r="AE55">
        <v>26.7254</v>
      </c>
      <c r="AF55">
        <v>0</v>
      </c>
      <c r="AG55">
        <v>60.0488</v>
      </c>
      <c r="AH55">
        <v>31.186399999999999</v>
      </c>
      <c r="AI55">
        <v>1.7600499999999999</v>
      </c>
      <c r="AJ55">
        <v>7.0047699999999997</v>
      </c>
      <c r="AK55">
        <v>0</v>
      </c>
      <c r="AL55">
        <v>6.7909200000000003E-2</v>
      </c>
      <c r="AM55">
        <v>24.555399999999999</v>
      </c>
      <c r="AN55">
        <v>58.052700000000002</v>
      </c>
      <c r="AO55">
        <v>13.023300000000001</v>
      </c>
      <c r="AP55">
        <v>3.1043400000000001</v>
      </c>
      <c r="AQ55">
        <v>1.0072399999999999</v>
      </c>
      <c r="AR55">
        <v>0.25705600000000001</v>
      </c>
      <c r="AS55">
        <v>0.239875</v>
      </c>
      <c r="AT55">
        <v>1.3980699999999999</v>
      </c>
      <c r="AU55">
        <v>6.3516399999999997</v>
      </c>
      <c r="AV55">
        <v>30.6736</v>
      </c>
      <c r="AW55">
        <v>48.430100000000003</v>
      </c>
      <c r="AX55">
        <v>9.6959900000000001</v>
      </c>
      <c r="AY55">
        <v>3.45058</v>
      </c>
      <c r="AZ55">
        <v>228.33699999999999</v>
      </c>
      <c r="BA55">
        <v>243.59899999999999</v>
      </c>
      <c r="BB55">
        <v>19767.8</v>
      </c>
      <c r="BC55">
        <v>0.28984399999999999</v>
      </c>
      <c r="BD55">
        <v>0.81182500000000002</v>
      </c>
      <c r="BE55">
        <v>0.84198899999999999</v>
      </c>
      <c r="BF55">
        <v>1.33643</v>
      </c>
      <c r="BG55">
        <v>4.7594700000000003</v>
      </c>
      <c r="BH55">
        <v>15.8535</v>
      </c>
      <c r="BI55">
        <v>76.396799999999999</v>
      </c>
      <c r="BJ55">
        <v>28.6068</v>
      </c>
      <c r="BK55">
        <v>0</v>
      </c>
      <c r="BL55">
        <v>47.668100000000003</v>
      </c>
      <c r="BM55">
        <v>44.487699999999997</v>
      </c>
      <c r="BN55">
        <v>4.3450300000000004</v>
      </c>
      <c r="BO55">
        <v>1.9016900000000001</v>
      </c>
      <c r="BP55">
        <v>1.5974200000000001</v>
      </c>
      <c r="BQ55">
        <v>34.461300000000001</v>
      </c>
      <c r="BR55">
        <v>76248</v>
      </c>
    </row>
    <row r="56" spans="1:70" x14ac:dyDescent="0.25">
      <c r="A56">
        <v>34</v>
      </c>
      <c r="B56" s="7">
        <v>45952.538090277776</v>
      </c>
      <c r="C56" t="s">
        <v>116</v>
      </c>
      <c r="D56" s="6" t="s">
        <v>240</v>
      </c>
      <c r="E56" s="6" t="str">
        <f>VLOOKUP(F56,Germplasm!$A$1:$B$21,2,FALSE)</f>
        <v>Thermus</v>
      </c>
      <c r="F56" t="s">
        <v>75</v>
      </c>
      <c r="G56" s="6" t="s">
        <v>113</v>
      </c>
      <c r="H56">
        <v>27507.1</v>
      </c>
      <c r="I56">
        <v>292.90100000000001</v>
      </c>
      <c r="J56">
        <v>151825</v>
      </c>
      <c r="K56">
        <v>10.4071</v>
      </c>
      <c r="L56">
        <v>65.683700000000002</v>
      </c>
      <c r="M56">
        <v>1490.59</v>
      </c>
      <c r="N56">
        <v>551.34900000000005</v>
      </c>
      <c r="O56">
        <v>10256200</v>
      </c>
      <c r="P56">
        <v>0.24971499999999999</v>
      </c>
      <c r="Q56">
        <v>0.61322399999999999</v>
      </c>
      <c r="R56">
        <v>3.86646</v>
      </c>
      <c r="S56">
        <v>17.537099999999999</v>
      </c>
      <c r="T56">
        <v>40.139299999999999</v>
      </c>
      <c r="U56">
        <v>37.317700000000002</v>
      </c>
      <c r="V56">
        <v>0.52615000000000001</v>
      </c>
      <c r="W56">
        <v>118.452</v>
      </c>
      <c r="X56">
        <v>0.99672099999999997</v>
      </c>
      <c r="Y56">
        <v>2.1749999999999998</v>
      </c>
      <c r="Z56">
        <v>3.2069200000000002</v>
      </c>
      <c r="AA56">
        <v>14.1153</v>
      </c>
      <c r="AB56">
        <v>40.885899999999999</v>
      </c>
      <c r="AC56">
        <v>38.620199999999997</v>
      </c>
      <c r="AD56">
        <v>1.7408999999999999</v>
      </c>
      <c r="AE56">
        <v>6.4549599999999998</v>
      </c>
      <c r="AF56">
        <v>0</v>
      </c>
      <c r="AG56">
        <v>99.885099999999994</v>
      </c>
      <c r="AH56">
        <v>0.109306</v>
      </c>
      <c r="AI56">
        <v>5.55792E-3</v>
      </c>
      <c r="AJ56">
        <v>0</v>
      </c>
      <c r="AK56">
        <v>0</v>
      </c>
      <c r="AL56">
        <v>0.53525800000000001</v>
      </c>
      <c r="AM56">
        <v>0.89482600000000001</v>
      </c>
      <c r="AN56">
        <v>3.50705</v>
      </c>
      <c r="AO56">
        <v>5.2596499999999997</v>
      </c>
      <c r="AP56">
        <v>11.8643</v>
      </c>
      <c r="AQ56">
        <v>37.829099999999997</v>
      </c>
      <c r="AR56">
        <v>40.645099999999999</v>
      </c>
      <c r="AS56">
        <v>3.0218200000000001E-2</v>
      </c>
      <c r="AT56">
        <v>7.8533400000000002</v>
      </c>
      <c r="AU56">
        <v>37.4011</v>
      </c>
      <c r="AV56">
        <v>40.545000000000002</v>
      </c>
      <c r="AW56">
        <v>10.6045</v>
      </c>
      <c r="AX56">
        <v>2.1472099999999998</v>
      </c>
      <c r="AY56">
        <v>1.4487699999999999</v>
      </c>
      <c r="AZ56">
        <v>372.85700000000003</v>
      </c>
      <c r="BA56">
        <v>410.99900000000002</v>
      </c>
      <c r="BB56">
        <v>15800.5</v>
      </c>
      <c r="BC56">
        <v>9.6984700000000007E-3</v>
      </c>
      <c r="BD56">
        <v>1.8526399999999998E-2</v>
      </c>
      <c r="BE56">
        <v>0.43166500000000002</v>
      </c>
      <c r="BF56">
        <v>3.1772800000000001</v>
      </c>
      <c r="BG56">
        <v>41.627000000000002</v>
      </c>
      <c r="BH56">
        <v>50.128799999999998</v>
      </c>
      <c r="BI56">
        <v>4.6167800000000003</v>
      </c>
      <c r="BJ56">
        <v>33.361899999999999</v>
      </c>
      <c r="BK56">
        <v>0</v>
      </c>
      <c r="BL56">
        <v>29.3292</v>
      </c>
      <c r="BM56">
        <v>59.505000000000003</v>
      </c>
      <c r="BN56">
        <v>9.7171000000000003</v>
      </c>
      <c r="BO56">
        <v>0.89112000000000002</v>
      </c>
      <c r="BP56">
        <v>0.55764499999999995</v>
      </c>
      <c r="BQ56">
        <v>35.080300000000001</v>
      </c>
      <c r="BR56">
        <v>53977</v>
      </c>
    </row>
    <row r="57" spans="1:70" x14ac:dyDescent="0.25">
      <c r="A57">
        <v>34</v>
      </c>
      <c r="B57" s="7">
        <v>45959.514710648145</v>
      </c>
      <c r="C57" t="s">
        <v>116</v>
      </c>
      <c r="D57" s="6" t="s">
        <v>241</v>
      </c>
      <c r="E57" s="6" t="str">
        <f>VLOOKUP(F57,Germplasm!$A$1:$B$21,2,FALSE)</f>
        <v>Thermus</v>
      </c>
      <c r="F57" t="s">
        <v>75</v>
      </c>
      <c r="G57" s="6" t="s">
        <v>113</v>
      </c>
      <c r="H57">
        <v>54045.7</v>
      </c>
      <c r="I57">
        <v>421.34300000000002</v>
      </c>
      <c r="J57">
        <v>227527</v>
      </c>
      <c r="K57">
        <v>13.474</v>
      </c>
      <c r="L57">
        <v>76.393600000000006</v>
      </c>
      <c r="M57">
        <v>1793.82</v>
      </c>
      <c r="N57">
        <v>648.327</v>
      </c>
      <c r="O57">
        <v>28406000</v>
      </c>
      <c r="P57">
        <v>0.24207699999999999</v>
      </c>
      <c r="Q57">
        <v>0.43502000000000002</v>
      </c>
      <c r="R57">
        <v>3.27468</v>
      </c>
      <c r="S57">
        <v>17.9071</v>
      </c>
      <c r="T57">
        <v>45.6188</v>
      </c>
      <c r="U57">
        <v>32.226700000000001</v>
      </c>
      <c r="V57">
        <v>0.53775899999999999</v>
      </c>
      <c r="W57">
        <v>120.88800000000001</v>
      </c>
      <c r="X57">
        <v>0.76730100000000001</v>
      </c>
      <c r="Y57">
        <v>1.5244200000000001</v>
      </c>
      <c r="Z57">
        <v>2.5619900000000002</v>
      </c>
      <c r="AA57">
        <v>12.916399999999999</v>
      </c>
      <c r="AB57">
        <v>40.220799999999997</v>
      </c>
      <c r="AC57">
        <v>42.009099999999997</v>
      </c>
      <c r="AD57">
        <v>1.76292</v>
      </c>
      <c r="AE57">
        <v>6.5613700000000001</v>
      </c>
      <c r="AF57">
        <v>0</v>
      </c>
      <c r="AG57">
        <v>99.786199999999994</v>
      </c>
      <c r="AH57">
        <v>0.20825399999999999</v>
      </c>
      <c r="AI57">
        <v>5.5534499999999997E-3</v>
      </c>
      <c r="AJ57">
        <v>0</v>
      </c>
      <c r="AK57">
        <v>0</v>
      </c>
      <c r="AL57">
        <v>0.53595599999999999</v>
      </c>
      <c r="AM57">
        <v>0.68214799999999998</v>
      </c>
      <c r="AN57">
        <v>2.51756</v>
      </c>
      <c r="AO57">
        <v>4.5732600000000003</v>
      </c>
      <c r="AP57">
        <v>13.888199999999999</v>
      </c>
      <c r="AQ57">
        <v>40.023699999999998</v>
      </c>
      <c r="AR57">
        <v>38.315100000000001</v>
      </c>
      <c r="AS57">
        <v>1.5361400000000001E-2</v>
      </c>
      <c r="AT57">
        <v>7.5906399999999996</v>
      </c>
      <c r="AU57">
        <v>41.226900000000001</v>
      </c>
      <c r="AV57">
        <v>39.717300000000002</v>
      </c>
      <c r="AW57">
        <v>8.6781900000000007</v>
      </c>
      <c r="AX57">
        <v>1.6947300000000001</v>
      </c>
      <c r="AY57">
        <v>1.0921799999999999</v>
      </c>
      <c r="AZ57">
        <v>525.59199999999998</v>
      </c>
      <c r="BA57">
        <v>645.6</v>
      </c>
      <c r="BB57">
        <v>30657</v>
      </c>
      <c r="BC57">
        <v>-6.5681400000000003E-4</v>
      </c>
      <c r="BD57">
        <v>5.6460000000000003E-2</v>
      </c>
      <c r="BE57">
        <v>0.396146</v>
      </c>
      <c r="BF57">
        <v>3.0645799999999999</v>
      </c>
      <c r="BG57">
        <v>45.299500000000002</v>
      </c>
      <c r="BH57">
        <v>47.878999999999998</v>
      </c>
      <c r="BI57">
        <v>3.3043</v>
      </c>
      <c r="BJ57">
        <v>31.736699999999999</v>
      </c>
      <c r="BK57">
        <v>0</v>
      </c>
      <c r="BL57">
        <v>32.893999999999998</v>
      </c>
      <c r="BM57">
        <v>58.058500000000002</v>
      </c>
      <c r="BN57">
        <v>7.7359499999999999</v>
      </c>
      <c r="BO57">
        <v>0.82283600000000001</v>
      </c>
      <c r="BP57">
        <v>0.488703</v>
      </c>
      <c r="BQ57">
        <v>34.6008</v>
      </c>
      <c r="BR57">
        <v>108041</v>
      </c>
    </row>
    <row r="58" spans="1:70" x14ac:dyDescent="0.25">
      <c r="A58">
        <v>34</v>
      </c>
      <c r="B58" s="7">
        <v>45966.5705787037</v>
      </c>
      <c r="C58" t="s">
        <v>116</v>
      </c>
      <c r="D58" s="6" t="s">
        <v>242</v>
      </c>
      <c r="E58" s="6" t="str">
        <f>VLOOKUP(F58,Germplasm!$A$1:$B$21,2,FALSE)</f>
        <v>Thermus</v>
      </c>
      <c r="F58" t="s">
        <v>75</v>
      </c>
      <c r="G58" s="6" t="s">
        <v>113</v>
      </c>
      <c r="H58">
        <v>69225.3</v>
      </c>
      <c r="I58">
        <v>546.13900000000001</v>
      </c>
      <c r="J58">
        <v>207996</v>
      </c>
      <c r="K58">
        <v>19.174199999999999</v>
      </c>
      <c r="L58">
        <v>66.891900000000007</v>
      </c>
      <c r="M58">
        <v>1720.48</v>
      </c>
      <c r="N58">
        <v>655.678</v>
      </c>
      <c r="O58">
        <v>46855500</v>
      </c>
      <c r="P58">
        <v>0.25743500000000002</v>
      </c>
      <c r="Q58">
        <v>0.45255400000000001</v>
      </c>
      <c r="R58">
        <v>2.60202</v>
      </c>
      <c r="S58">
        <v>12.9377</v>
      </c>
      <c r="T58">
        <v>46.8581</v>
      </c>
      <c r="U58">
        <v>36.564700000000002</v>
      </c>
      <c r="V58">
        <v>0.58496099999999995</v>
      </c>
      <c r="W58">
        <v>117.648</v>
      </c>
      <c r="X58">
        <v>0.77138399999999996</v>
      </c>
      <c r="Y58">
        <v>1.43144</v>
      </c>
      <c r="Z58">
        <v>2.4893800000000001</v>
      </c>
      <c r="AA58">
        <v>13.2104</v>
      </c>
      <c r="AB58">
        <v>46.559100000000001</v>
      </c>
      <c r="AC58">
        <v>35.538400000000003</v>
      </c>
      <c r="AD58">
        <v>1.7357800000000001</v>
      </c>
      <c r="AE58">
        <v>6.3500300000000003</v>
      </c>
      <c r="AF58">
        <v>0</v>
      </c>
      <c r="AG58">
        <v>99.934100000000001</v>
      </c>
      <c r="AH58">
        <v>6.3897800000000005E-2</v>
      </c>
      <c r="AI58">
        <v>1.31748E-3</v>
      </c>
      <c r="AJ58">
        <v>6.5874E-4</v>
      </c>
      <c r="AK58">
        <v>0</v>
      </c>
      <c r="AL58">
        <v>0.54804799999999998</v>
      </c>
      <c r="AM58">
        <v>0.50327699999999997</v>
      </c>
      <c r="AN58">
        <v>1.9795100000000001</v>
      </c>
      <c r="AO58">
        <v>3.7936800000000002</v>
      </c>
      <c r="AP58">
        <v>11.5359</v>
      </c>
      <c r="AQ58">
        <v>41.530900000000003</v>
      </c>
      <c r="AR58">
        <v>40.656799999999997</v>
      </c>
      <c r="AS58">
        <v>3.3242399999999998E-2</v>
      </c>
      <c r="AT58">
        <v>5.0499000000000001</v>
      </c>
      <c r="AU58">
        <v>38.505299999999998</v>
      </c>
      <c r="AV58">
        <v>44.045999999999999</v>
      </c>
      <c r="AW58">
        <v>9.5313099999999995</v>
      </c>
      <c r="AX58">
        <v>1.70679</v>
      </c>
      <c r="AY58">
        <v>1.1607000000000001</v>
      </c>
      <c r="AZ58">
        <v>676.85500000000002</v>
      </c>
      <c r="BA58">
        <v>778.80200000000002</v>
      </c>
      <c r="BB58">
        <v>39881.4</v>
      </c>
      <c r="BC58">
        <v>1.15929E-2</v>
      </c>
      <c r="BD58">
        <v>6.65327E-2</v>
      </c>
      <c r="BE58">
        <v>0.316195</v>
      </c>
      <c r="BF58">
        <v>1.8694999999999999</v>
      </c>
      <c r="BG58">
        <v>41.301699999999997</v>
      </c>
      <c r="BH58">
        <v>52.829000000000001</v>
      </c>
      <c r="BI58">
        <v>3.61714</v>
      </c>
      <c r="BJ58">
        <v>32.853900000000003</v>
      </c>
      <c r="BK58">
        <v>0</v>
      </c>
      <c r="BL58">
        <v>26.821899999999999</v>
      </c>
      <c r="BM58">
        <v>64.733699999999999</v>
      </c>
      <c r="BN58">
        <v>7.0669599999999999</v>
      </c>
      <c r="BO58">
        <v>0.75952699999999995</v>
      </c>
      <c r="BP58">
        <v>0.61789799999999995</v>
      </c>
      <c r="BQ58">
        <v>35.224200000000003</v>
      </c>
      <c r="BR58">
        <v>151805</v>
      </c>
    </row>
    <row r="59" spans="1:70" x14ac:dyDescent="0.25">
      <c r="A59">
        <v>34</v>
      </c>
      <c r="B59" s="7">
        <v>45973.550416666665</v>
      </c>
      <c r="C59" t="s">
        <v>116</v>
      </c>
      <c r="D59" s="6" t="s">
        <v>243</v>
      </c>
      <c r="E59" s="6" t="str">
        <f>VLOOKUP(F59,Germplasm!$A$1:$B$21,2,FALSE)</f>
        <v>Thermus</v>
      </c>
      <c r="F59" t="s">
        <v>75</v>
      </c>
      <c r="G59" s="6" t="s">
        <v>113</v>
      </c>
      <c r="H59">
        <v>80087.399999999994</v>
      </c>
      <c r="I59">
        <v>681.74300000000005</v>
      </c>
      <c r="J59">
        <v>259658</v>
      </c>
      <c r="K59">
        <v>17.0076</v>
      </c>
      <c r="L59">
        <v>86.144999999999996</v>
      </c>
      <c r="M59">
        <v>1909.7</v>
      </c>
      <c r="N59">
        <v>695.26599999999996</v>
      </c>
      <c r="O59">
        <v>62068200</v>
      </c>
      <c r="P59">
        <v>0.23522299999999999</v>
      </c>
      <c r="Q59">
        <v>0.74672700000000003</v>
      </c>
      <c r="R59">
        <v>3.5561099999999999</v>
      </c>
      <c r="S59">
        <v>17.8339</v>
      </c>
      <c r="T59">
        <v>47.5075</v>
      </c>
      <c r="U59">
        <v>29.6922</v>
      </c>
      <c r="V59">
        <v>0.663551</v>
      </c>
      <c r="W59">
        <v>114.366</v>
      </c>
      <c r="X59">
        <v>1.5201499999999999</v>
      </c>
      <c r="Y59">
        <v>3.2563</v>
      </c>
      <c r="Z59">
        <v>4.4753999999999996</v>
      </c>
      <c r="AA59">
        <v>14.782500000000001</v>
      </c>
      <c r="AB59">
        <v>41.577100000000002</v>
      </c>
      <c r="AC59">
        <v>34.388599999999997</v>
      </c>
      <c r="AD59">
        <v>1.81351</v>
      </c>
      <c r="AE59">
        <v>6.5228799999999998</v>
      </c>
      <c r="AF59">
        <v>0</v>
      </c>
      <c r="AG59">
        <v>99.920500000000004</v>
      </c>
      <c r="AH59">
        <v>7.9452300000000003E-2</v>
      </c>
      <c r="AI59">
        <v>0</v>
      </c>
      <c r="AJ59">
        <v>0</v>
      </c>
      <c r="AK59">
        <v>0</v>
      </c>
      <c r="AL59">
        <v>0.49881599999999998</v>
      </c>
      <c r="AM59">
        <v>0.880803</v>
      </c>
      <c r="AN59">
        <v>3.9831699999999999</v>
      </c>
      <c r="AO59">
        <v>7.6137600000000001</v>
      </c>
      <c r="AP59">
        <v>17.8581</v>
      </c>
      <c r="AQ59">
        <v>39.3947</v>
      </c>
      <c r="AR59">
        <v>30.269500000000001</v>
      </c>
      <c r="AS59">
        <v>6.2106399999999999E-2</v>
      </c>
      <c r="AT59">
        <v>3.8279899999999998</v>
      </c>
      <c r="AU59">
        <v>37.410200000000003</v>
      </c>
      <c r="AV59">
        <v>40.975000000000001</v>
      </c>
      <c r="AW59">
        <v>11.295299999999999</v>
      </c>
      <c r="AX59">
        <v>4.2053799999999999</v>
      </c>
      <c r="AY59">
        <v>2.2861199999999999</v>
      </c>
      <c r="AZ59">
        <v>775.005</v>
      </c>
      <c r="BA59">
        <v>915.59900000000005</v>
      </c>
      <c r="BB59">
        <v>44161.599999999999</v>
      </c>
      <c r="BC59">
        <v>3.4090700000000002E-2</v>
      </c>
      <c r="BD59">
        <v>4.9657699999999999E-2</v>
      </c>
      <c r="BE59">
        <v>0.33394800000000002</v>
      </c>
      <c r="BF59">
        <v>1.86713</v>
      </c>
      <c r="BG59">
        <v>38.986199999999997</v>
      </c>
      <c r="BH59">
        <v>49.470799999999997</v>
      </c>
      <c r="BI59">
        <v>9.2921899999999997</v>
      </c>
      <c r="BJ59">
        <v>32.439</v>
      </c>
      <c r="BK59">
        <v>0</v>
      </c>
      <c r="BL59">
        <v>31.577300000000001</v>
      </c>
      <c r="BM59">
        <v>57.917000000000002</v>
      </c>
      <c r="BN59">
        <v>8.4194600000000008</v>
      </c>
      <c r="BO59">
        <v>1.2321299999999999</v>
      </c>
      <c r="BP59">
        <v>0.85411199999999998</v>
      </c>
      <c r="BQ59">
        <v>33.512700000000002</v>
      </c>
      <c r="BR59">
        <v>161103</v>
      </c>
    </row>
    <row r="60" spans="1:70" x14ac:dyDescent="0.25">
      <c r="A60">
        <v>34</v>
      </c>
      <c r="B60" s="7">
        <v>45988.530023148145</v>
      </c>
      <c r="C60" t="s">
        <v>116</v>
      </c>
      <c r="D60" s="6" t="s">
        <v>244</v>
      </c>
      <c r="E60" s="6" t="str">
        <f>VLOOKUP(F60,Germplasm!$A$1:$B$21,2,FALSE)</f>
        <v>Thermus</v>
      </c>
      <c r="F60" t="s">
        <v>75</v>
      </c>
      <c r="G60" s="6" t="s">
        <v>113</v>
      </c>
      <c r="H60">
        <v>57069.2</v>
      </c>
      <c r="I60">
        <v>715.43399999999997</v>
      </c>
      <c r="J60">
        <v>186709</v>
      </c>
      <c r="K60">
        <v>16.919899999999998</v>
      </c>
      <c r="L60">
        <v>91.924899999999994</v>
      </c>
      <c r="M60">
        <v>1589.8</v>
      </c>
      <c r="N60">
        <v>527.053</v>
      </c>
      <c r="O60">
        <v>48789900</v>
      </c>
      <c r="P60">
        <v>0.147673</v>
      </c>
      <c r="Q60">
        <v>1.28226</v>
      </c>
      <c r="R60">
        <v>14.7661</v>
      </c>
      <c r="S60">
        <v>30.054099999999998</v>
      </c>
      <c r="T60">
        <v>40.904600000000002</v>
      </c>
      <c r="U60">
        <v>12.783899999999999</v>
      </c>
      <c r="V60">
        <v>0.209064</v>
      </c>
      <c r="W60">
        <v>80.3322</v>
      </c>
      <c r="X60">
        <v>8.7636599999999998</v>
      </c>
      <c r="Y60">
        <v>15.3352</v>
      </c>
      <c r="Z60">
        <v>11.526400000000001</v>
      </c>
      <c r="AA60">
        <v>29.5686</v>
      </c>
      <c r="AB60">
        <v>21.464700000000001</v>
      </c>
      <c r="AC60">
        <v>13.3414</v>
      </c>
      <c r="AD60">
        <v>1.8065</v>
      </c>
      <c r="AE60">
        <v>8.8868299999999998</v>
      </c>
      <c r="AF60">
        <v>0</v>
      </c>
      <c r="AG60">
        <v>98.857900000000001</v>
      </c>
      <c r="AH60">
        <v>1.1390100000000001</v>
      </c>
      <c r="AI60">
        <v>3.0972500000000002E-3</v>
      </c>
      <c r="AJ60">
        <v>0</v>
      </c>
      <c r="AK60">
        <v>0</v>
      </c>
      <c r="AL60">
        <v>0.32144600000000001</v>
      </c>
      <c r="AM60">
        <v>3.8769800000000001</v>
      </c>
      <c r="AN60">
        <v>19.349299999999999</v>
      </c>
      <c r="AO60">
        <v>20.965299999999999</v>
      </c>
      <c r="AP60">
        <v>25.1311</v>
      </c>
      <c r="AQ60">
        <v>25.9696</v>
      </c>
      <c r="AR60">
        <v>4.7078100000000003</v>
      </c>
      <c r="AS60">
        <v>0.19495299999999999</v>
      </c>
      <c r="AT60">
        <v>1.1382399999999999</v>
      </c>
      <c r="AU60">
        <v>12.4742</v>
      </c>
      <c r="AV60">
        <v>38.840200000000003</v>
      </c>
      <c r="AW60">
        <v>35.5548</v>
      </c>
      <c r="AX60">
        <v>9.6169499999999992</v>
      </c>
      <c r="AY60">
        <v>2.3755899999999999</v>
      </c>
      <c r="AZ60">
        <v>854.92499999999995</v>
      </c>
      <c r="BA60">
        <v>917.99900000000002</v>
      </c>
      <c r="BB60">
        <v>31591</v>
      </c>
      <c r="BC60">
        <v>0.172711</v>
      </c>
      <c r="BD60">
        <v>9.0594400000000005E-2</v>
      </c>
      <c r="BE60">
        <v>0.32598500000000002</v>
      </c>
      <c r="BF60">
        <v>1.07087</v>
      </c>
      <c r="BG60">
        <v>12.1249</v>
      </c>
      <c r="BH60">
        <v>49.904400000000003</v>
      </c>
      <c r="BI60">
        <v>36.483199999999997</v>
      </c>
      <c r="BJ60">
        <v>31.875900000000001</v>
      </c>
      <c r="BK60">
        <v>0</v>
      </c>
      <c r="BL60">
        <v>31.9101</v>
      </c>
      <c r="BM60">
        <v>59.846499999999999</v>
      </c>
      <c r="BN60">
        <v>6.5940399999999997</v>
      </c>
      <c r="BO60">
        <v>0.97950400000000004</v>
      </c>
      <c r="BP60">
        <v>0.66977900000000001</v>
      </c>
      <c r="BQ60">
        <v>33.652700000000003</v>
      </c>
      <c r="BR60">
        <v>129147</v>
      </c>
    </row>
    <row r="61" spans="1:70" x14ac:dyDescent="0.25">
      <c r="A61">
        <v>34</v>
      </c>
      <c r="B61" s="7">
        <v>45994.535682870373</v>
      </c>
      <c r="C61" t="s">
        <v>116</v>
      </c>
      <c r="D61" s="6" t="s">
        <v>245</v>
      </c>
      <c r="E61" s="6" t="str">
        <f>VLOOKUP(F61,Germplasm!$A$1:$B$21,2,FALSE)</f>
        <v>Thermus</v>
      </c>
      <c r="F61" t="s">
        <v>75</v>
      </c>
      <c r="G61" s="6" t="s">
        <v>113</v>
      </c>
      <c r="H61">
        <v>31860.6</v>
      </c>
      <c r="I61">
        <v>695.93200000000002</v>
      </c>
      <c r="J61">
        <v>148654</v>
      </c>
      <c r="K61">
        <v>12.601699999999999</v>
      </c>
      <c r="L61">
        <v>80.262</v>
      </c>
      <c r="M61">
        <v>1432.21</v>
      </c>
      <c r="N61">
        <v>504.928</v>
      </c>
      <c r="O61">
        <v>27259100</v>
      </c>
      <c r="P61">
        <v>0.15592200000000001</v>
      </c>
      <c r="Q61">
        <v>1.46326</v>
      </c>
      <c r="R61">
        <v>11.467700000000001</v>
      </c>
      <c r="S61">
        <v>30.1646</v>
      </c>
      <c r="T61">
        <v>44.948399999999999</v>
      </c>
      <c r="U61">
        <v>11.569000000000001</v>
      </c>
      <c r="V61">
        <v>0.38695600000000002</v>
      </c>
      <c r="W61">
        <v>81.007199999999997</v>
      </c>
      <c r="X61">
        <v>6.4949700000000004</v>
      </c>
      <c r="Y61">
        <v>13.2872</v>
      </c>
      <c r="Z61">
        <v>14.8325</v>
      </c>
      <c r="AA61">
        <v>32.486400000000003</v>
      </c>
      <c r="AB61">
        <v>20.734200000000001</v>
      </c>
      <c r="AC61">
        <v>12.1648</v>
      </c>
      <c r="AD61">
        <v>1.70078</v>
      </c>
      <c r="AE61">
        <v>8.2562200000000008</v>
      </c>
      <c r="AF61">
        <v>0</v>
      </c>
      <c r="AG61">
        <v>99.204300000000003</v>
      </c>
      <c r="AH61">
        <v>0.79185099999999997</v>
      </c>
      <c r="AI61">
        <v>2.5626199999999998E-3</v>
      </c>
      <c r="AJ61">
        <v>1.2813099999999999E-3</v>
      </c>
      <c r="AK61">
        <v>0</v>
      </c>
      <c r="AL61">
        <v>0.32329599999999997</v>
      </c>
      <c r="AM61">
        <v>2.4908700000000001</v>
      </c>
      <c r="AN61">
        <v>16.863299999999999</v>
      </c>
      <c r="AO61">
        <v>24.361599999999999</v>
      </c>
      <c r="AP61">
        <v>31.162800000000001</v>
      </c>
      <c r="AQ61">
        <v>20.4177</v>
      </c>
      <c r="AR61">
        <v>4.7037000000000004</v>
      </c>
      <c r="AS61">
        <v>0.199493</v>
      </c>
      <c r="AT61">
        <v>1.2108399999999999</v>
      </c>
      <c r="AU61">
        <v>10.8194</v>
      </c>
      <c r="AV61">
        <v>40.165300000000002</v>
      </c>
      <c r="AW61">
        <v>35.719099999999997</v>
      </c>
      <c r="AX61">
        <v>9.2164800000000007</v>
      </c>
      <c r="AY61">
        <v>2.8688600000000002</v>
      </c>
      <c r="AZ61">
        <v>855.57299999999998</v>
      </c>
      <c r="BA61">
        <v>923.399</v>
      </c>
      <c r="BB61">
        <v>18732.900000000001</v>
      </c>
      <c r="BC61">
        <v>0.17003799999999999</v>
      </c>
      <c r="BD61">
        <v>6.1503000000000002E-2</v>
      </c>
      <c r="BE61">
        <v>0.27676299999999998</v>
      </c>
      <c r="BF61">
        <v>1.0237700000000001</v>
      </c>
      <c r="BG61">
        <v>10.668200000000001</v>
      </c>
      <c r="BH61">
        <v>50.032699999999998</v>
      </c>
      <c r="BI61">
        <v>37.937100000000001</v>
      </c>
      <c r="BJ61">
        <v>32.116999999999997</v>
      </c>
      <c r="BK61">
        <v>0</v>
      </c>
      <c r="BL61">
        <v>32.805399999999999</v>
      </c>
      <c r="BM61">
        <v>57.989600000000003</v>
      </c>
      <c r="BN61">
        <v>7.0882199999999997</v>
      </c>
      <c r="BO61">
        <v>1.31847</v>
      </c>
      <c r="BP61">
        <v>0.79825699999999999</v>
      </c>
      <c r="BQ61">
        <v>36.043500000000002</v>
      </c>
      <c r="BR61">
        <v>78045</v>
      </c>
    </row>
    <row r="62" spans="1:70" x14ac:dyDescent="0.25">
      <c r="A62">
        <v>34</v>
      </c>
      <c r="B62" s="7">
        <v>46002.581469907411</v>
      </c>
      <c r="C62" t="s">
        <v>116</v>
      </c>
      <c r="D62" s="6" t="s">
        <v>246</v>
      </c>
      <c r="E62" s="6" t="str">
        <f>VLOOKUP(F62,Germplasm!$A$1:$B$21,2,FALSE)</f>
        <v>Thermus</v>
      </c>
      <c r="F62" t="s">
        <v>75</v>
      </c>
      <c r="G62" s="6" t="s">
        <v>113</v>
      </c>
      <c r="H62">
        <v>50075.8</v>
      </c>
      <c r="I62">
        <v>661.53499999999997</v>
      </c>
      <c r="J62">
        <v>120426</v>
      </c>
      <c r="K62">
        <v>23.194800000000001</v>
      </c>
      <c r="L62">
        <v>83.995000000000005</v>
      </c>
      <c r="M62">
        <v>1291.8599999999999</v>
      </c>
      <c r="N62">
        <v>453.29899999999998</v>
      </c>
      <c r="O62">
        <v>42133100</v>
      </c>
      <c r="P62">
        <v>0.117019</v>
      </c>
      <c r="Q62">
        <v>1.0327500000000001</v>
      </c>
      <c r="R62">
        <v>17.052199999999999</v>
      </c>
      <c r="S62">
        <v>43.619300000000003</v>
      </c>
      <c r="T62">
        <v>28.4117</v>
      </c>
      <c r="U62">
        <v>9.6532499999999999</v>
      </c>
      <c r="V62">
        <v>0.23085900000000001</v>
      </c>
      <c r="W62">
        <v>64.001999999999995</v>
      </c>
      <c r="X62">
        <v>9.4063400000000001</v>
      </c>
      <c r="Y62">
        <v>28.9544</v>
      </c>
      <c r="Z62">
        <v>17.361799999999999</v>
      </c>
      <c r="AA62">
        <v>24.356300000000001</v>
      </c>
      <c r="AB62">
        <v>12.0245</v>
      </c>
      <c r="AC62">
        <v>7.8965899999999998</v>
      </c>
      <c r="AD62">
        <v>1.79274</v>
      </c>
      <c r="AE62">
        <v>9.3260799999999993</v>
      </c>
      <c r="AF62">
        <v>0</v>
      </c>
      <c r="AG62">
        <v>97.413200000000003</v>
      </c>
      <c r="AH62">
        <v>2.5807199999999999</v>
      </c>
      <c r="AI62">
        <v>6.1154599999999996E-3</v>
      </c>
      <c r="AJ62">
        <v>0</v>
      </c>
      <c r="AK62">
        <v>0</v>
      </c>
      <c r="AL62">
        <v>0.23958699999999999</v>
      </c>
      <c r="AM62">
        <v>6.1842600000000001</v>
      </c>
      <c r="AN62">
        <v>32.985300000000002</v>
      </c>
      <c r="AO62">
        <v>24.285299999999999</v>
      </c>
      <c r="AP62">
        <v>20.3706</v>
      </c>
      <c r="AQ62">
        <v>12.876099999999999</v>
      </c>
      <c r="AR62">
        <v>3.29853</v>
      </c>
      <c r="AS62">
        <v>0.24754699999999999</v>
      </c>
      <c r="AT62">
        <v>0.65359</v>
      </c>
      <c r="AU62">
        <v>6.17509</v>
      </c>
      <c r="AV62">
        <v>31.1995</v>
      </c>
      <c r="AW62">
        <v>45.234499999999997</v>
      </c>
      <c r="AX62">
        <v>14.2857</v>
      </c>
      <c r="AY62">
        <v>2.45153</v>
      </c>
      <c r="AZ62">
        <v>841.38800000000003</v>
      </c>
      <c r="BA62">
        <v>895.79899999999998</v>
      </c>
      <c r="BB62">
        <v>27932.6</v>
      </c>
      <c r="BC62">
        <v>0.251973</v>
      </c>
      <c r="BD62">
        <v>4.1279400000000001E-2</v>
      </c>
      <c r="BE62">
        <v>0.17734800000000001</v>
      </c>
      <c r="BF62">
        <v>0.636772</v>
      </c>
      <c r="BG62">
        <v>5.9732799999999999</v>
      </c>
      <c r="BH62">
        <v>37.121600000000001</v>
      </c>
      <c r="BI62">
        <v>56.049700000000001</v>
      </c>
      <c r="BJ62">
        <v>32.418199999999999</v>
      </c>
      <c r="BK62">
        <v>0</v>
      </c>
      <c r="BL62">
        <v>31.311199999999999</v>
      </c>
      <c r="BM62">
        <v>59.5822</v>
      </c>
      <c r="BN62">
        <v>7.6481500000000002</v>
      </c>
      <c r="BO62">
        <v>1.0166999999999999</v>
      </c>
      <c r="BP62">
        <v>0.44184200000000001</v>
      </c>
      <c r="BQ62">
        <v>33.9435</v>
      </c>
      <c r="BR62">
        <v>130816</v>
      </c>
    </row>
    <row r="63" spans="1:70" x14ac:dyDescent="0.25">
      <c r="A63">
        <v>34</v>
      </c>
      <c r="B63" s="7">
        <v>46013.595173611109</v>
      </c>
      <c r="C63" t="s">
        <v>116</v>
      </c>
      <c r="D63" s="6" t="s">
        <v>247</v>
      </c>
      <c r="E63" s="6" t="str">
        <f>VLOOKUP(F63,Germplasm!$A$1:$B$21,2,FALSE)</f>
        <v>Thermus</v>
      </c>
      <c r="F63" t="s">
        <v>75</v>
      </c>
      <c r="G63" s="6" t="s">
        <v>113</v>
      </c>
      <c r="H63">
        <v>42286.1</v>
      </c>
      <c r="I63">
        <v>651.21199999999999</v>
      </c>
      <c r="J63">
        <v>148518</v>
      </c>
      <c r="K63">
        <v>14.983599999999999</v>
      </c>
      <c r="L63">
        <v>77.987700000000004</v>
      </c>
      <c r="M63">
        <v>1503.38</v>
      </c>
      <c r="N63">
        <v>522.149</v>
      </c>
      <c r="O63">
        <v>33132300</v>
      </c>
      <c r="P63">
        <v>2.87911E-2</v>
      </c>
      <c r="Q63">
        <v>1.6933100000000001</v>
      </c>
      <c r="R63">
        <v>31.034500000000001</v>
      </c>
      <c r="S63">
        <v>58.770400000000002</v>
      </c>
      <c r="T63">
        <v>6.9846399999999997</v>
      </c>
      <c r="U63">
        <v>1.4593799999999999</v>
      </c>
      <c r="V63">
        <v>5.7748599999999997E-2</v>
      </c>
      <c r="W63">
        <v>39.0976</v>
      </c>
      <c r="X63">
        <v>16.568000000000001</v>
      </c>
      <c r="Y63">
        <v>54.825899999999997</v>
      </c>
      <c r="Z63">
        <v>14.2522</v>
      </c>
      <c r="AA63">
        <v>5.4273899999999999</v>
      </c>
      <c r="AB63">
        <v>1.72658</v>
      </c>
      <c r="AC63">
        <v>7.19998</v>
      </c>
      <c r="AD63">
        <v>1.90021</v>
      </c>
      <c r="AE63">
        <v>13.7346</v>
      </c>
      <c r="AF63">
        <v>0</v>
      </c>
      <c r="AG63">
        <v>88.656800000000004</v>
      </c>
      <c r="AH63">
        <v>11.3089</v>
      </c>
      <c r="AI63">
        <v>3.4257599999999999E-2</v>
      </c>
      <c r="AJ63">
        <v>0</v>
      </c>
      <c r="AK63">
        <v>0</v>
      </c>
      <c r="AL63">
        <v>9.7585199999999997E-2</v>
      </c>
      <c r="AM63">
        <v>19.223400000000002</v>
      </c>
      <c r="AN63">
        <v>54.229799999999997</v>
      </c>
      <c r="AO63">
        <v>18.1096</v>
      </c>
      <c r="AP63">
        <v>6.0626199999999999</v>
      </c>
      <c r="AQ63">
        <v>1.8146800000000001</v>
      </c>
      <c r="AR63">
        <v>0.55986800000000003</v>
      </c>
      <c r="AS63">
        <v>0.28255000000000002</v>
      </c>
      <c r="AT63">
        <v>0.73311300000000001</v>
      </c>
      <c r="AU63">
        <v>3.73115</v>
      </c>
      <c r="AV63">
        <v>23.3187</v>
      </c>
      <c r="AW63">
        <v>52.595300000000002</v>
      </c>
      <c r="AX63">
        <v>16.4544</v>
      </c>
      <c r="AY63">
        <v>3.16736</v>
      </c>
      <c r="AZ63">
        <v>783.52599999999995</v>
      </c>
      <c r="BA63">
        <v>887.399</v>
      </c>
      <c r="BB63">
        <v>22253.4</v>
      </c>
      <c r="BC63">
        <v>0.352939</v>
      </c>
      <c r="BD63">
        <v>0.156606</v>
      </c>
      <c r="BE63">
        <v>0.36313099999999998</v>
      </c>
      <c r="BF63">
        <v>0.741923</v>
      </c>
      <c r="BG63">
        <v>3.2016200000000001</v>
      </c>
      <c r="BH63">
        <v>12.829000000000001</v>
      </c>
      <c r="BI63">
        <v>82.707700000000003</v>
      </c>
      <c r="BJ63">
        <v>30.691199999999998</v>
      </c>
      <c r="BK63">
        <v>0</v>
      </c>
      <c r="BL63">
        <v>38.010300000000001</v>
      </c>
      <c r="BM63">
        <v>53.571100000000001</v>
      </c>
      <c r="BN63">
        <v>6.58725</v>
      </c>
      <c r="BO63">
        <v>1.0805800000000001</v>
      </c>
      <c r="BP63">
        <v>0.75073199999999995</v>
      </c>
      <c r="BQ63">
        <v>31.782800000000002</v>
      </c>
      <c r="BR63">
        <v>102167</v>
      </c>
    </row>
    <row r="64" spans="1:70" x14ac:dyDescent="0.25">
      <c r="A64">
        <v>34</v>
      </c>
      <c r="B64" s="7">
        <v>46024.544074074074</v>
      </c>
      <c r="C64" t="s">
        <v>116</v>
      </c>
      <c r="D64" s="6" t="s">
        <v>248</v>
      </c>
      <c r="E64" s="6" t="str">
        <f>VLOOKUP(F64,Germplasm!$A$1:$B$21,2,FALSE)</f>
        <v>Thermus</v>
      </c>
      <c r="F64" t="s">
        <v>75</v>
      </c>
      <c r="G64" s="6" t="s">
        <v>113</v>
      </c>
      <c r="H64">
        <v>41502.199999999997</v>
      </c>
      <c r="I64">
        <v>617.096</v>
      </c>
      <c r="J64">
        <v>145558</v>
      </c>
      <c r="K64">
        <v>14.8139</v>
      </c>
      <c r="L64">
        <v>74.911100000000005</v>
      </c>
      <c r="M64">
        <v>1461.98</v>
      </c>
      <c r="N64">
        <v>550.654</v>
      </c>
      <c r="O64">
        <v>32167200</v>
      </c>
      <c r="P64">
        <v>9.55166E-3</v>
      </c>
      <c r="Q64">
        <v>1.60026</v>
      </c>
      <c r="R64">
        <v>35.1691</v>
      </c>
      <c r="S64">
        <v>60.960599999999999</v>
      </c>
      <c r="T64">
        <v>2.0021599999999999</v>
      </c>
      <c r="U64">
        <v>0.22606699999999999</v>
      </c>
      <c r="V64">
        <v>4.1864199999999997E-2</v>
      </c>
      <c r="W64">
        <v>35.116100000000003</v>
      </c>
      <c r="X64">
        <v>18.000599999999999</v>
      </c>
      <c r="Y64">
        <v>59.586399999999998</v>
      </c>
      <c r="Z64">
        <v>10.0349</v>
      </c>
      <c r="AA64">
        <v>2.8561899999999998</v>
      </c>
      <c r="AB64">
        <v>1.13243</v>
      </c>
      <c r="AC64">
        <v>8.3895900000000001</v>
      </c>
      <c r="AD64">
        <v>1.9247099999999999</v>
      </c>
      <c r="AE64">
        <v>14.973800000000001</v>
      </c>
      <c r="AF64">
        <v>0</v>
      </c>
      <c r="AG64">
        <v>86.261200000000002</v>
      </c>
      <c r="AH64">
        <v>13.691700000000001</v>
      </c>
      <c r="AI64">
        <v>4.6050599999999997E-2</v>
      </c>
      <c r="AJ64">
        <v>1.0466099999999999E-3</v>
      </c>
      <c r="AK64">
        <v>0</v>
      </c>
      <c r="AL64">
        <v>7.4649400000000005E-2</v>
      </c>
      <c r="AM64">
        <v>22.9374</v>
      </c>
      <c r="AN64">
        <v>56.918599999999998</v>
      </c>
      <c r="AO64">
        <v>14.521599999999999</v>
      </c>
      <c r="AP64">
        <v>4.2816599999999996</v>
      </c>
      <c r="AQ64">
        <v>1.0371900000000001</v>
      </c>
      <c r="AR64">
        <v>0.30351600000000001</v>
      </c>
      <c r="AS64">
        <v>0.26140400000000003</v>
      </c>
      <c r="AT64">
        <v>0.80379299999999998</v>
      </c>
      <c r="AU64">
        <v>4.3350400000000002</v>
      </c>
      <c r="AV64">
        <v>26.514700000000001</v>
      </c>
      <c r="AW64">
        <v>53.361199999999997</v>
      </c>
      <c r="AX64">
        <v>12.7989</v>
      </c>
      <c r="AY64">
        <v>2.1863600000000001</v>
      </c>
      <c r="AZ64">
        <v>775.07299999999998</v>
      </c>
      <c r="BA64">
        <v>850.19899999999996</v>
      </c>
      <c r="BB64">
        <v>21562.9</v>
      </c>
      <c r="BC64">
        <v>0.34856700000000002</v>
      </c>
      <c r="BD64">
        <v>0.12559300000000001</v>
      </c>
      <c r="BE64">
        <v>0.43015500000000001</v>
      </c>
      <c r="BF64">
        <v>0.92938600000000005</v>
      </c>
      <c r="BG64">
        <v>3.6537000000000002</v>
      </c>
      <c r="BH64">
        <v>12.215999999999999</v>
      </c>
      <c r="BI64">
        <v>82.645200000000003</v>
      </c>
      <c r="BJ64">
        <v>28.170999999999999</v>
      </c>
      <c r="BK64">
        <v>0</v>
      </c>
      <c r="BL64">
        <v>44.448300000000003</v>
      </c>
      <c r="BM64">
        <v>50.381500000000003</v>
      </c>
      <c r="BN64">
        <v>3.8996499999999998</v>
      </c>
      <c r="BO64">
        <v>0.71169199999999999</v>
      </c>
      <c r="BP64">
        <v>0.55888700000000002</v>
      </c>
      <c r="BQ64">
        <v>31.331800000000001</v>
      </c>
      <c r="BR64">
        <v>95547</v>
      </c>
    </row>
    <row r="65" spans="1:70" x14ac:dyDescent="0.25">
      <c r="A65">
        <v>34</v>
      </c>
      <c r="B65" s="7">
        <v>45952.538090277776</v>
      </c>
      <c r="C65" t="s">
        <v>115</v>
      </c>
      <c r="D65" s="6" t="s">
        <v>240</v>
      </c>
      <c r="E65" s="6" t="str">
        <f>VLOOKUP(F65,Germplasm!$A$1:$B$21,2,FALSE)</f>
        <v>Helium</v>
      </c>
      <c r="F65" t="s">
        <v>76</v>
      </c>
      <c r="G65" s="6" t="s">
        <v>113</v>
      </c>
      <c r="H65">
        <v>27758</v>
      </c>
      <c r="I65">
        <v>410.95800000000003</v>
      </c>
      <c r="J65">
        <v>119211</v>
      </c>
      <c r="K65">
        <v>13.6751</v>
      </c>
      <c r="L65">
        <v>81.296999999999997</v>
      </c>
      <c r="M65">
        <v>1291.25</v>
      </c>
      <c r="N65">
        <v>460.12599999999998</v>
      </c>
      <c r="O65">
        <v>12708100</v>
      </c>
      <c r="P65">
        <v>0.22359100000000001</v>
      </c>
      <c r="Q65">
        <v>0.68430899999999995</v>
      </c>
      <c r="R65">
        <v>4.2769300000000001</v>
      </c>
      <c r="S65">
        <v>20.3047</v>
      </c>
      <c r="T65">
        <v>46.486699999999999</v>
      </c>
      <c r="U65">
        <v>28.0246</v>
      </c>
      <c r="V65">
        <v>0.22275700000000001</v>
      </c>
      <c r="W65">
        <v>122.83499999999999</v>
      </c>
      <c r="X65">
        <v>1.0033000000000001</v>
      </c>
      <c r="Y65">
        <v>1.9549099999999999</v>
      </c>
      <c r="Z65">
        <v>3.2308699999999999</v>
      </c>
      <c r="AA65">
        <v>11.978999999999999</v>
      </c>
      <c r="AB65">
        <v>34.274299999999997</v>
      </c>
      <c r="AC65">
        <v>47.557699999999997</v>
      </c>
      <c r="AD65">
        <v>1.70272</v>
      </c>
      <c r="AE65">
        <v>6.3216999999999999</v>
      </c>
      <c r="AF65">
        <v>0</v>
      </c>
      <c r="AG65">
        <v>99.9679</v>
      </c>
      <c r="AH65">
        <v>3.2077000000000001E-2</v>
      </c>
      <c r="AI65">
        <v>0</v>
      </c>
      <c r="AJ65">
        <v>0</v>
      </c>
      <c r="AK65">
        <v>0</v>
      </c>
      <c r="AL65">
        <v>0.53252999999999995</v>
      </c>
      <c r="AM65">
        <v>0.63084700000000005</v>
      </c>
      <c r="AN65">
        <v>2.8833600000000001</v>
      </c>
      <c r="AO65">
        <v>5.5136799999999999</v>
      </c>
      <c r="AP65">
        <v>14.0337</v>
      </c>
      <c r="AQ65">
        <v>38.2393</v>
      </c>
      <c r="AR65">
        <v>38.699100000000001</v>
      </c>
      <c r="AS65">
        <v>8.8713300000000002E-4</v>
      </c>
      <c r="AT65">
        <v>8.8229500000000005</v>
      </c>
      <c r="AU65">
        <v>45.069899999999997</v>
      </c>
      <c r="AV65">
        <v>35.480699999999999</v>
      </c>
      <c r="AW65">
        <v>7.8000499999999997</v>
      </c>
      <c r="AX65">
        <v>1.61276</v>
      </c>
      <c r="AY65">
        <v>1.2135800000000001</v>
      </c>
      <c r="AZ65">
        <v>457.81700000000001</v>
      </c>
      <c r="BA65">
        <v>517.79899999999998</v>
      </c>
      <c r="BB65">
        <v>16302.2</v>
      </c>
      <c r="BC65">
        <v>-6.0275199999999998E-3</v>
      </c>
      <c r="BD65">
        <v>5.52437E-2</v>
      </c>
      <c r="BE65">
        <v>0.39205200000000001</v>
      </c>
      <c r="BF65">
        <v>3.3271000000000002</v>
      </c>
      <c r="BG65">
        <v>50.118499999999997</v>
      </c>
      <c r="BH65">
        <v>42.183</v>
      </c>
      <c r="BI65">
        <v>3.92408</v>
      </c>
      <c r="BJ65">
        <v>30.6008</v>
      </c>
      <c r="BK65">
        <v>0</v>
      </c>
      <c r="BL65">
        <v>35.142099999999999</v>
      </c>
      <c r="BM65">
        <v>57.854399999999998</v>
      </c>
      <c r="BN65">
        <v>5.9075100000000003</v>
      </c>
      <c r="BO65">
        <v>0.72529600000000005</v>
      </c>
      <c r="BP65">
        <v>0.37066700000000002</v>
      </c>
      <c r="BQ65">
        <v>35.9893</v>
      </c>
      <c r="BR65">
        <v>56115</v>
      </c>
    </row>
    <row r="66" spans="1:70" x14ac:dyDescent="0.25">
      <c r="A66">
        <v>34</v>
      </c>
      <c r="B66" s="7">
        <v>45959.514710648145</v>
      </c>
      <c r="C66" t="s">
        <v>115</v>
      </c>
      <c r="D66" s="6" t="s">
        <v>241</v>
      </c>
      <c r="E66" s="6" t="str">
        <f>VLOOKUP(F66,Germplasm!$A$1:$B$21,2,FALSE)</f>
        <v>Helium</v>
      </c>
      <c r="F66" t="s">
        <v>76</v>
      </c>
      <c r="G66" s="6" t="s">
        <v>113</v>
      </c>
      <c r="H66">
        <v>35696.300000000003</v>
      </c>
      <c r="I66">
        <v>510.43900000000002</v>
      </c>
      <c r="J66">
        <v>154990</v>
      </c>
      <c r="K66">
        <v>12.803699999999999</v>
      </c>
      <c r="L66">
        <v>72.703999999999994</v>
      </c>
      <c r="M66">
        <v>1525.25</v>
      </c>
      <c r="N66">
        <v>521.96600000000001</v>
      </c>
      <c r="O66">
        <v>20867500</v>
      </c>
      <c r="P66">
        <v>0.19101699999999999</v>
      </c>
      <c r="Q66">
        <v>0.76039800000000002</v>
      </c>
      <c r="R66">
        <v>4.6349400000000003</v>
      </c>
      <c r="S66">
        <v>28.837900000000001</v>
      </c>
      <c r="T66">
        <v>48.986400000000003</v>
      </c>
      <c r="U66">
        <v>16.298999999999999</v>
      </c>
      <c r="V66">
        <v>0.48135299999999998</v>
      </c>
      <c r="W66">
        <v>130.852</v>
      </c>
      <c r="X66">
        <v>0.92782500000000001</v>
      </c>
      <c r="Y66">
        <v>1.5975299999999999</v>
      </c>
      <c r="Z66">
        <v>2.7234799999999999</v>
      </c>
      <c r="AA66">
        <v>9.4889299999999999</v>
      </c>
      <c r="AB66">
        <v>26.523199999999999</v>
      </c>
      <c r="AC66">
        <v>58.738999999999997</v>
      </c>
      <c r="AD66">
        <v>1.7988</v>
      </c>
      <c r="AE66">
        <v>6.0751999999999997</v>
      </c>
      <c r="AF66">
        <v>0</v>
      </c>
      <c r="AG66">
        <v>99.972099999999998</v>
      </c>
      <c r="AH66">
        <v>2.65093E-2</v>
      </c>
      <c r="AI66">
        <v>1.3952299999999999E-3</v>
      </c>
      <c r="AJ66">
        <v>0</v>
      </c>
      <c r="AK66">
        <v>0</v>
      </c>
      <c r="AL66">
        <v>0.51557500000000001</v>
      </c>
      <c r="AM66">
        <v>0.45344800000000002</v>
      </c>
      <c r="AN66">
        <v>2.1821299999999999</v>
      </c>
      <c r="AO66">
        <v>6.1487600000000002</v>
      </c>
      <c r="AP66">
        <v>19.341999999999999</v>
      </c>
      <c r="AQ66">
        <v>40.451799999999999</v>
      </c>
      <c r="AR66">
        <v>31.421900000000001</v>
      </c>
      <c r="AS66">
        <v>-2.9228299999999999E-2</v>
      </c>
      <c r="AT66">
        <v>10.926</v>
      </c>
      <c r="AU66">
        <v>52.72</v>
      </c>
      <c r="AV66">
        <v>28.479299999999999</v>
      </c>
      <c r="AW66">
        <v>5.1734999999999998</v>
      </c>
      <c r="AX66">
        <v>1.4008100000000001</v>
      </c>
      <c r="AY66">
        <v>1.3003499999999999</v>
      </c>
      <c r="AZ66">
        <v>584.58399999999995</v>
      </c>
      <c r="BA66">
        <v>686.4</v>
      </c>
      <c r="BB66">
        <v>19844.5</v>
      </c>
      <c r="BC66">
        <v>-3.0768199999999999E-2</v>
      </c>
      <c r="BD66">
        <v>0.14649899999999999</v>
      </c>
      <c r="BE66">
        <v>0.67668399999999995</v>
      </c>
      <c r="BF66">
        <v>5.0158399999999999</v>
      </c>
      <c r="BG66">
        <v>57.802799999999998</v>
      </c>
      <c r="BH66">
        <v>32.903599999999997</v>
      </c>
      <c r="BI66">
        <v>3.45458</v>
      </c>
      <c r="BJ66">
        <v>27.711500000000001</v>
      </c>
      <c r="BK66">
        <v>0</v>
      </c>
      <c r="BL66">
        <v>48.114400000000003</v>
      </c>
      <c r="BM66">
        <v>46.059199999999997</v>
      </c>
      <c r="BN66">
        <v>4.2345100000000002</v>
      </c>
      <c r="BO66">
        <v>0.74365499999999995</v>
      </c>
      <c r="BP66">
        <v>0.84829699999999997</v>
      </c>
      <c r="BQ66">
        <v>33.803800000000003</v>
      </c>
      <c r="BR66">
        <v>71673</v>
      </c>
    </row>
    <row r="67" spans="1:70" x14ac:dyDescent="0.25">
      <c r="A67">
        <v>34</v>
      </c>
      <c r="B67" s="7">
        <v>45966.5705787037</v>
      </c>
      <c r="C67" t="s">
        <v>115</v>
      </c>
      <c r="D67" s="6" t="s">
        <v>242</v>
      </c>
      <c r="E67" s="6" t="str">
        <f>VLOOKUP(F67,Germplasm!$A$1:$B$21,2,FALSE)</f>
        <v>Helium</v>
      </c>
      <c r="F67" t="s">
        <v>76</v>
      </c>
      <c r="G67" s="6" t="s">
        <v>113</v>
      </c>
      <c r="H67">
        <v>46589.8</v>
      </c>
      <c r="I67">
        <v>582.18899999999996</v>
      </c>
      <c r="J67">
        <v>181513</v>
      </c>
      <c r="K67">
        <v>15.163500000000001</v>
      </c>
      <c r="L67">
        <v>63.880499999999998</v>
      </c>
      <c r="M67">
        <v>1696.17</v>
      </c>
      <c r="N67">
        <v>603.90200000000004</v>
      </c>
      <c r="O67">
        <v>32350900</v>
      </c>
      <c r="P67">
        <v>0.208568</v>
      </c>
      <c r="Q67">
        <v>0.73350800000000005</v>
      </c>
      <c r="R67">
        <v>3.9189699999999998</v>
      </c>
      <c r="S67">
        <v>24.218</v>
      </c>
      <c r="T67">
        <v>49.579799999999999</v>
      </c>
      <c r="U67">
        <v>20.988199999999999</v>
      </c>
      <c r="V67">
        <v>0.56147400000000003</v>
      </c>
      <c r="W67">
        <v>121.986</v>
      </c>
      <c r="X67">
        <v>1.07569</v>
      </c>
      <c r="Y67">
        <v>1.61731</v>
      </c>
      <c r="Z67">
        <v>3.13442</v>
      </c>
      <c r="AA67">
        <v>13.286300000000001</v>
      </c>
      <c r="AB67">
        <v>34.853900000000003</v>
      </c>
      <c r="AC67">
        <v>46.032299999999999</v>
      </c>
      <c r="AD67">
        <v>1.6927099999999999</v>
      </c>
      <c r="AE67">
        <v>5.98827</v>
      </c>
      <c r="AF67">
        <v>0</v>
      </c>
      <c r="AG67">
        <v>99.968800000000002</v>
      </c>
      <c r="AH67">
        <v>2.6466799999999999E-2</v>
      </c>
      <c r="AI67">
        <v>4.7262099999999998E-3</v>
      </c>
      <c r="AJ67">
        <v>0</v>
      </c>
      <c r="AK67">
        <v>0</v>
      </c>
      <c r="AL67">
        <v>0.51608600000000004</v>
      </c>
      <c r="AM67">
        <v>0.46789500000000001</v>
      </c>
      <c r="AN67">
        <v>2.3753899999999999</v>
      </c>
      <c r="AO67">
        <v>5.9474600000000004</v>
      </c>
      <c r="AP67">
        <v>16.647600000000001</v>
      </c>
      <c r="AQ67">
        <v>44.160800000000002</v>
      </c>
      <c r="AR67">
        <v>30.4009</v>
      </c>
      <c r="AS67">
        <v>1.4168500000000001E-2</v>
      </c>
      <c r="AT67">
        <v>5.3500699999999997</v>
      </c>
      <c r="AU67">
        <v>46.632599999999996</v>
      </c>
      <c r="AV67">
        <v>37.082799999999999</v>
      </c>
      <c r="AW67">
        <v>7.92964</v>
      </c>
      <c r="AX67">
        <v>1.6730799999999999</v>
      </c>
      <c r="AY67">
        <v>1.33185</v>
      </c>
      <c r="AZ67">
        <v>694.37800000000004</v>
      </c>
      <c r="BA67">
        <v>780.00199999999995</v>
      </c>
      <c r="BB67">
        <v>27523.8</v>
      </c>
      <c r="BC67">
        <v>-2.2706100000000002E-3</v>
      </c>
      <c r="BD67">
        <v>4.9152599999999998E-2</v>
      </c>
      <c r="BE67">
        <v>0.36391800000000002</v>
      </c>
      <c r="BF67">
        <v>2.5984699999999998</v>
      </c>
      <c r="BG67">
        <v>48.968299999999999</v>
      </c>
      <c r="BH67">
        <v>44.432099999999998</v>
      </c>
      <c r="BI67">
        <v>3.5881400000000001</v>
      </c>
      <c r="BJ67">
        <v>28.597100000000001</v>
      </c>
      <c r="BK67">
        <v>0</v>
      </c>
      <c r="BL67">
        <v>44.700499999999998</v>
      </c>
      <c r="BM67">
        <v>48.566499999999998</v>
      </c>
      <c r="BN67">
        <v>5.1449499999999997</v>
      </c>
      <c r="BO67">
        <v>0.84031999999999996</v>
      </c>
      <c r="BP67">
        <v>0.74768699999999999</v>
      </c>
      <c r="BQ67">
        <v>36.252299999999998</v>
      </c>
      <c r="BR67">
        <v>105793</v>
      </c>
    </row>
    <row r="68" spans="1:70" x14ac:dyDescent="0.25">
      <c r="A68">
        <v>34</v>
      </c>
      <c r="B68" s="7">
        <v>45973.550416666665</v>
      </c>
      <c r="C68" t="s">
        <v>115</v>
      </c>
      <c r="D68" s="6" t="s">
        <v>243</v>
      </c>
      <c r="E68" s="6" t="str">
        <f>VLOOKUP(F68,Germplasm!$A$1:$B$21,2,FALSE)</f>
        <v>Helium</v>
      </c>
      <c r="F68" t="s">
        <v>76</v>
      </c>
      <c r="G68" s="6" t="s">
        <v>113</v>
      </c>
      <c r="H68">
        <v>57370.7</v>
      </c>
      <c r="I68">
        <v>529.77200000000005</v>
      </c>
      <c r="J68">
        <v>226178</v>
      </c>
      <c r="K68">
        <v>14.2173</v>
      </c>
      <c r="L68">
        <v>86.792000000000002</v>
      </c>
      <c r="M68">
        <v>1786.04</v>
      </c>
      <c r="N68">
        <v>598.79899999999998</v>
      </c>
      <c r="O68">
        <v>41959100</v>
      </c>
      <c r="P68">
        <v>0.19576499999999999</v>
      </c>
      <c r="Q68">
        <v>0.74051800000000001</v>
      </c>
      <c r="R68">
        <v>4.3443699999999996</v>
      </c>
      <c r="S68">
        <v>26.9649</v>
      </c>
      <c r="T68">
        <v>50.3125</v>
      </c>
      <c r="U68">
        <v>17.1022</v>
      </c>
      <c r="V68">
        <v>0.53551599999999999</v>
      </c>
      <c r="W68">
        <v>120.21899999999999</v>
      </c>
      <c r="X68">
        <v>1.1973800000000001</v>
      </c>
      <c r="Y68">
        <v>2.2566999999999999</v>
      </c>
      <c r="Z68">
        <v>3.74526</v>
      </c>
      <c r="AA68">
        <v>14.4656</v>
      </c>
      <c r="AB68">
        <v>34.968299999999999</v>
      </c>
      <c r="AC68">
        <v>43.366700000000002</v>
      </c>
      <c r="AD68">
        <v>1.7841199999999999</v>
      </c>
      <c r="AE68">
        <v>6.2791300000000003</v>
      </c>
      <c r="AF68">
        <v>0</v>
      </c>
      <c r="AG68">
        <v>99.856899999999996</v>
      </c>
      <c r="AH68">
        <v>0.13889899999999999</v>
      </c>
      <c r="AI68">
        <v>4.1837200000000001E-3</v>
      </c>
      <c r="AJ68">
        <v>0</v>
      </c>
      <c r="AK68">
        <v>0</v>
      </c>
      <c r="AL68">
        <v>0.48305700000000001</v>
      </c>
      <c r="AM68">
        <v>0.62421000000000004</v>
      </c>
      <c r="AN68">
        <v>3.5268700000000002</v>
      </c>
      <c r="AO68">
        <v>8.6025600000000004</v>
      </c>
      <c r="AP68">
        <v>20.911899999999999</v>
      </c>
      <c r="AQ68">
        <v>44.4938</v>
      </c>
      <c r="AR68">
        <v>21.840699999999998</v>
      </c>
      <c r="AS68">
        <v>2.4239699999999999E-2</v>
      </c>
      <c r="AT68">
        <v>4.8188000000000004</v>
      </c>
      <c r="AU68">
        <v>44.036900000000003</v>
      </c>
      <c r="AV68">
        <v>39.854100000000003</v>
      </c>
      <c r="AW68">
        <v>7.6988700000000003</v>
      </c>
      <c r="AX68">
        <v>2.0726100000000001</v>
      </c>
      <c r="AY68">
        <v>1.5186900000000001</v>
      </c>
      <c r="AZ68">
        <v>731.36800000000005</v>
      </c>
      <c r="BA68">
        <v>854.399</v>
      </c>
      <c r="BB68">
        <v>32156.3</v>
      </c>
      <c r="BC68">
        <v>5.5478400000000001E-3</v>
      </c>
      <c r="BD68">
        <v>0.10208299999999999</v>
      </c>
      <c r="BE68">
        <v>0.49200500000000003</v>
      </c>
      <c r="BF68">
        <v>2.7453500000000002</v>
      </c>
      <c r="BG68">
        <v>45.515500000000003</v>
      </c>
      <c r="BH68">
        <v>45.7866</v>
      </c>
      <c r="BI68">
        <v>5.3585000000000003</v>
      </c>
      <c r="BJ68">
        <v>27.532800000000002</v>
      </c>
      <c r="BK68">
        <v>0</v>
      </c>
      <c r="BL68">
        <v>47.515300000000003</v>
      </c>
      <c r="BM68">
        <v>46.763100000000001</v>
      </c>
      <c r="BN68">
        <v>4.0715899999999996</v>
      </c>
      <c r="BO68">
        <v>0.70788499999999999</v>
      </c>
      <c r="BP68">
        <v>0.94217300000000004</v>
      </c>
      <c r="BQ68">
        <v>34.132399999999997</v>
      </c>
      <c r="BR68">
        <v>119511</v>
      </c>
    </row>
    <row r="69" spans="1:70" x14ac:dyDescent="0.25">
      <c r="A69">
        <v>34</v>
      </c>
      <c r="B69" s="7">
        <v>45988.530023148145</v>
      </c>
      <c r="C69" t="s">
        <v>115</v>
      </c>
      <c r="D69" s="6" t="s">
        <v>244</v>
      </c>
      <c r="E69" s="6" t="str">
        <f>VLOOKUP(F69,Germplasm!$A$1:$B$21,2,FALSE)</f>
        <v>Helium</v>
      </c>
      <c r="F69" t="s">
        <v>76</v>
      </c>
      <c r="G69" s="6" t="s">
        <v>113</v>
      </c>
      <c r="H69">
        <v>60475.5</v>
      </c>
      <c r="I69">
        <v>634.923</v>
      </c>
      <c r="J69">
        <v>176747</v>
      </c>
      <c r="K69">
        <v>17.632100000000001</v>
      </c>
      <c r="L69">
        <v>68.706900000000005</v>
      </c>
      <c r="M69">
        <v>1605.06</v>
      </c>
      <c r="N69">
        <v>563.14499999999998</v>
      </c>
      <c r="O69">
        <v>46083000</v>
      </c>
      <c r="P69">
        <v>0.14468</v>
      </c>
      <c r="Q69">
        <v>1.03287</v>
      </c>
      <c r="R69">
        <v>11.4057</v>
      </c>
      <c r="S69">
        <v>37.227499999999999</v>
      </c>
      <c r="T69">
        <v>40.4846</v>
      </c>
      <c r="U69">
        <v>9.5497200000000007</v>
      </c>
      <c r="V69">
        <v>0.29961100000000002</v>
      </c>
      <c r="W69">
        <v>85.825900000000004</v>
      </c>
      <c r="X69">
        <v>6.16805</v>
      </c>
      <c r="Y69">
        <v>13.132400000000001</v>
      </c>
      <c r="Z69">
        <v>12.8178</v>
      </c>
      <c r="AA69">
        <v>27.064399999999999</v>
      </c>
      <c r="AB69">
        <v>24.611499999999999</v>
      </c>
      <c r="AC69">
        <v>16.2058</v>
      </c>
      <c r="AD69">
        <v>1.94055</v>
      </c>
      <c r="AE69">
        <v>8.7368600000000001</v>
      </c>
      <c r="AF69">
        <v>0</v>
      </c>
      <c r="AG69">
        <v>98.915899999999993</v>
      </c>
      <c r="AH69">
        <v>1.0801799999999999</v>
      </c>
      <c r="AI69">
        <v>3.9422499999999996E-3</v>
      </c>
      <c r="AJ69">
        <v>0</v>
      </c>
      <c r="AK69">
        <v>0</v>
      </c>
      <c r="AL69">
        <v>0.33035100000000001</v>
      </c>
      <c r="AM69">
        <v>3.0181900000000002</v>
      </c>
      <c r="AN69">
        <v>15.5025</v>
      </c>
      <c r="AO69">
        <v>24.895299999999999</v>
      </c>
      <c r="AP69">
        <v>27.473600000000001</v>
      </c>
      <c r="AQ69">
        <v>23.550999999999998</v>
      </c>
      <c r="AR69">
        <v>5.5593700000000004</v>
      </c>
      <c r="AS69">
        <v>0.16774500000000001</v>
      </c>
      <c r="AT69">
        <v>1.1550800000000001</v>
      </c>
      <c r="AU69">
        <v>15.7651</v>
      </c>
      <c r="AV69">
        <v>45.806600000000003</v>
      </c>
      <c r="AW69">
        <v>25.809100000000001</v>
      </c>
      <c r="AX69">
        <v>8.5673100000000009</v>
      </c>
      <c r="AY69">
        <v>2.8967700000000001</v>
      </c>
      <c r="AZ69">
        <v>762.01199999999994</v>
      </c>
      <c r="BA69">
        <v>859.79899999999998</v>
      </c>
      <c r="BB69">
        <v>31164.1</v>
      </c>
      <c r="BC69">
        <v>0.14200399999999999</v>
      </c>
      <c r="BD69">
        <v>7.8056600000000004E-2</v>
      </c>
      <c r="BE69">
        <v>0.236535</v>
      </c>
      <c r="BF69">
        <v>0.95796800000000004</v>
      </c>
      <c r="BG69">
        <v>15.647600000000001</v>
      </c>
      <c r="BH69">
        <v>53.103700000000003</v>
      </c>
      <c r="BI69">
        <v>29.976099999999999</v>
      </c>
      <c r="BJ69">
        <v>29.000800000000002</v>
      </c>
      <c r="BK69">
        <v>0</v>
      </c>
      <c r="BL69">
        <v>43.737699999999997</v>
      </c>
      <c r="BM69">
        <v>47.542000000000002</v>
      </c>
      <c r="BN69">
        <v>6.8965800000000002</v>
      </c>
      <c r="BO69">
        <v>1.1464099999999999</v>
      </c>
      <c r="BP69">
        <v>0.67727899999999996</v>
      </c>
      <c r="BQ69">
        <v>31.055900000000001</v>
      </c>
      <c r="BR69">
        <v>126831</v>
      </c>
    </row>
    <row r="70" spans="1:70" x14ac:dyDescent="0.25">
      <c r="A70">
        <v>34</v>
      </c>
      <c r="B70" s="7">
        <v>45994.535682870373</v>
      </c>
      <c r="C70" t="s">
        <v>115</v>
      </c>
      <c r="D70" s="6" t="s">
        <v>245</v>
      </c>
      <c r="E70" s="6" t="str">
        <f>VLOOKUP(F70,Germplasm!$A$1:$B$21,2,FALSE)</f>
        <v>Helium</v>
      </c>
      <c r="F70" t="s">
        <v>76</v>
      </c>
      <c r="G70" s="6" t="s">
        <v>113</v>
      </c>
      <c r="H70">
        <v>21593.4</v>
      </c>
      <c r="I70">
        <v>587.59199999999998</v>
      </c>
      <c r="J70">
        <v>126195</v>
      </c>
      <c r="K70">
        <v>9.8744999999999994</v>
      </c>
      <c r="L70">
        <v>67.056799999999996</v>
      </c>
      <c r="M70">
        <v>1406.05</v>
      </c>
      <c r="N70">
        <v>538.70600000000002</v>
      </c>
      <c r="O70">
        <v>15803500</v>
      </c>
      <c r="P70">
        <v>0.12811500000000001</v>
      </c>
      <c r="Q70">
        <v>1.6893100000000001</v>
      </c>
      <c r="R70">
        <v>14.6381</v>
      </c>
      <c r="S70">
        <v>36.500100000000003</v>
      </c>
      <c r="T70">
        <v>38.7881</v>
      </c>
      <c r="U70">
        <v>8.0772099999999991</v>
      </c>
      <c r="V70">
        <v>0.30714799999999998</v>
      </c>
      <c r="W70">
        <v>77.710300000000004</v>
      </c>
      <c r="X70">
        <v>7.8983699999999999</v>
      </c>
      <c r="Y70">
        <v>17.6007</v>
      </c>
      <c r="Z70">
        <v>14.939399999999999</v>
      </c>
      <c r="AA70">
        <v>24.674900000000001</v>
      </c>
      <c r="AB70">
        <v>19.544699999999999</v>
      </c>
      <c r="AC70">
        <v>15.341799999999999</v>
      </c>
      <c r="AD70">
        <v>1.73285</v>
      </c>
      <c r="AE70">
        <v>8.6696799999999996</v>
      </c>
      <c r="AF70">
        <v>0</v>
      </c>
      <c r="AG70">
        <v>98.631399999999999</v>
      </c>
      <c r="AH70">
        <v>1.3549500000000001</v>
      </c>
      <c r="AI70">
        <v>1.36078E-2</v>
      </c>
      <c r="AJ70">
        <v>0</v>
      </c>
      <c r="AK70">
        <v>0</v>
      </c>
      <c r="AL70">
        <v>0.30633500000000002</v>
      </c>
      <c r="AM70">
        <v>3.0092699999999999</v>
      </c>
      <c r="AN70">
        <v>20.372900000000001</v>
      </c>
      <c r="AO70">
        <v>24.286100000000001</v>
      </c>
      <c r="AP70">
        <v>27.827999999999999</v>
      </c>
      <c r="AQ70">
        <v>21.199000000000002</v>
      </c>
      <c r="AR70">
        <v>3.3047599999999999</v>
      </c>
      <c r="AS70">
        <v>0.19475999999999999</v>
      </c>
      <c r="AT70">
        <v>1.839</v>
      </c>
      <c r="AU70">
        <v>12.997400000000001</v>
      </c>
      <c r="AV70">
        <v>40.5047</v>
      </c>
      <c r="AW70">
        <v>29.781700000000001</v>
      </c>
      <c r="AX70">
        <v>11.1409</v>
      </c>
      <c r="AY70">
        <v>3.7363200000000001</v>
      </c>
      <c r="AZ70">
        <v>731.86900000000003</v>
      </c>
      <c r="BA70">
        <v>834.59900000000005</v>
      </c>
      <c r="BB70">
        <v>12461.2</v>
      </c>
      <c r="BC70">
        <v>0.17319999999999999</v>
      </c>
      <c r="BD70">
        <v>0.167182</v>
      </c>
      <c r="BE70">
        <v>0.47238599999999997</v>
      </c>
      <c r="BF70">
        <v>1.38022</v>
      </c>
      <c r="BG70">
        <v>12.8088</v>
      </c>
      <c r="BH70">
        <v>46.305500000000002</v>
      </c>
      <c r="BI70">
        <v>38.865900000000003</v>
      </c>
      <c r="BJ70">
        <v>31.004300000000001</v>
      </c>
      <c r="BK70">
        <v>0</v>
      </c>
      <c r="BL70">
        <v>38.611199999999997</v>
      </c>
      <c r="BM70">
        <v>51.896299999999997</v>
      </c>
      <c r="BN70">
        <v>6.9788699999999997</v>
      </c>
      <c r="BO70">
        <v>1.4599200000000001</v>
      </c>
      <c r="BP70">
        <v>1.0536300000000001</v>
      </c>
      <c r="BQ70">
        <v>35.256799999999998</v>
      </c>
      <c r="BR70">
        <v>51441</v>
      </c>
    </row>
    <row r="71" spans="1:70" x14ac:dyDescent="0.25">
      <c r="A71">
        <v>34</v>
      </c>
      <c r="B71" s="7">
        <v>46002.581469907411</v>
      </c>
      <c r="C71" t="s">
        <v>115</v>
      </c>
      <c r="D71" s="6" t="s">
        <v>246</v>
      </c>
      <c r="E71" s="6" t="str">
        <f>VLOOKUP(F71,Germplasm!$A$1:$B$21,2,FALSE)</f>
        <v>Helium</v>
      </c>
      <c r="F71" t="s">
        <v>76</v>
      </c>
      <c r="G71" s="6" t="s">
        <v>113</v>
      </c>
      <c r="H71">
        <v>34606.300000000003</v>
      </c>
      <c r="I71">
        <v>597.51</v>
      </c>
      <c r="J71">
        <v>108520</v>
      </c>
      <c r="K71">
        <v>17.029399999999999</v>
      </c>
      <c r="L71">
        <v>71.685000000000002</v>
      </c>
      <c r="M71">
        <v>1258.46</v>
      </c>
      <c r="N71">
        <v>455.96600000000001</v>
      </c>
      <c r="O71">
        <v>26069200</v>
      </c>
      <c r="P71">
        <v>8.9692300000000003E-2</v>
      </c>
      <c r="Q71">
        <v>1.3132600000000001</v>
      </c>
      <c r="R71">
        <v>22.549600000000002</v>
      </c>
      <c r="S71">
        <v>44.451300000000003</v>
      </c>
      <c r="T71">
        <v>25.598700000000001</v>
      </c>
      <c r="U71">
        <v>5.8406799999999999</v>
      </c>
      <c r="V71">
        <v>0.24639</v>
      </c>
      <c r="W71">
        <v>60.414000000000001</v>
      </c>
      <c r="X71">
        <v>12.6928</v>
      </c>
      <c r="Y71">
        <v>33.201099999999997</v>
      </c>
      <c r="Z71">
        <v>11.7319</v>
      </c>
      <c r="AA71">
        <v>18.236599999999999</v>
      </c>
      <c r="AB71">
        <v>13.757199999999999</v>
      </c>
      <c r="AC71">
        <v>10.3804</v>
      </c>
      <c r="AD71">
        <v>1.8726100000000001</v>
      </c>
      <c r="AE71">
        <v>10.426500000000001</v>
      </c>
      <c r="AF71">
        <v>0</v>
      </c>
      <c r="AG71">
        <v>96.743899999999996</v>
      </c>
      <c r="AH71">
        <v>3.25482</v>
      </c>
      <c r="AI71">
        <v>1.2319500000000001E-3</v>
      </c>
      <c r="AJ71">
        <v>0</v>
      </c>
      <c r="AK71">
        <v>0</v>
      </c>
      <c r="AL71">
        <v>0.226994</v>
      </c>
      <c r="AM71">
        <v>9.2778299999999998</v>
      </c>
      <c r="AN71">
        <v>32.4878</v>
      </c>
      <c r="AO71">
        <v>23.469899999999999</v>
      </c>
      <c r="AP71">
        <v>18.928899999999999</v>
      </c>
      <c r="AQ71">
        <v>13.1228</v>
      </c>
      <c r="AR71">
        <v>2.7127599999999998</v>
      </c>
      <c r="AS71">
        <v>0.22746</v>
      </c>
      <c r="AT71">
        <v>0.90918100000000002</v>
      </c>
      <c r="AU71">
        <v>8.2232800000000008</v>
      </c>
      <c r="AV71">
        <v>34.6967</v>
      </c>
      <c r="AW71">
        <v>41.636299999999999</v>
      </c>
      <c r="AX71">
        <v>11.9031</v>
      </c>
      <c r="AY71">
        <v>2.6314500000000001</v>
      </c>
      <c r="AZ71">
        <v>753.30700000000002</v>
      </c>
      <c r="BA71">
        <v>824.399</v>
      </c>
      <c r="BB71">
        <v>18480.3</v>
      </c>
      <c r="BC71">
        <v>0.24512</v>
      </c>
      <c r="BD71">
        <v>6.8989300000000003E-2</v>
      </c>
      <c r="BE71">
        <v>0.32769900000000002</v>
      </c>
      <c r="BF71">
        <v>0.79584100000000002</v>
      </c>
      <c r="BG71">
        <v>7.9386999999999999</v>
      </c>
      <c r="BH71">
        <v>35.3977</v>
      </c>
      <c r="BI71">
        <v>55.4711</v>
      </c>
      <c r="BJ71">
        <v>30.3644</v>
      </c>
      <c r="BK71">
        <v>0</v>
      </c>
      <c r="BL71">
        <v>37.249299999999998</v>
      </c>
      <c r="BM71">
        <v>56.178199999999997</v>
      </c>
      <c r="BN71">
        <v>4.7122200000000003</v>
      </c>
      <c r="BO71">
        <v>0.99664900000000001</v>
      </c>
      <c r="BP71">
        <v>0.86359799999999998</v>
      </c>
      <c r="BQ71">
        <v>32.301699999999997</v>
      </c>
      <c r="BR71">
        <v>81172</v>
      </c>
    </row>
    <row r="72" spans="1:70" x14ac:dyDescent="0.25">
      <c r="A72">
        <v>34</v>
      </c>
      <c r="B72" s="7">
        <v>46013.595173611109</v>
      </c>
      <c r="C72" t="s">
        <v>115</v>
      </c>
      <c r="D72" s="6" t="s">
        <v>247</v>
      </c>
      <c r="E72" s="6" t="str">
        <f>VLOOKUP(F72,Germplasm!$A$1:$B$21,2,FALSE)</f>
        <v>Helium</v>
      </c>
      <c r="F72" t="s">
        <v>76</v>
      </c>
      <c r="G72" s="6" t="s">
        <v>113</v>
      </c>
      <c r="H72">
        <v>31116.1</v>
      </c>
      <c r="I72">
        <v>608.04600000000005</v>
      </c>
      <c r="J72">
        <v>174917</v>
      </c>
      <c r="K72">
        <v>9.34023</v>
      </c>
      <c r="L72">
        <v>56.841999999999999</v>
      </c>
      <c r="M72">
        <v>1750.01</v>
      </c>
      <c r="N72">
        <v>732.78800000000001</v>
      </c>
      <c r="O72">
        <v>23126800</v>
      </c>
      <c r="P72">
        <v>1.8819900000000001E-2</v>
      </c>
      <c r="Q72">
        <v>1.8113900000000001</v>
      </c>
      <c r="R72">
        <v>35.591999999999999</v>
      </c>
      <c r="S72">
        <v>55.607599999999998</v>
      </c>
      <c r="T72">
        <v>5.8514200000000001</v>
      </c>
      <c r="U72">
        <v>1.0713299999999999</v>
      </c>
      <c r="V72">
        <v>6.6253199999999998E-2</v>
      </c>
      <c r="W72">
        <v>37.944600000000001</v>
      </c>
      <c r="X72">
        <v>18.8962</v>
      </c>
      <c r="Y72">
        <v>51.622500000000002</v>
      </c>
      <c r="Z72">
        <v>11.7127</v>
      </c>
      <c r="AA72">
        <v>5.4031599999999997</v>
      </c>
      <c r="AB72">
        <v>2.2667000000000002</v>
      </c>
      <c r="AC72">
        <v>10.098699999999999</v>
      </c>
      <c r="AD72">
        <v>1.90456</v>
      </c>
      <c r="AE72">
        <v>14.699199999999999</v>
      </c>
      <c r="AF72">
        <v>0</v>
      </c>
      <c r="AG72">
        <v>86.401200000000003</v>
      </c>
      <c r="AH72">
        <v>13.4466</v>
      </c>
      <c r="AI72">
        <v>0.149422</v>
      </c>
      <c r="AJ72">
        <v>2.81928E-3</v>
      </c>
      <c r="AK72">
        <v>0</v>
      </c>
      <c r="AL72">
        <v>0.112842</v>
      </c>
      <c r="AM72">
        <v>16.6267</v>
      </c>
      <c r="AN72">
        <v>52.335799999999999</v>
      </c>
      <c r="AO72">
        <v>20.986699999999999</v>
      </c>
      <c r="AP72">
        <v>6.9650400000000001</v>
      </c>
      <c r="AQ72">
        <v>2.2751600000000001</v>
      </c>
      <c r="AR72">
        <v>0.81054400000000004</v>
      </c>
      <c r="AS72">
        <v>0.25156600000000001</v>
      </c>
      <c r="AT72">
        <v>1.17</v>
      </c>
      <c r="AU72">
        <v>5.5709099999999996</v>
      </c>
      <c r="AV72">
        <v>28.517099999999999</v>
      </c>
      <c r="AW72">
        <v>50.627299999999998</v>
      </c>
      <c r="AX72">
        <v>10.997999999999999</v>
      </c>
      <c r="AY72">
        <v>3.1167199999999999</v>
      </c>
      <c r="AZ72">
        <v>743.24199999999996</v>
      </c>
      <c r="BA72">
        <v>830.99900000000002</v>
      </c>
      <c r="BB72">
        <v>16337.7</v>
      </c>
      <c r="BC72">
        <v>0.30653000000000002</v>
      </c>
      <c r="BD72">
        <v>0.20580799999999999</v>
      </c>
      <c r="BE72">
        <v>0.53989299999999996</v>
      </c>
      <c r="BF72">
        <v>1.2771399999999999</v>
      </c>
      <c r="BG72">
        <v>4.7166600000000001</v>
      </c>
      <c r="BH72">
        <v>16.564699999999998</v>
      </c>
      <c r="BI72">
        <v>76.695800000000006</v>
      </c>
      <c r="BJ72">
        <v>28.1691</v>
      </c>
      <c r="BK72">
        <v>0</v>
      </c>
      <c r="BL72">
        <v>45.950099999999999</v>
      </c>
      <c r="BM72">
        <v>47.738900000000001</v>
      </c>
      <c r="BN72">
        <v>4.3924399999999997</v>
      </c>
      <c r="BO72">
        <v>1.1093900000000001</v>
      </c>
      <c r="BP72">
        <v>0.80913400000000002</v>
      </c>
      <c r="BQ72">
        <v>31.691800000000001</v>
      </c>
      <c r="BR72">
        <v>70940</v>
      </c>
    </row>
    <row r="73" spans="1:70" x14ac:dyDescent="0.25">
      <c r="A73">
        <v>34</v>
      </c>
      <c r="B73" s="7">
        <v>46024.544074074074</v>
      </c>
      <c r="C73" t="s">
        <v>115</v>
      </c>
      <c r="D73" s="6" t="s">
        <v>248</v>
      </c>
      <c r="E73" s="6" t="str">
        <f>VLOOKUP(F73,Germplasm!$A$1:$B$21,2,FALSE)</f>
        <v>Helium</v>
      </c>
      <c r="F73" t="s">
        <v>76</v>
      </c>
      <c r="G73" s="6" t="s">
        <v>113</v>
      </c>
      <c r="H73">
        <v>36797.800000000003</v>
      </c>
      <c r="I73">
        <v>582.92399999999998</v>
      </c>
      <c r="J73">
        <v>194361</v>
      </c>
      <c r="K73">
        <v>10.393000000000001</v>
      </c>
      <c r="L73">
        <v>76.908299999999997</v>
      </c>
      <c r="M73">
        <v>1680.67</v>
      </c>
      <c r="N73">
        <v>586.50099999999998</v>
      </c>
      <c r="O73">
        <v>26731700</v>
      </c>
      <c r="P73">
        <v>7.1797099999999997E-3</v>
      </c>
      <c r="Q73">
        <v>1.3897999999999999</v>
      </c>
      <c r="R73">
        <v>38.424399999999999</v>
      </c>
      <c r="S73">
        <v>57.624400000000001</v>
      </c>
      <c r="T73">
        <v>2.2492899999999998</v>
      </c>
      <c r="U73">
        <v>0.288933</v>
      </c>
      <c r="V73">
        <v>2.3163400000000001E-2</v>
      </c>
      <c r="W73">
        <v>34.8733</v>
      </c>
      <c r="X73">
        <v>20.343499999999999</v>
      </c>
      <c r="Y73">
        <v>56.526000000000003</v>
      </c>
      <c r="Z73">
        <v>9.1532</v>
      </c>
      <c r="AA73">
        <v>3.23678</v>
      </c>
      <c r="AB73">
        <v>1.4154</v>
      </c>
      <c r="AC73">
        <v>9.3250899999999994</v>
      </c>
      <c r="AD73">
        <v>1.82168</v>
      </c>
      <c r="AE73">
        <v>16.5291</v>
      </c>
      <c r="AF73">
        <v>0</v>
      </c>
      <c r="AG73">
        <v>82.426299999999998</v>
      </c>
      <c r="AH73">
        <v>17.463999999999999</v>
      </c>
      <c r="AI73">
        <v>8.5338800000000006E-2</v>
      </c>
      <c r="AJ73">
        <v>2.4382500000000001E-2</v>
      </c>
      <c r="AK73">
        <v>0</v>
      </c>
      <c r="AL73">
        <v>8.1159599999999998E-2</v>
      </c>
      <c r="AM73">
        <v>20.427700000000002</v>
      </c>
      <c r="AN73">
        <v>57.9499</v>
      </c>
      <c r="AO73">
        <v>16.469200000000001</v>
      </c>
      <c r="AP73">
        <v>3.78782</v>
      </c>
      <c r="AQ73">
        <v>1.0643</v>
      </c>
      <c r="AR73">
        <v>0.301124</v>
      </c>
      <c r="AS73">
        <v>0.24075099999999999</v>
      </c>
      <c r="AT73">
        <v>0.96310899999999999</v>
      </c>
      <c r="AU73">
        <v>4.9106399999999999</v>
      </c>
      <c r="AV73">
        <v>30.604900000000001</v>
      </c>
      <c r="AW73">
        <v>53.384300000000003</v>
      </c>
      <c r="AX73">
        <v>7.8645800000000001</v>
      </c>
      <c r="AY73">
        <v>2.2724500000000001</v>
      </c>
      <c r="AZ73">
        <v>726.44799999999998</v>
      </c>
      <c r="BA73">
        <v>805.79899999999998</v>
      </c>
      <c r="BB73">
        <v>20199.900000000001</v>
      </c>
      <c r="BC73">
        <v>0.31483699999999998</v>
      </c>
      <c r="BD73">
        <v>0.19018399999999999</v>
      </c>
      <c r="BE73">
        <v>0.54251099999999997</v>
      </c>
      <c r="BF73">
        <v>1.1215999999999999</v>
      </c>
      <c r="BG73">
        <v>4.0194599999999996</v>
      </c>
      <c r="BH73">
        <v>13.9712</v>
      </c>
      <c r="BI73">
        <v>80.155100000000004</v>
      </c>
      <c r="BJ73">
        <v>26.302800000000001</v>
      </c>
      <c r="BK73">
        <v>0</v>
      </c>
      <c r="BL73">
        <v>51.182600000000001</v>
      </c>
      <c r="BM73">
        <v>44.556600000000003</v>
      </c>
      <c r="BN73">
        <v>2.9234599999999999</v>
      </c>
      <c r="BO73">
        <v>0.79974599999999996</v>
      </c>
      <c r="BP73">
        <v>0.53763399999999995</v>
      </c>
      <c r="BQ73">
        <v>33.323500000000003</v>
      </c>
      <c r="BR73">
        <v>82026</v>
      </c>
    </row>
    <row r="74" spans="1:70" x14ac:dyDescent="0.25">
      <c r="A74">
        <v>34</v>
      </c>
      <c r="B74" s="7">
        <v>45952.538090277776</v>
      </c>
      <c r="C74" t="s">
        <v>114</v>
      </c>
      <c r="D74" s="6" t="s">
        <v>240</v>
      </c>
      <c r="E74" s="6" t="str">
        <f>VLOOKUP(F74,Germplasm!$A$1:$B$21,2,FALSE)</f>
        <v>Heder</v>
      </c>
      <c r="F74" t="s">
        <v>77</v>
      </c>
      <c r="G74" s="6" t="s">
        <v>113</v>
      </c>
      <c r="H74">
        <v>28982.400000000001</v>
      </c>
      <c r="I74">
        <v>225.93899999999999</v>
      </c>
      <c r="J74">
        <v>112928</v>
      </c>
      <c r="K74">
        <v>14.9864</v>
      </c>
      <c r="L74">
        <v>84.790199999999999</v>
      </c>
      <c r="M74">
        <v>1278.33</v>
      </c>
      <c r="N74">
        <v>454.42</v>
      </c>
      <c r="O74">
        <v>8056570</v>
      </c>
      <c r="P74">
        <v>0.257241</v>
      </c>
      <c r="Q74">
        <v>0.41485100000000003</v>
      </c>
      <c r="R74">
        <v>3.2302900000000001</v>
      </c>
      <c r="S74">
        <v>16.173999999999999</v>
      </c>
      <c r="T74">
        <v>41.426099999999998</v>
      </c>
      <c r="U74">
        <v>38.253100000000003</v>
      </c>
      <c r="V74">
        <v>0.50163999999999997</v>
      </c>
      <c r="W74">
        <v>115.48699999999999</v>
      </c>
      <c r="X74">
        <v>0.71861299999999995</v>
      </c>
      <c r="Y74">
        <v>1.62643</v>
      </c>
      <c r="Z74">
        <v>3.3865099999999999</v>
      </c>
      <c r="AA74">
        <v>18.590199999999999</v>
      </c>
      <c r="AB74">
        <v>43.017800000000001</v>
      </c>
      <c r="AC74">
        <v>32.660400000000003</v>
      </c>
      <c r="AD74">
        <v>1.71252</v>
      </c>
      <c r="AE74">
        <v>6.7502199999999997</v>
      </c>
      <c r="AF74">
        <v>0</v>
      </c>
      <c r="AG74">
        <v>99.961799999999997</v>
      </c>
      <c r="AH74">
        <v>2.6036699999999999E-2</v>
      </c>
      <c r="AI74">
        <v>1.0414700000000001E-2</v>
      </c>
      <c r="AJ74">
        <v>1.7357799999999999E-3</v>
      </c>
      <c r="AK74">
        <v>0</v>
      </c>
      <c r="AL74">
        <v>0.53869500000000003</v>
      </c>
      <c r="AM74">
        <v>0.38187199999999999</v>
      </c>
      <c r="AN74">
        <v>2.0655800000000002</v>
      </c>
      <c r="AO74">
        <v>4.5720400000000003</v>
      </c>
      <c r="AP74">
        <v>14.191700000000001</v>
      </c>
      <c r="AQ74">
        <v>41.137999999999998</v>
      </c>
      <c r="AR74">
        <v>37.650799999999997</v>
      </c>
      <c r="AS74">
        <v>5.4257E-2</v>
      </c>
      <c r="AT74">
        <v>6.4692499999999997</v>
      </c>
      <c r="AU74">
        <v>32.281999999999996</v>
      </c>
      <c r="AV74">
        <v>43.083799999999997</v>
      </c>
      <c r="AW74">
        <v>13.9383</v>
      </c>
      <c r="AX74">
        <v>2.9247899999999998</v>
      </c>
      <c r="AY74">
        <v>1.30183</v>
      </c>
      <c r="AZ74">
        <v>277.98099999999999</v>
      </c>
      <c r="BA74">
        <v>296.399</v>
      </c>
      <c r="BB74">
        <v>16923.900000000001</v>
      </c>
      <c r="BC74">
        <v>1.7784500000000002E-2</v>
      </c>
      <c r="BD74">
        <v>1.73578E-2</v>
      </c>
      <c r="BE74">
        <v>0.53982699999999995</v>
      </c>
      <c r="BF74">
        <v>2.8484099999999999</v>
      </c>
      <c r="BG74">
        <v>35.345700000000001</v>
      </c>
      <c r="BH74">
        <v>57.266800000000003</v>
      </c>
      <c r="BI74">
        <v>3.9818799999999999</v>
      </c>
      <c r="BJ74">
        <v>34.049900000000001</v>
      </c>
      <c r="BK74">
        <v>0</v>
      </c>
      <c r="BL74">
        <v>27.756900000000002</v>
      </c>
      <c r="BM74">
        <v>59.637900000000002</v>
      </c>
      <c r="BN74">
        <v>11.2201</v>
      </c>
      <c r="BO74">
        <v>1.0258499999999999</v>
      </c>
      <c r="BP74">
        <v>0.35930600000000001</v>
      </c>
      <c r="BQ74">
        <v>35.753599999999999</v>
      </c>
      <c r="BR74">
        <v>57611</v>
      </c>
    </row>
    <row r="75" spans="1:70" x14ac:dyDescent="0.25">
      <c r="A75">
        <v>34</v>
      </c>
      <c r="B75" s="7">
        <v>45959.514710648145</v>
      </c>
      <c r="C75" t="s">
        <v>114</v>
      </c>
      <c r="D75" s="6" t="s">
        <v>241</v>
      </c>
      <c r="E75" s="6" t="str">
        <f>VLOOKUP(F75,Germplasm!$A$1:$B$21,2,FALSE)</f>
        <v>Heder</v>
      </c>
      <c r="F75" t="s">
        <v>77</v>
      </c>
      <c r="G75" s="6" t="s">
        <v>113</v>
      </c>
      <c r="H75">
        <v>39865.300000000003</v>
      </c>
      <c r="I75">
        <v>342.90100000000001</v>
      </c>
      <c r="J75">
        <v>120654</v>
      </c>
      <c r="K75">
        <v>18.418399999999998</v>
      </c>
      <c r="L75">
        <v>73.660799999999995</v>
      </c>
      <c r="M75">
        <v>1311.22</v>
      </c>
      <c r="N75">
        <v>466.41199999999998</v>
      </c>
      <c r="O75">
        <v>16637500</v>
      </c>
      <c r="P75">
        <v>0.232519</v>
      </c>
      <c r="Q75">
        <v>0.66033200000000003</v>
      </c>
      <c r="R75">
        <v>3.47052</v>
      </c>
      <c r="S75">
        <v>20.428699999999999</v>
      </c>
      <c r="T75">
        <v>45.853999999999999</v>
      </c>
      <c r="U75">
        <v>28.577000000000002</v>
      </c>
      <c r="V75">
        <v>1.0094000000000001</v>
      </c>
      <c r="W75">
        <v>123.554</v>
      </c>
      <c r="X75">
        <v>0.74854500000000002</v>
      </c>
      <c r="Y75">
        <v>1.3950100000000001</v>
      </c>
      <c r="Z75">
        <v>3.0168599999999999</v>
      </c>
      <c r="AA75">
        <v>13.691800000000001</v>
      </c>
      <c r="AB75">
        <v>34.348599999999998</v>
      </c>
      <c r="AC75">
        <v>46.799199999999999</v>
      </c>
      <c r="AD75">
        <v>1.7939099999999999</v>
      </c>
      <c r="AE75">
        <v>6.2690200000000003</v>
      </c>
      <c r="AF75">
        <v>0</v>
      </c>
      <c r="AG75">
        <v>99.929400000000001</v>
      </c>
      <c r="AH75">
        <v>6.9309700000000002E-2</v>
      </c>
      <c r="AI75">
        <v>1.2601800000000001E-3</v>
      </c>
      <c r="AJ75">
        <v>0</v>
      </c>
      <c r="AK75">
        <v>0</v>
      </c>
      <c r="AL75">
        <v>0.54033799999999998</v>
      </c>
      <c r="AM75">
        <v>0.27345799999999998</v>
      </c>
      <c r="AN75">
        <v>1.72644</v>
      </c>
      <c r="AO75">
        <v>4.4522000000000004</v>
      </c>
      <c r="AP75">
        <v>15.713100000000001</v>
      </c>
      <c r="AQ75">
        <v>40.794400000000003</v>
      </c>
      <c r="AR75">
        <v>37.040399999999998</v>
      </c>
      <c r="AS75">
        <v>8.2517800000000002E-3</v>
      </c>
      <c r="AT75">
        <v>10.6699</v>
      </c>
      <c r="AU75">
        <v>41.811399999999999</v>
      </c>
      <c r="AV75">
        <v>34.599400000000003</v>
      </c>
      <c r="AW75">
        <v>8.8792000000000009</v>
      </c>
      <c r="AX75">
        <v>2.1750600000000002</v>
      </c>
      <c r="AY75">
        <v>1.8650599999999999</v>
      </c>
      <c r="AZ75">
        <v>417.34399999999999</v>
      </c>
      <c r="BA75">
        <v>463.8</v>
      </c>
      <c r="BB75">
        <v>22222.5</v>
      </c>
      <c r="BC75">
        <v>-1.1979099999999999E-2</v>
      </c>
      <c r="BD75">
        <v>7.8130900000000003E-2</v>
      </c>
      <c r="BE75">
        <v>0.706959</v>
      </c>
      <c r="BF75">
        <v>4.6588700000000003</v>
      </c>
      <c r="BG75">
        <v>47.037300000000002</v>
      </c>
      <c r="BH75">
        <v>44.1616</v>
      </c>
      <c r="BI75">
        <v>3.35711</v>
      </c>
      <c r="BJ75">
        <v>32.110100000000003</v>
      </c>
      <c r="BK75">
        <v>0</v>
      </c>
      <c r="BL75">
        <v>34.290599999999998</v>
      </c>
      <c r="BM75">
        <v>55.588900000000002</v>
      </c>
      <c r="BN75">
        <v>7.8458600000000001</v>
      </c>
      <c r="BO75">
        <v>1.36477</v>
      </c>
      <c r="BP75">
        <v>0.90984699999999996</v>
      </c>
      <c r="BQ75">
        <v>33.911299999999997</v>
      </c>
      <c r="BR75">
        <v>79354</v>
      </c>
    </row>
    <row r="76" spans="1:70" x14ac:dyDescent="0.25">
      <c r="A76">
        <v>34</v>
      </c>
      <c r="B76" s="7">
        <v>45966.5705787037</v>
      </c>
      <c r="C76" t="s">
        <v>114</v>
      </c>
      <c r="D76" s="6" t="s">
        <v>242</v>
      </c>
      <c r="E76" s="6" t="str">
        <f>VLOOKUP(F76,Germplasm!$A$1:$B$21,2,FALSE)</f>
        <v>Heder</v>
      </c>
      <c r="F76" t="s">
        <v>77</v>
      </c>
      <c r="G76" s="6" t="s">
        <v>113</v>
      </c>
      <c r="H76">
        <v>42309.9</v>
      </c>
      <c r="I76">
        <v>485.82799999999997</v>
      </c>
      <c r="J76">
        <v>150007</v>
      </c>
      <c r="K76">
        <v>16.958600000000001</v>
      </c>
      <c r="L76">
        <v>61.485700000000001</v>
      </c>
      <c r="M76">
        <v>1500.84</v>
      </c>
      <c r="N76">
        <v>568.23199999999997</v>
      </c>
      <c r="O76">
        <v>24608500</v>
      </c>
      <c r="P76">
        <v>0.24210499999999999</v>
      </c>
      <c r="Q76">
        <v>0.44643300000000002</v>
      </c>
      <c r="R76">
        <v>2.6203699999999999</v>
      </c>
      <c r="S76">
        <v>16.7652</v>
      </c>
      <c r="T76">
        <v>49.445799999999998</v>
      </c>
      <c r="U76">
        <v>30.0929</v>
      </c>
      <c r="V76">
        <v>0.629297</v>
      </c>
      <c r="W76">
        <v>119.61</v>
      </c>
      <c r="X76">
        <v>0.61397299999999999</v>
      </c>
      <c r="Y76">
        <v>1.0634699999999999</v>
      </c>
      <c r="Z76">
        <v>2.6847300000000001</v>
      </c>
      <c r="AA76">
        <v>14.523899999999999</v>
      </c>
      <c r="AB76">
        <v>41.328299999999999</v>
      </c>
      <c r="AC76">
        <v>39.785699999999999</v>
      </c>
      <c r="AD76">
        <v>1.6631899999999999</v>
      </c>
      <c r="AE76">
        <v>6.8974299999999999</v>
      </c>
      <c r="AF76">
        <v>0</v>
      </c>
      <c r="AG76">
        <v>99.926400000000001</v>
      </c>
      <c r="AH76">
        <v>7.35542E-2</v>
      </c>
      <c r="AI76">
        <v>0</v>
      </c>
      <c r="AJ76">
        <v>0</v>
      </c>
      <c r="AK76">
        <v>0</v>
      </c>
      <c r="AL76">
        <v>0.53231300000000004</v>
      </c>
      <c r="AM76">
        <v>0.42804500000000001</v>
      </c>
      <c r="AN76">
        <v>1.9532700000000001</v>
      </c>
      <c r="AO76">
        <v>4.6063299999999998</v>
      </c>
      <c r="AP76">
        <v>14.226599999999999</v>
      </c>
      <c r="AQ76">
        <v>44.715800000000002</v>
      </c>
      <c r="AR76">
        <v>34.069899999999997</v>
      </c>
      <c r="AS76">
        <v>2.4328099999999998E-2</v>
      </c>
      <c r="AT76">
        <v>6.0620900000000004</v>
      </c>
      <c r="AU76">
        <v>40.753100000000003</v>
      </c>
      <c r="AV76">
        <v>41.539700000000003</v>
      </c>
      <c r="AW76">
        <v>8.5935799999999993</v>
      </c>
      <c r="AX76">
        <v>1.79697</v>
      </c>
      <c r="AY76">
        <v>1.25451</v>
      </c>
      <c r="AZ76">
        <v>581.62400000000002</v>
      </c>
      <c r="BA76">
        <v>597.60199999999998</v>
      </c>
      <c r="BB76">
        <v>25439.1</v>
      </c>
      <c r="BC76">
        <v>3.5971800000000002E-3</v>
      </c>
      <c r="BD76">
        <v>6.6403100000000007E-2</v>
      </c>
      <c r="BE76">
        <v>0.44541199999999997</v>
      </c>
      <c r="BF76">
        <v>2.5590700000000002</v>
      </c>
      <c r="BG76">
        <v>43.743299999999998</v>
      </c>
      <c r="BH76">
        <v>49.832999999999998</v>
      </c>
      <c r="BI76">
        <v>3.3528500000000001</v>
      </c>
      <c r="BJ76">
        <v>31.47</v>
      </c>
      <c r="BK76">
        <v>0</v>
      </c>
      <c r="BL76">
        <v>33.107599999999998</v>
      </c>
      <c r="BM76">
        <v>58.855600000000003</v>
      </c>
      <c r="BN76">
        <v>6.5943399999999999</v>
      </c>
      <c r="BO76">
        <v>0.86732699999999996</v>
      </c>
      <c r="BP76">
        <v>0.57515300000000003</v>
      </c>
      <c r="BQ76">
        <v>36.998699999999999</v>
      </c>
      <c r="BR76">
        <v>97887</v>
      </c>
    </row>
    <row r="77" spans="1:70" x14ac:dyDescent="0.25">
      <c r="A77">
        <v>34</v>
      </c>
      <c r="B77" s="7">
        <v>45973.550416666665</v>
      </c>
      <c r="C77" t="s">
        <v>114</v>
      </c>
      <c r="D77" s="6" t="s">
        <v>243</v>
      </c>
      <c r="E77" s="6" t="str">
        <f>VLOOKUP(F77,Germplasm!$A$1:$B$21,2,FALSE)</f>
        <v>Heder</v>
      </c>
      <c r="F77" t="s">
        <v>77</v>
      </c>
      <c r="G77" s="6" t="s">
        <v>113</v>
      </c>
      <c r="H77">
        <v>36993.1</v>
      </c>
      <c r="I77">
        <v>495.17099999999999</v>
      </c>
      <c r="J77">
        <v>118778</v>
      </c>
      <c r="K77">
        <v>17.436399999999999</v>
      </c>
      <c r="L77">
        <v>52.912799999999997</v>
      </c>
      <c r="M77">
        <v>1430.6</v>
      </c>
      <c r="N77">
        <v>547.726</v>
      </c>
      <c r="O77">
        <v>21148800</v>
      </c>
      <c r="P77">
        <v>0.22186800000000001</v>
      </c>
      <c r="Q77">
        <v>0.51009800000000005</v>
      </c>
      <c r="R77">
        <v>3.5380699999999998</v>
      </c>
      <c r="S77">
        <v>20.962299999999999</v>
      </c>
      <c r="T77">
        <v>50.079599999999999</v>
      </c>
      <c r="U77">
        <v>24.326799999999999</v>
      </c>
      <c r="V77">
        <v>0.58315499999999998</v>
      </c>
      <c r="W77">
        <v>116.21599999999999</v>
      </c>
      <c r="X77">
        <v>1.0854299999999999</v>
      </c>
      <c r="Y77">
        <v>2.5152600000000001</v>
      </c>
      <c r="Z77">
        <v>4.2399399999999998</v>
      </c>
      <c r="AA77">
        <v>18.13</v>
      </c>
      <c r="AB77">
        <v>36.293900000000001</v>
      </c>
      <c r="AC77">
        <v>37.735500000000002</v>
      </c>
      <c r="AD77">
        <v>1.7861899999999999</v>
      </c>
      <c r="AE77">
        <v>7.5560799999999997</v>
      </c>
      <c r="AF77">
        <v>0</v>
      </c>
      <c r="AG77">
        <v>99.733900000000006</v>
      </c>
      <c r="AH77">
        <v>0.26613799999999999</v>
      </c>
      <c r="AI77">
        <v>0</v>
      </c>
      <c r="AJ77">
        <v>0</v>
      </c>
      <c r="AK77">
        <v>0</v>
      </c>
      <c r="AL77">
        <v>0.47741499999999998</v>
      </c>
      <c r="AM77">
        <v>0.77232199999999995</v>
      </c>
      <c r="AN77">
        <v>4.3469199999999999</v>
      </c>
      <c r="AO77">
        <v>8.7890700000000006</v>
      </c>
      <c r="AP77">
        <v>20.202999999999999</v>
      </c>
      <c r="AQ77">
        <v>44.665500000000002</v>
      </c>
      <c r="AR77">
        <v>21.223199999999999</v>
      </c>
      <c r="AS77">
        <v>4.7774400000000002E-2</v>
      </c>
      <c r="AT77">
        <v>5.2496999999999998</v>
      </c>
      <c r="AU77">
        <v>37.734200000000001</v>
      </c>
      <c r="AV77">
        <v>40.297699999999999</v>
      </c>
      <c r="AW77">
        <v>12.3193</v>
      </c>
      <c r="AX77">
        <v>2.8675099999999998</v>
      </c>
      <c r="AY77">
        <v>1.5316000000000001</v>
      </c>
      <c r="AZ77">
        <v>571.69500000000005</v>
      </c>
      <c r="BA77">
        <v>622.79899999999998</v>
      </c>
      <c r="BB77">
        <v>20710.599999999999</v>
      </c>
      <c r="BC77">
        <v>2.6179000000000001E-2</v>
      </c>
      <c r="BD77">
        <v>5.2183899999999998E-2</v>
      </c>
      <c r="BE77">
        <v>0.375724</v>
      </c>
      <c r="BF77">
        <v>2.8035800000000002</v>
      </c>
      <c r="BG77">
        <v>39.751100000000001</v>
      </c>
      <c r="BH77">
        <v>48.349699999999999</v>
      </c>
      <c r="BI77">
        <v>8.6677499999999998</v>
      </c>
      <c r="BJ77">
        <v>30.632300000000001</v>
      </c>
      <c r="BK77">
        <v>0</v>
      </c>
      <c r="BL77">
        <v>36.196100000000001</v>
      </c>
      <c r="BM77">
        <v>55.962000000000003</v>
      </c>
      <c r="BN77">
        <v>6.3559999999999999</v>
      </c>
      <c r="BO77">
        <v>1.00193</v>
      </c>
      <c r="BP77">
        <v>0.48400599999999999</v>
      </c>
      <c r="BQ77">
        <v>34.076700000000002</v>
      </c>
      <c r="BR77">
        <v>76652</v>
      </c>
    </row>
    <row r="78" spans="1:70" x14ac:dyDescent="0.25">
      <c r="A78">
        <v>34</v>
      </c>
      <c r="B78" s="7">
        <v>45988.530023148145</v>
      </c>
      <c r="C78" t="s">
        <v>114</v>
      </c>
      <c r="D78" s="6" t="s">
        <v>244</v>
      </c>
      <c r="E78" s="6" t="str">
        <f>VLOOKUP(F78,Germplasm!$A$1:$B$21,2,FALSE)</f>
        <v>Heder</v>
      </c>
      <c r="F78" t="s">
        <v>77</v>
      </c>
      <c r="G78" s="6" t="s">
        <v>113</v>
      </c>
      <c r="H78">
        <v>27262.1</v>
      </c>
      <c r="I78">
        <v>500.27600000000001</v>
      </c>
      <c r="J78">
        <v>134877</v>
      </c>
      <c r="K78">
        <v>10.934799999999999</v>
      </c>
      <c r="L78">
        <v>53.313800000000001</v>
      </c>
      <c r="M78">
        <v>1452.02</v>
      </c>
      <c r="N78">
        <v>574.44899999999996</v>
      </c>
      <c r="O78">
        <v>16540900</v>
      </c>
      <c r="P78">
        <v>0.14385100000000001</v>
      </c>
      <c r="Q78">
        <v>1.52749</v>
      </c>
      <c r="R78">
        <v>15.0467</v>
      </c>
      <c r="S78">
        <v>32.402200000000001</v>
      </c>
      <c r="T78">
        <v>38.895299999999999</v>
      </c>
      <c r="U78">
        <v>11.3371</v>
      </c>
      <c r="V78">
        <v>0.79123200000000005</v>
      </c>
      <c r="W78">
        <v>94.946299999999994</v>
      </c>
      <c r="X78">
        <v>9.1016600000000007</v>
      </c>
      <c r="Y78">
        <v>12.743</v>
      </c>
      <c r="Z78">
        <v>7.1943799999999998</v>
      </c>
      <c r="AA78">
        <v>17.1023</v>
      </c>
      <c r="AB78">
        <v>23.953499999999998</v>
      </c>
      <c r="AC78">
        <v>29.905200000000001</v>
      </c>
      <c r="AD78">
        <v>1.84846</v>
      </c>
      <c r="AE78">
        <v>9.1112699999999993</v>
      </c>
      <c r="AF78">
        <v>0</v>
      </c>
      <c r="AG78">
        <v>97.614599999999996</v>
      </c>
      <c r="AH78">
        <v>2.37703</v>
      </c>
      <c r="AI78">
        <v>8.3287499999999993E-3</v>
      </c>
      <c r="AJ78">
        <v>0</v>
      </c>
      <c r="AK78">
        <v>0</v>
      </c>
      <c r="AL78">
        <v>0.35326800000000003</v>
      </c>
      <c r="AM78">
        <v>3.7246199999999998</v>
      </c>
      <c r="AN78">
        <v>18.821300000000001</v>
      </c>
      <c r="AO78">
        <v>16.137799999999999</v>
      </c>
      <c r="AP78">
        <v>23.528700000000001</v>
      </c>
      <c r="AQ78">
        <v>26.127300000000002</v>
      </c>
      <c r="AR78">
        <v>11.660299999999999</v>
      </c>
      <c r="AS78">
        <v>0.12102</v>
      </c>
      <c r="AT78">
        <v>3.3398300000000001</v>
      </c>
      <c r="AU78">
        <v>28.2361</v>
      </c>
      <c r="AV78">
        <v>36.981299999999997</v>
      </c>
      <c r="AW78">
        <v>22.331099999999999</v>
      </c>
      <c r="AX78">
        <v>5.8018099999999997</v>
      </c>
      <c r="AY78">
        <v>3.30985</v>
      </c>
      <c r="AZ78">
        <v>606.73400000000004</v>
      </c>
      <c r="BA78">
        <v>749.399</v>
      </c>
      <c r="BB78">
        <v>14748.6</v>
      </c>
      <c r="BC78">
        <v>0.108766</v>
      </c>
      <c r="BD78">
        <v>8.4953299999999995E-2</v>
      </c>
      <c r="BE78">
        <v>0.491396</v>
      </c>
      <c r="BF78">
        <v>2.4803000000000002</v>
      </c>
      <c r="BG78">
        <v>28.519300000000001</v>
      </c>
      <c r="BH78">
        <v>40.794199999999996</v>
      </c>
      <c r="BI78">
        <v>27.629799999999999</v>
      </c>
      <c r="BJ78">
        <v>29.296399999999998</v>
      </c>
      <c r="BK78">
        <v>0</v>
      </c>
      <c r="BL78">
        <v>44.319000000000003</v>
      </c>
      <c r="BM78">
        <v>47.402299999999997</v>
      </c>
      <c r="BN78">
        <v>5.4619999999999997</v>
      </c>
      <c r="BO78">
        <v>1.69573</v>
      </c>
      <c r="BP78">
        <v>1.1210500000000001</v>
      </c>
      <c r="BQ78">
        <v>32.767899999999997</v>
      </c>
      <c r="BR78">
        <v>60033</v>
      </c>
    </row>
    <row r="79" spans="1:70" x14ac:dyDescent="0.25">
      <c r="A79">
        <v>34</v>
      </c>
      <c r="B79" s="7">
        <v>45994.535682870373</v>
      </c>
      <c r="C79" t="s">
        <v>114</v>
      </c>
      <c r="D79" s="6" t="s">
        <v>245</v>
      </c>
      <c r="E79" s="6" t="str">
        <f>VLOOKUP(F79,Germplasm!$A$1:$B$21,2,FALSE)</f>
        <v>Heder</v>
      </c>
      <c r="F79" t="s">
        <v>77</v>
      </c>
      <c r="G79" s="6" t="s">
        <v>113</v>
      </c>
      <c r="H79">
        <v>13100.2</v>
      </c>
      <c r="I79">
        <v>462.79500000000002</v>
      </c>
      <c r="J79">
        <v>71101.100000000006</v>
      </c>
      <c r="K79">
        <v>10.4185</v>
      </c>
      <c r="L79">
        <v>58.493000000000002</v>
      </c>
      <c r="M79">
        <v>1058.29</v>
      </c>
      <c r="N79">
        <v>392.24299999999999</v>
      </c>
      <c r="O79">
        <v>7381590</v>
      </c>
      <c r="P79">
        <v>0.133294</v>
      </c>
      <c r="Q79">
        <v>1.4837899999999999</v>
      </c>
      <c r="R79">
        <v>18.6084</v>
      </c>
      <c r="S79">
        <v>31.6328</v>
      </c>
      <c r="T79">
        <v>36.9756</v>
      </c>
      <c r="U79">
        <v>10.661300000000001</v>
      </c>
      <c r="V79">
        <v>0.63809000000000005</v>
      </c>
      <c r="W79">
        <v>79.321700000000007</v>
      </c>
      <c r="X79">
        <v>11.055099999999999</v>
      </c>
      <c r="Y79">
        <v>15.7294</v>
      </c>
      <c r="Z79">
        <v>11.8795</v>
      </c>
      <c r="AA79">
        <v>23.322299999999998</v>
      </c>
      <c r="AB79">
        <v>19.081600000000002</v>
      </c>
      <c r="AC79">
        <v>18.931999999999999</v>
      </c>
      <c r="AD79">
        <v>1.7684599999999999</v>
      </c>
      <c r="AE79">
        <v>10.1991</v>
      </c>
      <c r="AF79">
        <v>0</v>
      </c>
      <c r="AG79">
        <v>97.7316</v>
      </c>
      <c r="AH79">
        <v>2.2592699999999999</v>
      </c>
      <c r="AI79">
        <v>9.1591899999999993E-3</v>
      </c>
      <c r="AJ79">
        <v>0</v>
      </c>
      <c r="AK79">
        <v>0</v>
      </c>
      <c r="AL79">
        <v>0.286916</v>
      </c>
      <c r="AM79">
        <v>4.4727399999999999</v>
      </c>
      <c r="AN79">
        <v>24.494700000000002</v>
      </c>
      <c r="AO79">
        <v>24.290199999999999</v>
      </c>
      <c r="AP79">
        <v>23.9085</v>
      </c>
      <c r="AQ79">
        <v>18.184000000000001</v>
      </c>
      <c r="AR79">
        <v>4.6498100000000004</v>
      </c>
      <c r="AS79">
        <v>0.18374699999999999</v>
      </c>
      <c r="AT79">
        <v>1.88374</v>
      </c>
      <c r="AU79">
        <v>16.831499999999998</v>
      </c>
      <c r="AV79">
        <v>36.181800000000003</v>
      </c>
      <c r="AW79">
        <v>33.229500000000002</v>
      </c>
      <c r="AX79">
        <v>7.9165900000000002</v>
      </c>
      <c r="AY79">
        <v>3.9567700000000001</v>
      </c>
      <c r="AZ79">
        <v>563.47299999999996</v>
      </c>
      <c r="BA79">
        <v>609.59900000000005</v>
      </c>
      <c r="BB79">
        <v>7407.65</v>
      </c>
      <c r="BC79">
        <v>0.17172100000000001</v>
      </c>
      <c r="BD79">
        <v>2.7477600000000001E-2</v>
      </c>
      <c r="BE79">
        <v>0.335837</v>
      </c>
      <c r="BF79">
        <v>1.85626</v>
      </c>
      <c r="BG79">
        <v>16.495699999999999</v>
      </c>
      <c r="BH79">
        <v>38.657899999999998</v>
      </c>
      <c r="BI79">
        <v>42.626899999999999</v>
      </c>
      <c r="BJ79">
        <v>30.816400000000002</v>
      </c>
      <c r="BK79">
        <v>0</v>
      </c>
      <c r="BL79">
        <v>39.613500000000002</v>
      </c>
      <c r="BM79">
        <v>50.0824</v>
      </c>
      <c r="BN79">
        <v>7.5288500000000003</v>
      </c>
      <c r="BO79">
        <v>2.0180699999999998</v>
      </c>
      <c r="BP79">
        <v>0.75715900000000003</v>
      </c>
      <c r="BQ79">
        <v>34.418599999999998</v>
      </c>
      <c r="BR79">
        <v>32754</v>
      </c>
    </row>
    <row r="80" spans="1:70" x14ac:dyDescent="0.25">
      <c r="A80">
        <v>34</v>
      </c>
      <c r="B80" s="7">
        <v>46002.581469907411</v>
      </c>
      <c r="C80" t="s">
        <v>114</v>
      </c>
      <c r="D80" s="6" t="s">
        <v>246</v>
      </c>
      <c r="E80" s="6" t="str">
        <f>VLOOKUP(F80,Germplasm!$A$1:$B$21,2,FALSE)</f>
        <v>Heder</v>
      </c>
      <c r="F80" t="s">
        <v>77</v>
      </c>
      <c r="G80" s="6" t="s">
        <v>113</v>
      </c>
      <c r="H80">
        <v>22657.7</v>
      </c>
      <c r="I80">
        <v>466.32799999999997</v>
      </c>
      <c r="J80">
        <v>68486</v>
      </c>
      <c r="K80">
        <v>17.739599999999999</v>
      </c>
      <c r="L80">
        <v>59.649000000000001</v>
      </c>
      <c r="M80">
        <v>1006.18</v>
      </c>
      <c r="N80">
        <v>405.27800000000002</v>
      </c>
      <c r="O80">
        <v>12664700</v>
      </c>
      <c r="P80">
        <v>9.0883699999999998E-2</v>
      </c>
      <c r="Q80">
        <v>0.94034700000000004</v>
      </c>
      <c r="R80">
        <v>20.802700000000002</v>
      </c>
      <c r="S80">
        <v>49.4604</v>
      </c>
      <c r="T80">
        <v>23.190999999999999</v>
      </c>
      <c r="U80">
        <v>5.44123</v>
      </c>
      <c r="V80">
        <v>0.16433300000000001</v>
      </c>
      <c r="W80">
        <v>53.582900000000002</v>
      </c>
      <c r="X80">
        <v>11.789899999999999</v>
      </c>
      <c r="Y80">
        <v>36.991300000000003</v>
      </c>
      <c r="Z80">
        <v>22.581099999999999</v>
      </c>
      <c r="AA80">
        <v>16.460599999999999</v>
      </c>
      <c r="AB80">
        <v>5.0833500000000003</v>
      </c>
      <c r="AC80">
        <v>7.0936899999999996</v>
      </c>
      <c r="AD80">
        <v>1.86497</v>
      </c>
      <c r="AE80">
        <v>13.486000000000001</v>
      </c>
      <c r="AF80">
        <v>0</v>
      </c>
      <c r="AG80">
        <v>91.641000000000005</v>
      </c>
      <c r="AH80">
        <v>8.3553999999999995</v>
      </c>
      <c r="AI80">
        <v>3.65183E-3</v>
      </c>
      <c r="AJ80">
        <v>0</v>
      </c>
      <c r="AK80">
        <v>0</v>
      </c>
      <c r="AL80">
        <v>0.13885400000000001</v>
      </c>
      <c r="AM80">
        <v>16.654199999999999</v>
      </c>
      <c r="AN80">
        <v>44.842700000000001</v>
      </c>
      <c r="AO80">
        <v>21.198899999999998</v>
      </c>
      <c r="AP80">
        <v>11.2203</v>
      </c>
      <c r="AQ80">
        <v>4.8331999999999997</v>
      </c>
      <c r="AR80">
        <v>1.25075</v>
      </c>
      <c r="AS80">
        <v>0.280088</v>
      </c>
      <c r="AT80">
        <v>0.525864</v>
      </c>
      <c r="AU80">
        <v>4.9646699999999999</v>
      </c>
      <c r="AV80">
        <v>26.117899999999999</v>
      </c>
      <c r="AW80">
        <v>46.272399999999998</v>
      </c>
      <c r="AX80">
        <v>17.766200000000001</v>
      </c>
      <c r="AY80">
        <v>4.3529900000000001</v>
      </c>
      <c r="AZ80">
        <v>558.95600000000002</v>
      </c>
      <c r="BA80">
        <v>583.19899999999996</v>
      </c>
      <c r="BB80">
        <v>12149.1</v>
      </c>
      <c r="BC80">
        <v>0.32525199999999999</v>
      </c>
      <c r="BD80">
        <v>5.47775E-2</v>
      </c>
      <c r="BE80">
        <v>0.24832499999999999</v>
      </c>
      <c r="BF80">
        <v>0.58794500000000005</v>
      </c>
      <c r="BG80">
        <v>4.5994799999999998</v>
      </c>
      <c r="BH80">
        <v>19.047999999999998</v>
      </c>
      <c r="BI80">
        <v>75.461500000000001</v>
      </c>
      <c r="BJ80">
        <v>32.520099999999999</v>
      </c>
      <c r="BK80">
        <v>0</v>
      </c>
      <c r="BL80">
        <v>35.486699999999999</v>
      </c>
      <c r="BM80">
        <v>52.024000000000001</v>
      </c>
      <c r="BN80">
        <v>10.1065</v>
      </c>
      <c r="BO80">
        <v>1.92086</v>
      </c>
      <c r="BP80">
        <v>0.46195700000000001</v>
      </c>
      <c r="BQ80">
        <v>32.433799999999998</v>
      </c>
      <c r="BR80">
        <v>54767</v>
      </c>
    </row>
    <row r="81" spans="1:70" x14ac:dyDescent="0.25">
      <c r="A81">
        <v>34</v>
      </c>
      <c r="B81" s="7">
        <v>46013.595173611109</v>
      </c>
      <c r="C81" t="s">
        <v>114</v>
      </c>
      <c r="D81" s="6" t="s">
        <v>247</v>
      </c>
      <c r="E81" s="6" t="str">
        <f>VLOOKUP(F81,Germplasm!$A$1:$B$21,2,FALSE)</f>
        <v>Heder</v>
      </c>
      <c r="F81" t="s">
        <v>77</v>
      </c>
      <c r="G81" s="6" t="s">
        <v>113</v>
      </c>
      <c r="H81">
        <v>19538.2</v>
      </c>
      <c r="I81">
        <v>461.25</v>
      </c>
      <c r="J81">
        <v>49883.7</v>
      </c>
      <c r="K81">
        <v>20.172000000000001</v>
      </c>
      <c r="L81">
        <v>74.550200000000004</v>
      </c>
      <c r="M81">
        <v>836.11500000000001</v>
      </c>
      <c r="N81">
        <v>306.64499999999998</v>
      </c>
      <c r="O81">
        <v>10442300</v>
      </c>
      <c r="P81">
        <v>9.2981000000000001E-3</v>
      </c>
      <c r="Q81">
        <v>1.33771</v>
      </c>
      <c r="R81">
        <v>36.677199999999999</v>
      </c>
      <c r="S81">
        <v>60.251199999999997</v>
      </c>
      <c r="T81">
        <v>1.50973</v>
      </c>
      <c r="U81">
        <v>0.18107699999999999</v>
      </c>
      <c r="V81">
        <v>4.30059E-2</v>
      </c>
      <c r="W81">
        <v>35.094299999999997</v>
      </c>
      <c r="X81">
        <v>19.689900000000002</v>
      </c>
      <c r="Y81">
        <v>55.848799999999997</v>
      </c>
      <c r="Z81">
        <v>12.1775</v>
      </c>
      <c r="AA81">
        <v>3.2752400000000002</v>
      </c>
      <c r="AB81">
        <v>0.90765099999999999</v>
      </c>
      <c r="AC81">
        <v>8.1009499999999992</v>
      </c>
      <c r="AD81">
        <v>1.9416800000000001</v>
      </c>
      <c r="AE81">
        <v>16.8445</v>
      </c>
      <c r="AF81">
        <v>0</v>
      </c>
      <c r="AG81">
        <v>81.953400000000002</v>
      </c>
      <c r="AH81">
        <v>17.919899999999998</v>
      </c>
      <c r="AI81">
        <v>0.12675400000000001</v>
      </c>
      <c r="AJ81">
        <v>0</v>
      </c>
      <c r="AK81">
        <v>0</v>
      </c>
      <c r="AL81">
        <v>4.1060100000000002E-2</v>
      </c>
      <c r="AM81">
        <v>31.790400000000002</v>
      </c>
      <c r="AN81">
        <v>54.198700000000002</v>
      </c>
      <c r="AO81">
        <v>10.178800000000001</v>
      </c>
      <c r="AP81">
        <v>2.6052499999999998</v>
      </c>
      <c r="AQ81">
        <v>0.82390200000000002</v>
      </c>
      <c r="AR81">
        <v>0.40289700000000001</v>
      </c>
      <c r="AS81">
        <v>0.23361899999999999</v>
      </c>
      <c r="AT81">
        <v>0.654142</v>
      </c>
      <c r="AU81">
        <v>3.9701200000000001</v>
      </c>
      <c r="AV81">
        <v>33.908999999999999</v>
      </c>
      <c r="AW81">
        <v>53.911299999999997</v>
      </c>
      <c r="AX81">
        <v>5.5998200000000002</v>
      </c>
      <c r="AY81">
        <v>1.95564</v>
      </c>
      <c r="AZ81">
        <v>534.45699999999999</v>
      </c>
      <c r="BA81">
        <v>575.99900000000002</v>
      </c>
      <c r="BB81">
        <v>10062.5</v>
      </c>
      <c r="BC81">
        <v>0.33744000000000002</v>
      </c>
      <c r="BD81">
        <v>0.16749700000000001</v>
      </c>
      <c r="BE81">
        <v>0.37573600000000001</v>
      </c>
      <c r="BF81">
        <v>0.73109999999999997</v>
      </c>
      <c r="BG81">
        <v>3.3499300000000001</v>
      </c>
      <c r="BH81">
        <v>12.123100000000001</v>
      </c>
      <c r="BI81">
        <v>83.252600000000001</v>
      </c>
      <c r="BJ81">
        <v>25.1694</v>
      </c>
      <c r="BK81">
        <v>0</v>
      </c>
      <c r="BL81">
        <v>55.117699999999999</v>
      </c>
      <c r="BM81">
        <v>41.337699999999998</v>
      </c>
      <c r="BN81">
        <v>2.2951600000000001</v>
      </c>
      <c r="BO81">
        <v>0.72883699999999996</v>
      </c>
      <c r="BP81">
        <v>0.52059800000000001</v>
      </c>
      <c r="BQ81">
        <v>30.9954</v>
      </c>
      <c r="BR81">
        <v>44180</v>
      </c>
    </row>
    <row r="82" spans="1:70" x14ac:dyDescent="0.25">
      <c r="A82">
        <v>34</v>
      </c>
      <c r="B82" s="7">
        <v>46024.544074074074</v>
      </c>
      <c r="C82" t="s">
        <v>114</v>
      </c>
      <c r="D82" s="6" t="s">
        <v>248</v>
      </c>
      <c r="E82" s="6" t="str">
        <f>VLOOKUP(F82,Germplasm!$A$1:$B$21,2,FALSE)</f>
        <v>Heder</v>
      </c>
      <c r="F82" t="s">
        <v>77</v>
      </c>
      <c r="G82" s="6" t="s">
        <v>113</v>
      </c>
      <c r="H82">
        <v>20813.599999999999</v>
      </c>
      <c r="I82">
        <v>457.505</v>
      </c>
      <c r="J82">
        <v>64640.7</v>
      </c>
      <c r="K82">
        <v>17.8507</v>
      </c>
      <c r="L82">
        <v>82.327200000000005</v>
      </c>
      <c r="M82">
        <v>958.36800000000005</v>
      </c>
      <c r="N82">
        <v>336.60399999999998</v>
      </c>
      <c r="O82">
        <v>10632700</v>
      </c>
      <c r="P82">
        <v>1.3876400000000001E-2</v>
      </c>
      <c r="Q82">
        <v>1.1423700000000001</v>
      </c>
      <c r="R82">
        <v>32.929499999999997</v>
      </c>
      <c r="S82">
        <v>64.006399999999999</v>
      </c>
      <c r="T82">
        <v>1.7480899999999999</v>
      </c>
      <c r="U82">
        <v>0.14402999999999999</v>
      </c>
      <c r="V82">
        <v>2.9595099999999999E-2</v>
      </c>
      <c r="W82">
        <v>38.114899999999999</v>
      </c>
      <c r="X82">
        <v>16.650200000000002</v>
      </c>
      <c r="Y82">
        <v>53.265300000000003</v>
      </c>
      <c r="Z82">
        <v>12.927199999999999</v>
      </c>
      <c r="AA82">
        <v>4.4530799999999999</v>
      </c>
      <c r="AB82">
        <v>1.7125699999999999</v>
      </c>
      <c r="AC82">
        <v>10.9916</v>
      </c>
      <c r="AD82">
        <v>1.80379</v>
      </c>
      <c r="AE82">
        <v>19.366299999999999</v>
      </c>
      <c r="AF82">
        <v>0</v>
      </c>
      <c r="AG82">
        <v>74.863900000000001</v>
      </c>
      <c r="AH82">
        <v>24.392299999999999</v>
      </c>
      <c r="AI82">
        <v>0.73395900000000003</v>
      </c>
      <c r="AJ82">
        <v>9.8650500000000002E-3</v>
      </c>
      <c r="AK82">
        <v>0</v>
      </c>
      <c r="AL82">
        <v>2.7799500000000001E-2</v>
      </c>
      <c r="AM82">
        <v>36.7729</v>
      </c>
      <c r="AN82">
        <v>51.2864</v>
      </c>
      <c r="AO82">
        <v>8.9002400000000002</v>
      </c>
      <c r="AP82">
        <v>2.0460099999999999</v>
      </c>
      <c r="AQ82">
        <v>0.73987800000000004</v>
      </c>
      <c r="AR82">
        <v>0.25451800000000002</v>
      </c>
      <c r="AS82">
        <v>0.203593</v>
      </c>
      <c r="AT82">
        <v>0.88982700000000003</v>
      </c>
      <c r="AU82">
        <v>6.4398999999999997</v>
      </c>
      <c r="AV82">
        <v>41.738999999999997</v>
      </c>
      <c r="AW82">
        <v>45.485799999999998</v>
      </c>
      <c r="AX82">
        <v>3.82172</v>
      </c>
      <c r="AY82">
        <v>1.6237900000000001</v>
      </c>
      <c r="AZ82">
        <v>510.85399999999998</v>
      </c>
      <c r="BA82">
        <v>576.59900000000005</v>
      </c>
      <c r="BB82">
        <v>11538.8</v>
      </c>
      <c r="BC82">
        <v>0.30311399999999999</v>
      </c>
      <c r="BD82">
        <v>0.19927400000000001</v>
      </c>
      <c r="BE82">
        <v>0.75368999999999997</v>
      </c>
      <c r="BF82">
        <v>1.84476</v>
      </c>
      <c r="BG82">
        <v>4.53003</v>
      </c>
      <c r="BH82">
        <v>14.1662</v>
      </c>
      <c r="BI82">
        <v>78.506</v>
      </c>
      <c r="BJ82">
        <v>22.997299999999999</v>
      </c>
      <c r="BK82">
        <v>0</v>
      </c>
      <c r="BL82">
        <v>64.379300000000001</v>
      </c>
      <c r="BM82">
        <v>32.899900000000002</v>
      </c>
      <c r="BN82">
        <v>1.6593</v>
      </c>
      <c r="BO82">
        <v>0.61163299999999998</v>
      </c>
      <c r="BP82">
        <v>0.44984600000000002</v>
      </c>
      <c r="BQ82">
        <v>33.673299999999998</v>
      </c>
      <c r="BR82">
        <v>50684</v>
      </c>
    </row>
    <row r="83" spans="1:70" x14ac:dyDescent="0.25">
      <c r="A83">
        <v>35</v>
      </c>
      <c r="B83" s="7">
        <v>45952.549988425926</v>
      </c>
      <c r="C83" t="s">
        <v>118</v>
      </c>
      <c r="D83" s="6" t="s">
        <v>249</v>
      </c>
      <c r="E83" s="6" t="str">
        <f>VLOOKUP(F83,Germplasm!$A$1:$B$21,2,FALSE)</f>
        <v>Thule</v>
      </c>
      <c r="F83" t="s">
        <v>78</v>
      </c>
      <c r="G83" s="6" t="s">
        <v>113</v>
      </c>
      <c r="H83">
        <v>39645.1</v>
      </c>
      <c r="I83">
        <v>231.1</v>
      </c>
      <c r="J83">
        <v>118196</v>
      </c>
      <c r="K83">
        <v>19.8584</v>
      </c>
      <c r="L83">
        <v>71.882199999999997</v>
      </c>
      <c r="M83">
        <v>1351.11</v>
      </c>
      <c r="N83">
        <v>483.37299999999999</v>
      </c>
      <c r="O83">
        <v>10840800</v>
      </c>
      <c r="P83">
        <v>0.231572</v>
      </c>
      <c r="Q83">
        <v>0.39290700000000001</v>
      </c>
      <c r="R83">
        <v>5.6907300000000003</v>
      </c>
      <c r="S83">
        <v>20.4209</v>
      </c>
      <c r="T83">
        <v>38.997999999999998</v>
      </c>
      <c r="U83">
        <v>34.193199999999997</v>
      </c>
      <c r="V83">
        <v>0.30431000000000002</v>
      </c>
      <c r="W83">
        <v>114.44199999999999</v>
      </c>
      <c r="X83">
        <v>1.96197</v>
      </c>
      <c r="Y83">
        <v>2.9211200000000002</v>
      </c>
      <c r="Z83">
        <v>3.9932699999999999</v>
      </c>
      <c r="AA83">
        <v>17.006699999999999</v>
      </c>
      <c r="AB83">
        <v>40.165100000000002</v>
      </c>
      <c r="AC83">
        <v>33.951799999999999</v>
      </c>
      <c r="AD83">
        <v>1.6890499999999999</v>
      </c>
      <c r="AE83">
        <v>13.7279</v>
      </c>
      <c r="AF83">
        <v>0</v>
      </c>
      <c r="AG83">
        <v>90.844999999999999</v>
      </c>
      <c r="AH83">
        <v>0.81662999999999997</v>
      </c>
      <c r="AI83">
        <v>1.5485199999999999</v>
      </c>
      <c r="AJ83">
        <v>6.7898500000000004</v>
      </c>
      <c r="AK83">
        <v>0</v>
      </c>
      <c r="AL83">
        <v>0.47964899999999999</v>
      </c>
      <c r="AM83">
        <v>7.9274800000000001</v>
      </c>
      <c r="AN83">
        <v>3.50406</v>
      </c>
      <c r="AO83">
        <v>3.85717</v>
      </c>
      <c r="AP83">
        <v>11.696</v>
      </c>
      <c r="AQ83">
        <v>42.680500000000002</v>
      </c>
      <c r="AR83">
        <v>30.334700000000002</v>
      </c>
      <c r="AS83">
        <v>4.5489700000000001E-2</v>
      </c>
      <c r="AT83">
        <v>6.0014599999999998</v>
      </c>
      <c r="AU83">
        <v>33.635899999999999</v>
      </c>
      <c r="AV83">
        <v>44.479399999999998</v>
      </c>
      <c r="AW83">
        <v>12.493399999999999</v>
      </c>
      <c r="AX83">
        <v>2.1840999999999999</v>
      </c>
      <c r="AY83">
        <v>1.2056899999999999</v>
      </c>
      <c r="AZ83">
        <v>273.44499999999999</v>
      </c>
      <c r="BA83">
        <v>286.79899999999998</v>
      </c>
      <c r="BB83">
        <v>23471.8</v>
      </c>
      <c r="BC83">
        <v>1.1013800000000001E-2</v>
      </c>
      <c r="BD83">
        <v>0.59578100000000001</v>
      </c>
      <c r="BE83">
        <v>0.61889300000000003</v>
      </c>
      <c r="BF83">
        <v>2.8504999999999998</v>
      </c>
      <c r="BG83">
        <v>35.572200000000002</v>
      </c>
      <c r="BH83">
        <v>55.587400000000002</v>
      </c>
      <c r="BI83">
        <v>4.7752299999999996</v>
      </c>
      <c r="BJ83">
        <v>33.649500000000003</v>
      </c>
      <c r="BK83">
        <v>0</v>
      </c>
      <c r="BL83">
        <v>28.919799999999999</v>
      </c>
      <c r="BM83">
        <v>59.944000000000003</v>
      </c>
      <c r="BN83">
        <v>8.6811900000000009</v>
      </c>
      <c r="BO83">
        <v>1.31226</v>
      </c>
      <c r="BP83">
        <v>1.1427700000000001</v>
      </c>
      <c r="BQ83">
        <v>36.339700000000001</v>
      </c>
      <c r="BR83">
        <v>77881</v>
      </c>
    </row>
    <row r="84" spans="1:70" x14ac:dyDescent="0.25">
      <c r="A84">
        <v>35</v>
      </c>
      <c r="B84" s="7">
        <v>45959.516863425924</v>
      </c>
      <c r="C84" t="s">
        <v>118</v>
      </c>
      <c r="D84" s="6" t="s">
        <v>250</v>
      </c>
      <c r="E84" s="6" t="str">
        <f>VLOOKUP(F84,Germplasm!$A$1:$B$21,2,FALSE)</f>
        <v>Thule</v>
      </c>
      <c r="F84" t="s">
        <v>78</v>
      </c>
      <c r="G84" s="6" t="s">
        <v>113</v>
      </c>
      <c r="H84">
        <v>60113.4</v>
      </c>
      <c r="I84">
        <v>224.66300000000001</v>
      </c>
      <c r="J84">
        <v>175972</v>
      </c>
      <c r="K84">
        <v>20.559100000000001</v>
      </c>
      <c r="L84">
        <v>74.316599999999994</v>
      </c>
      <c r="M84">
        <v>1552.46</v>
      </c>
      <c r="N84">
        <v>558.79600000000005</v>
      </c>
      <c r="O84">
        <v>17874400</v>
      </c>
      <c r="P84">
        <v>0.22866300000000001</v>
      </c>
      <c r="Q84">
        <v>0.405024</v>
      </c>
      <c r="R84">
        <v>4.4691700000000001</v>
      </c>
      <c r="S84">
        <v>20.228300000000001</v>
      </c>
      <c r="T84">
        <v>44.857799999999997</v>
      </c>
      <c r="U84">
        <v>29.519300000000001</v>
      </c>
      <c r="V84">
        <v>0.52039400000000002</v>
      </c>
      <c r="W84">
        <v>119.667</v>
      </c>
      <c r="X84">
        <v>1.35172</v>
      </c>
      <c r="Y84">
        <v>1.9817499999999999</v>
      </c>
      <c r="Z84">
        <v>3.4275699999999998</v>
      </c>
      <c r="AA84">
        <v>14.406599999999999</v>
      </c>
      <c r="AB84">
        <v>37.047800000000002</v>
      </c>
      <c r="AC84">
        <v>41.784599999999998</v>
      </c>
      <c r="AD84">
        <v>1.6615899999999999</v>
      </c>
      <c r="AE84">
        <v>11.5174</v>
      </c>
      <c r="AF84">
        <v>0</v>
      </c>
      <c r="AG84">
        <v>93.968800000000002</v>
      </c>
      <c r="AH84">
        <v>0.58585299999999996</v>
      </c>
      <c r="AI84">
        <v>1.0579700000000001</v>
      </c>
      <c r="AJ84">
        <v>4.3873499999999996</v>
      </c>
      <c r="AK84">
        <v>0</v>
      </c>
      <c r="AL84">
        <v>0.49680200000000002</v>
      </c>
      <c r="AM84">
        <v>5.5099600000000004</v>
      </c>
      <c r="AN84">
        <v>3.0920899999999998</v>
      </c>
      <c r="AO84">
        <v>3.8309500000000001</v>
      </c>
      <c r="AP84">
        <v>13.897600000000001</v>
      </c>
      <c r="AQ84">
        <v>41.320599999999999</v>
      </c>
      <c r="AR84">
        <v>32.348700000000001</v>
      </c>
      <c r="AS84">
        <v>1.8951599999999999E-2</v>
      </c>
      <c r="AT84">
        <v>7.65618</v>
      </c>
      <c r="AU84">
        <v>40.314999999999998</v>
      </c>
      <c r="AV84">
        <v>39.784799999999997</v>
      </c>
      <c r="AW84">
        <v>9.0389900000000001</v>
      </c>
      <c r="AX84">
        <v>1.9514800000000001</v>
      </c>
      <c r="AY84">
        <v>1.25353</v>
      </c>
      <c r="AZ84">
        <v>297.34500000000003</v>
      </c>
      <c r="BA84">
        <v>310.8</v>
      </c>
      <c r="BB84">
        <v>36178.199999999997</v>
      </c>
      <c r="BC84">
        <v>-5.9653099999999997E-3</v>
      </c>
      <c r="BD84">
        <v>0.52939499999999995</v>
      </c>
      <c r="BE84">
        <v>0.77977300000000005</v>
      </c>
      <c r="BF84">
        <v>3.2557399999999999</v>
      </c>
      <c r="BG84">
        <v>43.406300000000002</v>
      </c>
      <c r="BH84">
        <v>48.049700000000001</v>
      </c>
      <c r="BI84">
        <v>3.97905</v>
      </c>
      <c r="BJ84">
        <v>32.192999999999998</v>
      </c>
      <c r="BK84">
        <v>0</v>
      </c>
      <c r="BL84">
        <v>32.481299999999997</v>
      </c>
      <c r="BM84">
        <v>58.280099999999997</v>
      </c>
      <c r="BN84">
        <v>7.0040500000000003</v>
      </c>
      <c r="BO84">
        <v>1.2396199999999999</v>
      </c>
      <c r="BP84">
        <v>0.99496799999999996</v>
      </c>
      <c r="BQ84">
        <v>37.049799999999998</v>
      </c>
      <c r="BR84">
        <v>122215</v>
      </c>
    </row>
    <row r="85" spans="1:70" x14ac:dyDescent="0.25">
      <c r="A85">
        <v>35</v>
      </c>
      <c r="B85" s="7">
        <v>45966.572152777779</v>
      </c>
      <c r="C85" t="s">
        <v>118</v>
      </c>
      <c r="D85" s="6" t="s">
        <v>251</v>
      </c>
      <c r="E85" s="6" t="str">
        <f>VLOOKUP(F85,Germplasm!$A$1:$B$21,2,FALSE)</f>
        <v>Thule</v>
      </c>
      <c r="F85" t="s">
        <v>78</v>
      </c>
      <c r="G85" s="6" t="s">
        <v>113</v>
      </c>
      <c r="H85">
        <v>53478.400000000001</v>
      </c>
      <c r="I85">
        <v>338.20100000000002</v>
      </c>
      <c r="J85">
        <v>110025</v>
      </c>
      <c r="K85">
        <v>28.101299999999998</v>
      </c>
      <c r="L85">
        <v>63.733499999999999</v>
      </c>
      <c r="M85">
        <v>1308.94</v>
      </c>
      <c r="N85">
        <v>490.98099999999999</v>
      </c>
      <c r="O85">
        <v>22256900</v>
      </c>
      <c r="P85">
        <v>0.23030999999999999</v>
      </c>
      <c r="Q85">
        <v>0.37762200000000001</v>
      </c>
      <c r="R85">
        <v>4.0199999999999996</v>
      </c>
      <c r="S85">
        <v>18.302700000000002</v>
      </c>
      <c r="T85">
        <v>47.4255</v>
      </c>
      <c r="U85">
        <v>29.578800000000001</v>
      </c>
      <c r="V85">
        <v>0.29540499999999997</v>
      </c>
      <c r="W85">
        <v>112.50700000000001</v>
      </c>
      <c r="X85">
        <v>1.54108</v>
      </c>
      <c r="Y85">
        <v>3.0037699999999998</v>
      </c>
      <c r="Z85">
        <v>4.2504</v>
      </c>
      <c r="AA85">
        <v>20.505299999999998</v>
      </c>
      <c r="AB85">
        <v>39.2956</v>
      </c>
      <c r="AC85">
        <v>31.4038</v>
      </c>
      <c r="AD85">
        <v>1.7296499999999999</v>
      </c>
      <c r="AE85">
        <v>12.9612</v>
      </c>
      <c r="AF85">
        <v>0</v>
      </c>
      <c r="AG85">
        <v>92.963800000000006</v>
      </c>
      <c r="AH85">
        <v>0.71317900000000001</v>
      </c>
      <c r="AI85">
        <v>1.04396</v>
      </c>
      <c r="AJ85">
        <v>5.2790600000000003</v>
      </c>
      <c r="AK85">
        <v>0</v>
      </c>
      <c r="AL85">
        <v>0.47238400000000003</v>
      </c>
      <c r="AM85">
        <v>6.1394599999999997</v>
      </c>
      <c r="AN85">
        <v>2.88713</v>
      </c>
      <c r="AO85">
        <v>4.7322199999999999</v>
      </c>
      <c r="AP85">
        <v>17.4375</v>
      </c>
      <c r="AQ85">
        <v>44.927399999999999</v>
      </c>
      <c r="AR85">
        <v>23.876200000000001</v>
      </c>
      <c r="AS85">
        <v>6.2842800000000004E-2</v>
      </c>
      <c r="AT85">
        <v>4.3201900000000002</v>
      </c>
      <c r="AU85">
        <v>32.722099999999998</v>
      </c>
      <c r="AV85">
        <v>45.2592</v>
      </c>
      <c r="AW85">
        <v>13.1288</v>
      </c>
      <c r="AX85">
        <v>2.9932500000000002</v>
      </c>
      <c r="AY85">
        <v>1.5764499999999999</v>
      </c>
      <c r="AZ85">
        <v>416.185</v>
      </c>
      <c r="BA85">
        <v>435.59899999999999</v>
      </c>
      <c r="BB85">
        <v>30918.5</v>
      </c>
      <c r="BC85">
        <v>2.62551E-2</v>
      </c>
      <c r="BD85">
        <v>0.35181000000000001</v>
      </c>
      <c r="BE85">
        <v>0.42351</v>
      </c>
      <c r="BF85">
        <v>2.4645800000000002</v>
      </c>
      <c r="BG85">
        <v>33.799500000000002</v>
      </c>
      <c r="BH85">
        <v>56.204500000000003</v>
      </c>
      <c r="BI85">
        <v>6.7560799999999999</v>
      </c>
      <c r="BJ85">
        <v>33.116100000000003</v>
      </c>
      <c r="BK85">
        <v>0</v>
      </c>
      <c r="BL85">
        <v>28.778600000000001</v>
      </c>
      <c r="BM85">
        <v>61.763599999999997</v>
      </c>
      <c r="BN85">
        <v>7.0610499999999998</v>
      </c>
      <c r="BO85">
        <v>1.2886899999999999</v>
      </c>
      <c r="BP85">
        <v>1.1080099999999999</v>
      </c>
      <c r="BQ85">
        <v>35.363</v>
      </c>
      <c r="BR85">
        <v>104602</v>
      </c>
    </row>
    <row r="86" spans="1:70" x14ac:dyDescent="0.25">
      <c r="A86">
        <v>35</v>
      </c>
      <c r="B86" s="7">
        <v>45973.551736111112</v>
      </c>
      <c r="C86" t="s">
        <v>118</v>
      </c>
      <c r="D86" s="6" t="s">
        <v>252</v>
      </c>
      <c r="E86" s="6" t="str">
        <f>VLOOKUP(F86,Germplasm!$A$1:$B$21,2,FALSE)</f>
        <v>Thule</v>
      </c>
      <c r="F86" t="s">
        <v>78</v>
      </c>
      <c r="G86" s="6" t="s">
        <v>113</v>
      </c>
      <c r="H86">
        <v>63974.5</v>
      </c>
      <c r="I86">
        <v>433.04300000000001</v>
      </c>
      <c r="J86">
        <v>184892</v>
      </c>
      <c r="K86">
        <v>21.223800000000001</v>
      </c>
      <c r="L86">
        <v>76.736400000000003</v>
      </c>
      <c r="M86">
        <v>1621.08</v>
      </c>
      <c r="N86">
        <v>603.18399999999997</v>
      </c>
      <c r="O86">
        <v>31592500</v>
      </c>
      <c r="P86">
        <v>0.21218600000000001</v>
      </c>
      <c r="Q86">
        <v>0.47169100000000003</v>
      </c>
      <c r="R86">
        <v>5.4030100000000001</v>
      </c>
      <c r="S86">
        <v>22.662199999999999</v>
      </c>
      <c r="T86">
        <v>46.850099999999998</v>
      </c>
      <c r="U86">
        <v>24.181899999999999</v>
      </c>
      <c r="V86">
        <v>0.43106699999999998</v>
      </c>
      <c r="W86">
        <v>116.032</v>
      </c>
      <c r="X86">
        <v>2.43519</v>
      </c>
      <c r="Y86">
        <v>4.0819700000000001</v>
      </c>
      <c r="Z86">
        <v>4.35581</v>
      </c>
      <c r="AA86">
        <v>15.100899999999999</v>
      </c>
      <c r="AB86">
        <v>33.245600000000003</v>
      </c>
      <c r="AC86">
        <v>40.7806</v>
      </c>
      <c r="AD86">
        <v>1.63029</v>
      </c>
      <c r="AE86">
        <v>11.4787</v>
      </c>
      <c r="AF86">
        <v>0</v>
      </c>
      <c r="AG86">
        <v>94.327699999999993</v>
      </c>
      <c r="AH86">
        <v>0.63569200000000003</v>
      </c>
      <c r="AI86">
        <v>0.75305100000000003</v>
      </c>
      <c r="AJ86">
        <v>4.2835900000000002</v>
      </c>
      <c r="AK86">
        <v>0</v>
      </c>
      <c r="AL86">
        <v>0.47612199999999999</v>
      </c>
      <c r="AM86">
        <v>5.3759199999999998</v>
      </c>
      <c r="AN86">
        <v>4.58751</v>
      </c>
      <c r="AO86">
        <v>6.63978</v>
      </c>
      <c r="AP86">
        <v>14.5968</v>
      </c>
      <c r="AQ86">
        <v>39.844700000000003</v>
      </c>
      <c r="AR86">
        <v>28.955200000000001</v>
      </c>
      <c r="AS86">
        <v>3.56922E-2</v>
      </c>
      <c r="AT86">
        <v>5.9597100000000003</v>
      </c>
      <c r="AU86">
        <v>40.530799999999999</v>
      </c>
      <c r="AV86">
        <v>37.866900000000001</v>
      </c>
      <c r="AW86">
        <v>11.3093</v>
      </c>
      <c r="AX86">
        <v>2.8707699999999998</v>
      </c>
      <c r="AY86">
        <v>1.4624699999999999</v>
      </c>
      <c r="AZ86">
        <v>493.82900000000001</v>
      </c>
      <c r="BA86">
        <v>545.4</v>
      </c>
      <c r="BB86">
        <v>39241.1</v>
      </c>
      <c r="BC86">
        <v>1.6739400000000002E-2</v>
      </c>
      <c r="BD86">
        <v>0.32649699999999998</v>
      </c>
      <c r="BE86">
        <v>0.472443</v>
      </c>
      <c r="BF86">
        <v>2.55104</v>
      </c>
      <c r="BG86">
        <v>43.139800000000001</v>
      </c>
      <c r="BH86">
        <v>44.943100000000001</v>
      </c>
      <c r="BI86">
        <v>8.5671700000000008</v>
      </c>
      <c r="BJ86">
        <v>31.2349</v>
      </c>
      <c r="BK86">
        <v>0</v>
      </c>
      <c r="BL86">
        <v>35.685299999999998</v>
      </c>
      <c r="BM86">
        <v>55.784399999999998</v>
      </c>
      <c r="BN86">
        <v>6.3200599999999998</v>
      </c>
      <c r="BO86">
        <v>1.11114</v>
      </c>
      <c r="BP86">
        <v>1.09911</v>
      </c>
      <c r="BQ86">
        <v>37.887</v>
      </c>
      <c r="BR86">
        <v>132926</v>
      </c>
    </row>
    <row r="87" spans="1:70" x14ac:dyDescent="0.25">
      <c r="A87">
        <v>35</v>
      </c>
      <c r="B87" s="7">
        <v>45988.533020833333</v>
      </c>
      <c r="C87" t="s">
        <v>118</v>
      </c>
      <c r="D87" s="6" t="s">
        <v>253</v>
      </c>
      <c r="E87" s="6" t="str">
        <f>VLOOKUP(F87,Germplasm!$A$1:$B$21,2,FALSE)</f>
        <v>Thule</v>
      </c>
      <c r="F87" t="s">
        <v>78</v>
      </c>
      <c r="G87" s="6" t="s">
        <v>113</v>
      </c>
      <c r="H87">
        <v>52258.1</v>
      </c>
      <c r="I87">
        <v>432.85599999999999</v>
      </c>
      <c r="J87">
        <v>148141</v>
      </c>
      <c r="K87">
        <v>20.2669</v>
      </c>
      <c r="L87">
        <v>75.918400000000005</v>
      </c>
      <c r="M87">
        <v>1445.2</v>
      </c>
      <c r="N87">
        <v>513.72400000000005</v>
      </c>
      <c r="O87">
        <v>26920100</v>
      </c>
      <c r="P87">
        <v>0.148506</v>
      </c>
      <c r="Q87">
        <v>0.79588400000000004</v>
      </c>
      <c r="R87">
        <v>13.251300000000001</v>
      </c>
      <c r="S87">
        <v>33.137700000000002</v>
      </c>
      <c r="T87">
        <v>40.587400000000002</v>
      </c>
      <c r="U87">
        <v>12.0526</v>
      </c>
      <c r="V87">
        <v>0.17507700000000001</v>
      </c>
      <c r="W87">
        <v>93.284300000000002</v>
      </c>
      <c r="X87">
        <v>7.6604900000000002</v>
      </c>
      <c r="Y87">
        <v>11.765000000000001</v>
      </c>
      <c r="Z87">
        <v>8.4161800000000007</v>
      </c>
      <c r="AA87">
        <v>21.780999999999999</v>
      </c>
      <c r="AB87">
        <v>27.342300000000002</v>
      </c>
      <c r="AC87">
        <v>23.0351</v>
      </c>
      <c r="AD87">
        <v>1.7405600000000001</v>
      </c>
      <c r="AE87">
        <v>13.4293</v>
      </c>
      <c r="AF87">
        <v>0</v>
      </c>
      <c r="AG87">
        <v>92.230500000000006</v>
      </c>
      <c r="AH87">
        <v>1.74183</v>
      </c>
      <c r="AI87">
        <v>0.98882499999999995</v>
      </c>
      <c r="AJ87">
        <v>5.0388099999999998</v>
      </c>
      <c r="AK87">
        <v>0</v>
      </c>
      <c r="AL87">
        <v>0.35438799999999998</v>
      </c>
      <c r="AM87">
        <v>7.8605799999999997</v>
      </c>
      <c r="AN87">
        <v>14.5448</v>
      </c>
      <c r="AO87">
        <v>14.314299999999999</v>
      </c>
      <c r="AP87">
        <v>21.517499999999998</v>
      </c>
      <c r="AQ87">
        <v>31.3932</v>
      </c>
      <c r="AR87">
        <v>10.3697</v>
      </c>
      <c r="AS87">
        <v>0.124829</v>
      </c>
      <c r="AT87">
        <v>1.7346900000000001</v>
      </c>
      <c r="AU87">
        <v>23.780899999999999</v>
      </c>
      <c r="AV87">
        <v>43.645000000000003</v>
      </c>
      <c r="AW87">
        <v>23.488</v>
      </c>
      <c r="AX87">
        <v>5.4604200000000001</v>
      </c>
      <c r="AY87">
        <v>1.8910100000000001</v>
      </c>
      <c r="AZ87">
        <v>515.13800000000003</v>
      </c>
      <c r="BA87">
        <v>611.399</v>
      </c>
      <c r="BB87">
        <v>30023.7</v>
      </c>
      <c r="BC87">
        <v>0.101868</v>
      </c>
      <c r="BD87">
        <v>0.31085000000000002</v>
      </c>
      <c r="BE87">
        <v>0.39124300000000001</v>
      </c>
      <c r="BF87">
        <v>1.54264</v>
      </c>
      <c r="BG87">
        <v>23.27</v>
      </c>
      <c r="BH87">
        <v>50.515000000000001</v>
      </c>
      <c r="BI87">
        <v>23.970300000000002</v>
      </c>
      <c r="BJ87">
        <v>29.3505</v>
      </c>
      <c r="BK87">
        <v>0</v>
      </c>
      <c r="BL87">
        <v>42.308700000000002</v>
      </c>
      <c r="BM87">
        <v>50.033499999999997</v>
      </c>
      <c r="BN87">
        <v>5.3961100000000002</v>
      </c>
      <c r="BO87">
        <v>1.12371</v>
      </c>
      <c r="BP87">
        <v>1.1379999999999999</v>
      </c>
      <c r="BQ87">
        <v>35.108899999999998</v>
      </c>
      <c r="BR87">
        <v>111951</v>
      </c>
    </row>
    <row r="88" spans="1:70" x14ac:dyDescent="0.25">
      <c r="A88">
        <v>35</v>
      </c>
      <c r="B88" s="7">
        <v>45994.536944444444</v>
      </c>
      <c r="C88" t="s">
        <v>118</v>
      </c>
      <c r="D88" s="6" t="s">
        <v>254</v>
      </c>
      <c r="E88" s="6" t="str">
        <f>VLOOKUP(F88,Germplasm!$A$1:$B$21,2,FALSE)</f>
        <v>Thule</v>
      </c>
      <c r="F88" t="s">
        <v>78</v>
      </c>
      <c r="G88" s="6" t="s">
        <v>113</v>
      </c>
      <c r="H88">
        <v>49699</v>
      </c>
      <c r="I88">
        <v>433.70699999999999</v>
      </c>
      <c r="J88">
        <v>177313</v>
      </c>
      <c r="K88">
        <v>16.532900000000001</v>
      </c>
      <c r="L88">
        <v>66.411799999999999</v>
      </c>
      <c r="M88">
        <v>1637.94</v>
      </c>
      <c r="N88">
        <v>645.03</v>
      </c>
      <c r="O88">
        <v>25632900</v>
      </c>
      <c r="P88">
        <v>0.14101900000000001</v>
      </c>
      <c r="Q88">
        <v>0.74210500000000001</v>
      </c>
      <c r="R88">
        <v>13.729900000000001</v>
      </c>
      <c r="S88">
        <v>35.251800000000003</v>
      </c>
      <c r="T88">
        <v>39.717300000000002</v>
      </c>
      <c r="U88">
        <v>10.4291</v>
      </c>
      <c r="V88">
        <v>0.12982199999999999</v>
      </c>
      <c r="W88">
        <v>86.072500000000005</v>
      </c>
      <c r="X88">
        <v>7.8455000000000004</v>
      </c>
      <c r="Y88">
        <v>13.937900000000001</v>
      </c>
      <c r="Z88">
        <v>10.3002</v>
      </c>
      <c r="AA88">
        <v>26.3447</v>
      </c>
      <c r="AB88">
        <v>24.959900000000001</v>
      </c>
      <c r="AC88">
        <v>16.611699999999999</v>
      </c>
      <c r="AD88">
        <v>1.6953499999999999</v>
      </c>
      <c r="AE88">
        <v>14.4597</v>
      </c>
      <c r="AF88">
        <v>0</v>
      </c>
      <c r="AG88">
        <v>91.478700000000003</v>
      </c>
      <c r="AH88">
        <v>2.4058600000000001</v>
      </c>
      <c r="AI88">
        <v>0.98885900000000004</v>
      </c>
      <c r="AJ88">
        <v>5.1265999999999998</v>
      </c>
      <c r="AK88">
        <v>0</v>
      </c>
      <c r="AL88">
        <v>0.32035599999999997</v>
      </c>
      <c r="AM88">
        <v>8.3178300000000007</v>
      </c>
      <c r="AN88">
        <v>18.345500000000001</v>
      </c>
      <c r="AO88">
        <v>15.9755</v>
      </c>
      <c r="AP88">
        <v>22.7714</v>
      </c>
      <c r="AQ88">
        <v>29.075600000000001</v>
      </c>
      <c r="AR88">
        <v>5.5142300000000004</v>
      </c>
      <c r="AS88">
        <v>0.15515000000000001</v>
      </c>
      <c r="AT88">
        <v>1.2742800000000001</v>
      </c>
      <c r="AU88">
        <v>16.6311</v>
      </c>
      <c r="AV88">
        <v>45.546500000000002</v>
      </c>
      <c r="AW88">
        <v>27.641999999999999</v>
      </c>
      <c r="AX88">
        <v>6.9864699999999997</v>
      </c>
      <c r="AY88">
        <v>1.91971</v>
      </c>
      <c r="AZ88">
        <v>515.76300000000003</v>
      </c>
      <c r="BA88">
        <v>607.19899999999996</v>
      </c>
      <c r="BB88">
        <v>29314.9</v>
      </c>
      <c r="BC88">
        <v>0.13009699999999999</v>
      </c>
      <c r="BD88">
        <v>0.37473499999999998</v>
      </c>
      <c r="BE88">
        <v>0.39315</v>
      </c>
      <c r="BF88">
        <v>1.32677</v>
      </c>
      <c r="BG88">
        <v>15.809799999999999</v>
      </c>
      <c r="BH88">
        <v>53.593600000000002</v>
      </c>
      <c r="BI88">
        <v>28.501999999999999</v>
      </c>
      <c r="BJ88">
        <v>29.715599999999998</v>
      </c>
      <c r="BK88">
        <v>0</v>
      </c>
      <c r="BL88">
        <v>40.440100000000001</v>
      </c>
      <c r="BM88">
        <v>51.819400000000002</v>
      </c>
      <c r="BN88">
        <v>5.5777599999999996</v>
      </c>
      <c r="BO88">
        <v>1.0229299999999999</v>
      </c>
      <c r="BP88">
        <v>1.1398600000000001</v>
      </c>
      <c r="BQ88">
        <v>36.190300000000001</v>
      </c>
      <c r="BR88">
        <v>108610</v>
      </c>
    </row>
    <row r="89" spans="1:70" x14ac:dyDescent="0.25">
      <c r="A89">
        <v>35</v>
      </c>
      <c r="B89" s="7">
        <v>46002.58258101852</v>
      </c>
      <c r="C89" t="s">
        <v>118</v>
      </c>
      <c r="D89" s="6" t="s">
        <v>255</v>
      </c>
      <c r="E89" s="6" t="str">
        <f>VLOOKUP(F89,Germplasm!$A$1:$B$21,2,FALSE)</f>
        <v>Thule</v>
      </c>
      <c r="F89" t="s">
        <v>78</v>
      </c>
      <c r="G89" s="6" t="s">
        <v>113</v>
      </c>
      <c r="H89">
        <v>39455.199999999997</v>
      </c>
      <c r="I89">
        <v>465.649</v>
      </c>
      <c r="J89">
        <v>138302</v>
      </c>
      <c r="K89">
        <v>16.424700000000001</v>
      </c>
      <c r="L89">
        <v>75.450900000000004</v>
      </c>
      <c r="M89">
        <v>1401.11</v>
      </c>
      <c r="N89">
        <v>501.13499999999999</v>
      </c>
      <c r="O89">
        <v>20820100</v>
      </c>
      <c r="P89">
        <v>7.6415200000000003E-2</v>
      </c>
      <c r="Q89">
        <v>0.88043099999999996</v>
      </c>
      <c r="R89">
        <v>23.161799999999999</v>
      </c>
      <c r="S89">
        <v>50.959499999999998</v>
      </c>
      <c r="T89">
        <v>20.6328</v>
      </c>
      <c r="U89">
        <v>4.2657299999999996</v>
      </c>
      <c r="V89">
        <v>9.97363E-2</v>
      </c>
      <c r="W89">
        <v>54.1614</v>
      </c>
      <c r="X89">
        <v>12.661899999999999</v>
      </c>
      <c r="Y89">
        <v>38.305599999999998</v>
      </c>
      <c r="Z89">
        <v>16.614699999999999</v>
      </c>
      <c r="AA89">
        <v>15.9337</v>
      </c>
      <c r="AB89">
        <v>6.5103799999999996</v>
      </c>
      <c r="AC89">
        <v>9.97363</v>
      </c>
      <c r="AD89">
        <v>1.73692</v>
      </c>
      <c r="AE89">
        <v>19.203900000000001</v>
      </c>
      <c r="AF89">
        <v>0</v>
      </c>
      <c r="AG89">
        <v>84.371200000000002</v>
      </c>
      <c r="AH89">
        <v>8.2345500000000005</v>
      </c>
      <c r="AI89">
        <v>1.34701</v>
      </c>
      <c r="AJ89">
        <v>6.0472299999999999</v>
      </c>
      <c r="AK89">
        <v>0</v>
      </c>
      <c r="AL89">
        <v>0.16802800000000001</v>
      </c>
      <c r="AM89">
        <v>13.5229</v>
      </c>
      <c r="AN89">
        <v>43.674199999999999</v>
      </c>
      <c r="AO89">
        <v>20.497499999999999</v>
      </c>
      <c r="AP89">
        <v>12.8454</v>
      </c>
      <c r="AQ89">
        <v>8.07864</v>
      </c>
      <c r="AR89">
        <v>1.38141</v>
      </c>
      <c r="AS89">
        <v>0.26464100000000002</v>
      </c>
      <c r="AT89">
        <v>1.0351900000000001</v>
      </c>
      <c r="AU89">
        <v>7.6636499999999996</v>
      </c>
      <c r="AV89">
        <v>25.706800000000001</v>
      </c>
      <c r="AW89">
        <v>42.3065</v>
      </c>
      <c r="AX89">
        <v>20.358799999999999</v>
      </c>
      <c r="AY89">
        <v>2.9290400000000001</v>
      </c>
      <c r="AZ89">
        <v>527.68899999999996</v>
      </c>
      <c r="BA89">
        <v>594.59900000000005</v>
      </c>
      <c r="BB89">
        <v>22715.599999999999</v>
      </c>
      <c r="BC89">
        <v>0.27526899999999999</v>
      </c>
      <c r="BD89">
        <v>0.51243799999999995</v>
      </c>
      <c r="BE89">
        <v>0.46314300000000003</v>
      </c>
      <c r="BF89">
        <v>0.97099599999999997</v>
      </c>
      <c r="BG89">
        <v>6.7499700000000002</v>
      </c>
      <c r="BH89">
        <v>25.539400000000001</v>
      </c>
      <c r="BI89">
        <v>65.764099999999999</v>
      </c>
      <c r="BJ89">
        <v>33.531300000000002</v>
      </c>
      <c r="BK89">
        <v>0</v>
      </c>
      <c r="BL89">
        <v>31.443300000000001</v>
      </c>
      <c r="BM89">
        <v>55.235599999999998</v>
      </c>
      <c r="BN89">
        <v>10.6305</v>
      </c>
      <c r="BO89">
        <v>1.3722300000000001</v>
      </c>
      <c r="BP89">
        <v>1.3183499999999999</v>
      </c>
      <c r="BQ89">
        <v>35.185699999999997</v>
      </c>
      <c r="BR89">
        <v>87230</v>
      </c>
    </row>
    <row r="90" spans="1:70" x14ac:dyDescent="0.25">
      <c r="A90">
        <v>35</v>
      </c>
      <c r="B90" s="7">
        <v>46013.597025462965</v>
      </c>
      <c r="C90" t="s">
        <v>118</v>
      </c>
      <c r="D90" s="6" t="s">
        <v>256</v>
      </c>
      <c r="E90" s="6" t="str">
        <f>VLOOKUP(F90,Germplasm!$A$1:$B$21,2,FALSE)</f>
        <v>Thule</v>
      </c>
      <c r="F90" t="s">
        <v>78</v>
      </c>
      <c r="G90" s="6" t="s">
        <v>113</v>
      </c>
      <c r="H90">
        <v>35173.300000000003</v>
      </c>
      <c r="I90">
        <v>493.73</v>
      </c>
      <c r="J90">
        <v>179320</v>
      </c>
      <c r="K90">
        <v>11.0503</v>
      </c>
      <c r="L90">
        <v>81.523200000000003</v>
      </c>
      <c r="M90">
        <v>1623.85</v>
      </c>
      <c r="N90">
        <v>575.98299999999995</v>
      </c>
      <c r="O90">
        <v>18502400</v>
      </c>
      <c r="P90">
        <v>1.47627E-2</v>
      </c>
      <c r="Q90">
        <v>0.87690400000000002</v>
      </c>
      <c r="R90">
        <v>37.733199999999997</v>
      </c>
      <c r="S90">
        <v>57.129300000000001</v>
      </c>
      <c r="T90">
        <v>3.8333200000000001</v>
      </c>
      <c r="U90">
        <v>0.41010099999999999</v>
      </c>
      <c r="V90">
        <v>1.7142500000000001E-2</v>
      </c>
      <c r="W90">
        <v>38.563200000000002</v>
      </c>
      <c r="X90">
        <v>20.949400000000001</v>
      </c>
      <c r="Y90">
        <v>52.117100000000001</v>
      </c>
      <c r="Z90">
        <v>10.549200000000001</v>
      </c>
      <c r="AA90">
        <v>5.9893200000000002</v>
      </c>
      <c r="AB90">
        <v>2.3340100000000001</v>
      </c>
      <c r="AC90">
        <v>8.0609199999999994</v>
      </c>
      <c r="AD90">
        <v>1.7750600000000001</v>
      </c>
      <c r="AE90">
        <v>23.717300000000002</v>
      </c>
      <c r="AF90">
        <v>0</v>
      </c>
      <c r="AG90">
        <v>73.314400000000006</v>
      </c>
      <c r="AH90">
        <v>17.795200000000001</v>
      </c>
      <c r="AI90">
        <v>1.5626</v>
      </c>
      <c r="AJ90">
        <v>7.32775</v>
      </c>
      <c r="AK90">
        <v>0</v>
      </c>
      <c r="AL90">
        <v>8.9542200000000002E-2</v>
      </c>
      <c r="AM90">
        <v>18.9253</v>
      </c>
      <c r="AN90">
        <v>57.652799999999999</v>
      </c>
      <c r="AO90">
        <v>18.028600000000001</v>
      </c>
      <c r="AP90">
        <v>4.2302400000000002</v>
      </c>
      <c r="AQ90">
        <v>0.90986999999999996</v>
      </c>
      <c r="AR90">
        <v>0.25318099999999999</v>
      </c>
      <c r="AS90">
        <v>0.24713599999999999</v>
      </c>
      <c r="AT90">
        <v>0.85580500000000004</v>
      </c>
      <c r="AU90">
        <v>5.3418599999999996</v>
      </c>
      <c r="AV90">
        <v>28.492100000000001</v>
      </c>
      <c r="AW90">
        <v>52.793599999999998</v>
      </c>
      <c r="AX90">
        <v>10.017799999999999</v>
      </c>
      <c r="AY90">
        <v>2.49885</v>
      </c>
      <c r="AZ90">
        <v>526.03499999999997</v>
      </c>
      <c r="BA90">
        <v>587.399</v>
      </c>
      <c r="BB90">
        <v>19815.3</v>
      </c>
      <c r="BC90">
        <v>0.29872599999999999</v>
      </c>
      <c r="BD90">
        <v>0.53537299999999999</v>
      </c>
      <c r="BE90">
        <v>0.47867100000000001</v>
      </c>
      <c r="BF90">
        <v>0.94943</v>
      </c>
      <c r="BG90">
        <v>4.2341899999999999</v>
      </c>
      <c r="BH90">
        <v>18.3398</v>
      </c>
      <c r="BI90">
        <v>75.462500000000006</v>
      </c>
      <c r="BJ90">
        <v>29.276499999999999</v>
      </c>
      <c r="BK90">
        <v>0</v>
      </c>
      <c r="BL90">
        <v>41.480800000000002</v>
      </c>
      <c r="BM90">
        <v>51.962800000000001</v>
      </c>
      <c r="BN90">
        <v>3.7845300000000002</v>
      </c>
      <c r="BO90">
        <v>1.41096</v>
      </c>
      <c r="BP90">
        <v>1.3608499999999999</v>
      </c>
      <c r="BQ90">
        <v>34.318100000000001</v>
      </c>
      <c r="BR90">
        <v>75835</v>
      </c>
    </row>
    <row r="91" spans="1:70" x14ac:dyDescent="0.25">
      <c r="A91">
        <v>35</v>
      </c>
      <c r="B91" s="7">
        <v>46024.545254629629</v>
      </c>
      <c r="C91" t="s">
        <v>118</v>
      </c>
      <c r="D91" s="6" t="s">
        <v>257</v>
      </c>
      <c r="E91" s="6" t="str">
        <f>VLOOKUP(F91,Germplasm!$A$1:$B$21,2,FALSE)</f>
        <v>Thule</v>
      </c>
      <c r="F91" t="s">
        <v>78</v>
      </c>
      <c r="G91" s="6" t="s">
        <v>113</v>
      </c>
      <c r="H91">
        <v>36614.1</v>
      </c>
      <c r="I91">
        <v>474.49200000000002</v>
      </c>
      <c r="J91">
        <v>166727</v>
      </c>
      <c r="K91">
        <v>12.0221</v>
      </c>
      <c r="L91">
        <v>80.5167</v>
      </c>
      <c r="M91">
        <v>1610.13</v>
      </c>
      <c r="N91">
        <v>576.13599999999997</v>
      </c>
      <c r="O91">
        <v>18303900</v>
      </c>
      <c r="P91">
        <v>5.4854300000000003E-3</v>
      </c>
      <c r="Q91">
        <v>0.89129199999999997</v>
      </c>
      <c r="R91">
        <v>39.939500000000002</v>
      </c>
      <c r="S91">
        <v>57.893799999999999</v>
      </c>
      <c r="T91">
        <v>1.07196</v>
      </c>
      <c r="U91">
        <v>0.18468200000000001</v>
      </c>
      <c r="V91">
        <v>1.87359E-2</v>
      </c>
      <c r="W91">
        <v>35.668500000000002</v>
      </c>
      <c r="X91">
        <v>20.7593</v>
      </c>
      <c r="Y91">
        <v>57.239400000000003</v>
      </c>
      <c r="Z91">
        <v>8.0591000000000008</v>
      </c>
      <c r="AA91">
        <v>3.2908200000000001</v>
      </c>
      <c r="AB91">
        <v>1.6126199999999999</v>
      </c>
      <c r="AC91">
        <v>9.0387199999999996</v>
      </c>
      <c r="AD91">
        <v>1.8266899999999999</v>
      </c>
      <c r="AE91">
        <v>25.967700000000001</v>
      </c>
      <c r="AF91">
        <v>0</v>
      </c>
      <c r="AG91">
        <v>63.462400000000002</v>
      </c>
      <c r="AH91">
        <v>27.846800000000002</v>
      </c>
      <c r="AI91">
        <v>1.74244</v>
      </c>
      <c r="AJ91">
        <v>6.9483300000000003</v>
      </c>
      <c r="AK91">
        <v>0</v>
      </c>
      <c r="AL91">
        <v>7.0519499999999999E-2</v>
      </c>
      <c r="AM91">
        <v>19.607099999999999</v>
      </c>
      <c r="AN91">
        <v>65.412300000000002</v>
      </c>
      <c r="AO91">
        <v>11.989599999999999</v>
      </c>
      <c r="AP91">
        <v>2.1479300000000001</v>
      </c>
      <c r="AQ91">
        <v>0.65441700000000003</v>
      </c>
      <c r="AR91">
        <v>0.188697</v>
      </c>
      <c r="AS91">
        <v>0.241586</v>
      </c>
      <c r="AT91">
        <v>1.1254900000000001</v>
      </c>
      <c r="AU91">
        <v>5.867</v>
      </c>
      <c r="AV91">
        <v>29.5411</v>
      </c>
      <c r="AW91">
        <v>51.367100000000001</v>
      </c>
      <c r="AX91">
        <v>9.7894900000000007</v>
      </c>
      <c r="AY91">
        <v>2.30986</v>
      </c>
      <c r="AZ91">
        <v>499.91300000000001</v>
      </c>
      <c r="BA91">
        <v>548.54899999999998</v>
      </c>
      <c r="BB91">
        <v>20044</v>
      </c>
      <c r="BC91">
        <v>0.30043399999999998</v>
      </c>
      <c r="BD91">
        <v>0.68519699999999994</v>
      </c>
      <c r="BE91">
        <v>0.56876700000000002</v>
      </c>
      <c r="BF91">
        <v>1.1013999999999999</v>
      </c>
      <c r="BG91">
        <v>4.63713</v>
      </c>
      <c r="BH91">
        <v>15.2483</v>
      </c>
      <c r="BI91">
        <v>77.759200000000007</v>
      </c>
      <c r="BJ91">
        <v>28.509599999999999</v>
      </c>
      <c r="BK91">
        <v>0</v>
      </c>
      <c r="BL91">
        <v>45.043700000000001</v>
      </c>
      <c r="BM91">
        <v>48.632899999999999</v>
      </c>
      <c r="BN91">
        <v>3.5972900000000001</v>
      </c>
      <c r="BO91">
        <v>1.32623</v>
      </c>
      <c r="BP91">
        <v>1.39984</v>
      </c>
      <c r="BQ91">
        <v>33.22</v>
      </c>
      <c r="BR91">
        <v>74723</v>
      </c>
    </row>
    <row r="92" spans="1:70" x14ac:dyDescent="0.25">
      <c r="A92">
        <v>35</v>
      </c>
      <c r="B92" s="7">
        <v>45952.549988425926</v>
      </c>
      <c r="C92" t="s">
        <v>121</v>
      </c>
      <c r="D92" s="6" t="s">
        <v>249</v>
      </c>
      <c r="E92" s="6" t="str">
        <f>VLOOKUP(F92,Germplasm!$A$1:$B$21,2,FALSE)</f>
        <v>Bredo</v>
      </c>
      <c r="F92" t="s">
        <v>79</v>
      </c>
      <c r="G92" s="6" t="s">
        <v>113</v>
      </c>
      <c r="H92">
        <v>34802</v>
      </c>
      <c r="I92">
        <v>287.34800000000001</v>
      </c>
      <c r="J92">
        <v>123627</v>
      </c>
      <c r="K92">
        <v>15.5434</v>
      </c>
      <c r="L92">
        <v>75.808899999999994</v>
      </c>
      <c r="M92">
        <v>1322.3</v>
      </c>
      <c r="N92">
        <v>485.11200000000002</v>
      </c>
      <c r="O92">
        <v>12200900</v>
      </c>
      <c r="P92">
        <v>0.26732600000000001</v>
      </c>
      <c r="Q92">
        <v>0.47986099999999998</v>
      </c>
      <c r="R92">
        <v>3.5347300000000001</v>
      </c>
      <c r="S92">
        <v>15.7704</v>
      </c>
      <c r="T92">
        <v>37.6417</v>
      </c>
      <c r="U92">
        <v>41.5884</v>
      </c>
      <c r="V92">
        <v>0.98482199999999998</v>
      </c>
      <c r="W92">
        <v>115.7</v>
      </c>
      <c r="X92">
        <v>0.88589700000000005</v>
      </c>
      <c r="Y92">
        <v>2.2856100000000001</v>
      </c>
      <c r="Z92">
        <v>3.7975400000000001</v>
      </c>
      <c r="AA92">
        <v>17.207100000000001</v>
      </c>
      <c r="AB92">
        <v>41.713900000000002</v>
      </c>
      <c r="AC92">
        <v>34.11</v>
      </c>
      <c r="AD92">
        <v>1.8110999999999999</v>
      </c>
      <c r="AE92">
        <v>6.03118</v>
      </c>
      <c r="AF92">
        <v>0</v>
      </c>
      <c r="AG92">
        <v>99.899600000000007</v>
      </c>
      <c r="AH92">
        <v>9.3019099999999993E-2</v>
      </c>
      <c r="AI92">
        <v>7.3824700000000004E-3</v>
      </c>
      <c r="AJ92">
        <v>0</v>
      </c>
      <c r="AK92">
        <v>0</v>
      </c>
      <c r="AL92">
        <v>0.54292200000000002</v>
      </c>
      <c r="AM92">
        <v>0.54335</v>
      </c>
      <c r="AN92">
        <v>2.6945999999999999</v>
      </c>
      <c r="AO92">
        <v>5.0392700000000001</v>
      </c>
      <c r="AP92">
        <v>12.368600000000001</v>
      </c>
      <c r="AQ92">
        <v>38.279600000000002</v>
      </c>
      <c r="AR92">
        <v>41.074599999999997</v>
      </c>
      <c r="AS92">
        <v>5.7644000000000001E-2</v>
      </c>
      <c r="AT92">
        <v>8.1650100000000005</v>
      </c>
      <c r="AU92">
        <v>31.873100000000001</v>
      </c>
      <c r="AV92">
        <v>39.741300000000003</v>
      </c>
      <c r="AW92">
        <v>14.228999999999999</v>
      </c>
      <c r="AX92">
        <v>3.8359299999999998</v>
      </c>
      <c r="AY92">
        <v>2.1556799999999998</v>
      </c>
      <c r="AZ92">
        <v>350.57900000000001</v>
      </c>
      <c r="BA92">
        <v>367.19900000000001</v>
      </c>
      <c r="BB92">
        <v>19215.900000000001</v>
      </c>
      <c r="BC92">
        <v>1.8753800000000001E-2</v>
      </c>
      <c r="BD92">
        <v>4.72478E-2</v>
      </c>
      <c r="BE92">
        <v>0.73972400000000005</v>
      </c>
      <c r="BF92">
        <v>3.14493</v>
      </c>
      <c r="BG92">
        <v>36.106200000000001</v>
      </c>
      <c r="BH92">
        <v>54.273000000000003</v>
      </c>
      <c r="BI92">
        <v>5.68893</v>
      </c>
      <c r="BJ92">
        <v>36.004600000000003</v>
      </c>
      <c r="BK92">
        <v>0</v>
      </c>
      <c r="BL92">
        <v>25.019200000000001</v>
      </c>
      <c r="BM92">
        <v>58.472099999999998</v>
      </c>
      <c r="BN92">
        <v>14.291</v>
      </c>
      <c r="BO92">
        <v>1.7363599999999999</v>
      </c>
      <c r="BP92">
        <v>0.48133700000000001</v>
      </c>
      <c r="BQ92">
        <v>33.542900000000003</v>
      </c>
      <c r="BR92">
        <v>67728</v>
      </c>
    </row>
    <row r="93" spans="1:70" x14ac:dyDescent="0.25">
      <c r="A93">
        <v>35</v>
      </c>
      <c r="B93" s="7">
        <v>45959.516863425924</v>
      </c>
      <c r="C93" t="s">
        <v>121</v>
      </c>
      <c r="D93" s="6" t="s">
        <v>250</v>
      </c>
      <c r="E93" s="6" t="str">
        <f>VLOOKUP(F93,Germplasm!$A$1:$B$21,2,FALSE)</f>
        <v>Bredo</v>
      </c>
      <c r="F93" t="s">
        <v>79</v>
      </c>
      <c r="G93" s="6" t="s">
        <v>113</v>
      </c>
      <c r="H93">
        <v>61711.4</v>
      </c>
      <c r="I93">
        <v>300.30799999999999</v>
      </c>
      <c r="J93">
        <v>176924</v>
      </c>
      <c r="K93">
        <v>20.500900000000001</v>
      </c>
      <c r="L93">
        <v>59.708199999999998</v>
      </c>
      <c r="M93">
        <v>1606.95</v>
      </c>
      <c r="N93">
        <v>631.005</v>
      </c>
      <c r="O93">
        <v>22229800</v>
      </c>
      <c r="P93">
        <v>0.27987099999999998</v>
      </c>
      <c r="Q93">
        <v>0.51080899999999996</v>
      </c>
      <c r="R93">
        <v>2.7041400000000002</v>
      </c>
      <c r="S93">
        <v>13.138199999999999</v>
      </c>
      <c r="T93">
        <v>37.8491</v>
      </c>
      <c r="U93">
        <v>44.432299999999998</v>
      </c>
      <c r="V93">
        <v>1.3653900000000001</v>
      </c>
      <c r="W93">
        <v>115.264</v>
      </c>
      <c r="X93">
        <v>0.769038</v>
      </c>
      <c r="Y93">
        <v>1.80518</v>
      </c>
      <c r="Z93">
        <v>3.4360599999999999</v>
      </c>
      <c r="AA93">
        <v>17.119</v>
      </c>
      <c r="AB93">
        <v>44.121699999999997</v>
      </c>
      <c r="AC93">
        <v>32.749099999999999</v>
      </c>
      <c r="AD93">
        <v>1.7014</v>
      </c>
      <c r="AE93">
        <v>6.1841400000000002</v>
      </c>
      <c r="AF93">
        <v>0</v>
      </c>
      <c r="AG93">
        <v>99.887799999999999</v>
      </c>
      <c r="AH93">
        <v>0.104099</v>
      </c>
      <c r="AI93">
        <v>4.0348299999999997E-3</v>
      </c>
      <c r="AJ93">
        <v>4.0348299999999997E-3</v>
      </c>
      <c r="AK93">
        <v>0</v>
      </c>
      <c r="AL93">
        <v>0.56159899999999996</v>
      </c>
      <c r="AM93">
        <v>0.57536699999999996</v>
      </c>
      <c r="AN93">
        <v>2.2659600000000002</v>
      </c>
      <c r="AO93">
        <v>4.0840500000000004</v>
      </c>
      <c r="AP93">
        <v>11.3508</v>
      </c>
      <c r="AQ93">
        <v>34.703600000000002</v>
      </c>
      <c r="AR93">
        <v>47.020299999999999</v>
      </c>
      <c r="AS93">
        <v>5.8606600000000002E-2</v>
      </c>
      <c r="AT93">
        <v>7.2368699999999997</v>
      </c>
      <c r="AU93">
        <v>32.185000000000002</v>
      </c>
      <c r="AV93">
        <v>41.126199999999997</v>
      </c>
      <c r="AW93">
        <v>13.9323</v>
      </c>
      <c r="AX93">
        <v>3.33196</v>
      </c>
      <c r="AY93">
        <v>2.1876799999999998</v>
      </c>
      <c r="AZ93">
        <v>360.22199999999998</v>
      </c>
      <c r="BA93">
        <v>400.2</v>
      </c>
      <c r="BB93">
        <v>36271</v>
      </c>
      <c r="BC93">
        <v>2.0536599999999999E-2</v>
      </c>
      <c r="BD93">
        <v>5.8908500000000003E-2</v>
      </c>
      <c r="BE93">
        <v>0.43092000000000003</v>
      </c>
      <c r="BF93">
        <v>2.4217</v>
      </c>
      <c r="BG93">
        <v>36.507100000000001</v>
      </c>
      <c r="BH93">
        <v>55.708100000000002</v>
      </c>
      <c r="BI93">
        <v>4.8732699999999998</v>
      </c>
      <c r="BJ93">
        <v>36.842799999999997</v>
      </c>
      <c r="BK93">
        <v>0</v>
      </c>
      <c r="BL93">
        <v>22.717700000000001</v>
      </c>
      <c r="BM93">
        <v>60.072099999999999</v>
      </c>
      <c r="BN93">
        <v>14.5585</v>
      </c>
      <c r="BO93">
        <v>1.74708</v>
      </c>
      <c r="BP93">
        <v>0.904609</v>
      </c>
      <c r="BQ93">
        <v>36.046300000000002</v>
      </c>
      <c r="BR93">
        <v>123921</v>
      </c>
    </row>
    <row r="94" spans="1:70" x14ac:dyDescent="0.25">
      <c r="A94">
        <v>35</v>
      </c>
      <c r="B94" s="7">
        <v>45966.572152777779</v>
      </c>
      <c r="C94" t="s">
        <v>121</v>
      </c>
      <c r="D94" s="6" t="s">
        <v>251</v>
      </c>
      <c r="E94" s="6" t="str">
        <f>VLOOKUP(F94,Germplasm!$A$1:$B$21,2,FALSE)</f>
        <v>Bredo</v>
      </c>
      <c r="F94" t="s">
        <v>79</v>
      </c>
      <c r="G94" s="6" t="s">
        <v>113</v>
      </c>
      <c r="H94">
        <v>82553.3</v>
      </c>
      <c r="I94">
        <v>368.613</v>
      </c>
      <c r="J94">
        <v>230641</v>
      </c>
      <c r="K94">
        <v>20.168099999999999</v>
      </c>
      <c r="L94">
        <v>83.682299999999998</v>
      </c>
      <c r="M94">
        <v>1825.55</v>
      </c>
      <c r="N94">
        <v>628.87199999999996</v>
      </c>
      <c r="O94">
        <v>37887600</v>
      </c>
      <c r="P94">
        <v>0.28467100000000001</v>
      </c>
      <c r="Q94">
        <v>0.43928099999999998</v>
      </c>
      <c r="R94">
        <v>2.31704</v>
      </c>
      <c r="S94">
        <v>11.935499999999999</v>
      </c>
      <c r="T94">
        <v>37.477800000000002</v>
      </c>
      <c r="U94">
        <v>46.567399999999999</v>
      </c>
      <c r="V94">
        <v>1.26301</v>
      </c>
      <c r="W94">
        <v>110.254</v>
      </c>
      <c r="X94">
        <v>0.83956799999999998</v>
      </c>
      <c r="Y94">
        <v>2.6241099999999999</v>
      </c>
      <c r="Z94">
        <v>5.2366400000000004</v>
      </c>
      <c r="AA94">
        <v>19.915099999999999</v>
      </c>
      <c r="AB94">
        <v>45.871000000000002</v>
      </c>
      <c r="AC94">
        <v>25.5136</v>
      </c>
      <c r="AD94">
        <v>1.7747299999999999</v>
      </c>
      <c r="AE94">
        <v>6.3789499999999997</v>
      </c>
      <c r="AF94">
        <v>0</v>
      </c>
      <c r="AG94">
        <v>99.803799999999995</v>
      </c>
      <c r="AH94">
        <v>0.194965</v>
      </c>
      <c r="AI94">
        <v>1.21853E-3</v>
      </c>
      <c r="AJ94">
        <v>0</v>
      </c>
      <c r="AK94">
        <v>0</v>
      </c>
      <c r="AL94">
        <v>0.53786</v>
      </c>
      <c r="AM94">
        <v>0.61474899999999999</v>
      </c>
      <c r="AN94">
        <v>2.76789</v>
      </c>
      <c r="AO94">
        <v>5.7082100000000002</v>
      </c>
      <c r="AP94">
        <v>13.4215</v>
      </c>
      <c r="AQ94">
        <v>36.842300000000002</v>
      </c>
      <c r="AR94">
        <v>40.645299999999999</v>
      </c>
      <c r="AS94">
        <v>0.10154299999999999</v>
      </c>
      <c r="AT94">
        <v>4.3385800000000003</v>
      </c>
      <c r="AU94">
        <v>27.544899999999998</v>
      </c>
      <c r="AV94">
        <v>42.167299999999997</v>
      </c>
      <c r="AW94">
        <v>17.5548</v>
      </c>
      <c r="AX94">
        <v>5.58331</v>
      </c>
      <c r="AY94">
        <v>2.81115</v>
      </c>
      <c r="AZ94">
        <v>458.947</v>
      </c>
      <c r="BA94">
        <v>539.99900000000002</v>
      </c>
      <c r="BB94">
        <v>46516.1</v>
      </c>
      <c r="BC94">
        <v>4.8491300000000001E-2</v>
      </c>
      <c r="BD94">
        <v>6.7628499999999994E-2</v>
      </c>
      <c r="BE94">
        <v>0.28269899999999998</v>
      </c>
      <c r="BF94">
        <v>1.7144699999999999</v>
      </c>
      <c r="BG94">
        <v>29.8187</v>
      </c>
      <c r="BH94">
        <v>58.627800000000001</v>
      </c>
      <c r="BI94">
        <v>9.4886999999999997</v>
      </c>
      <c r="BJ94">
        <v>38.0154</v>
      </c>
      <c r="BK94">
        <v>0</v>
      </c>
      <c r="BL94">
        <v>19.121200000000002</v>
      </c>
      <c r="BM94">
        <v>62.390599999999999</v>
      </c>
      <c r="BN94">
        <v>15.666700000000001</v>
      </c>
      <c r="BO94">
        <v>1.9496500000000001</v>
      </c>
      <c r="BP94">
        <v>0.87185900000000005</v>
      </c>
      <c r="BQ94">
        <v>34.348500000000001</v>
      </c>
      <c r="BR94">
        <v>164132</v>
      </c>
    </row>
    <row r="95" spans="1:70" x14ac:dyDescent="0.25">
      <c r="A95">
        <v>35</v>
      </c>
      <c r="B95" s="7">
        <v>45973.551736111112</v>
      </c>
      <c r="C95" t="s">
        <v>121</v>
      </c>
      <c r="D95" s="6" t="s">
        <v>252</v>
      </c>
      <c r="E95" s="6" t="str">
        <f>VLOOKUP(F95,Germplasm!$A$1:$B$21,2,FALSE)</f>
        <v>Bredo</v>
      </c>
      <c r="F95" t="s">
        <v>79</v>
      </c>
      <c r="G95" s="6" t="s">
        <v>113</v>
      </c>
      <c r="H95">
        <v>86005.3</v>
      </c>
      <c r="I95">
        <v>418.846</v>
      </c>
      <c r="J95">
        <v>211259</v>
      </c>
      <c r="K95">
        <v>24.145299999999999</v>
      </c>
      <c r="L95">
        <v>90.117800000000003</v>
      </c>
      <c r="M95">
        <v>1674.08</v>
      </c>
      <c r="N95">
        <v>573.52599999999995</v>
      </c>
      <c r="O95">
        <v>46477400</v>
      </c>
      <c r="P95">
        <v>0.245588</v>
      </c>
      <c r="Q95">
        <v>0.60447600000000001</v>
      </c>
      <c r="R95">
        <v>6.1371500000000001</v>
      </c>
      <c r="S95">
        <v>15.915800000000001</v>
      </c>
      <c r="T95">
        <v>38.863900000000001</v>
      </c>
      <c r="U95">
        <v>37.734999999999999</v>
      </c>
      <c r="V95">
        <v>0.74362399999999995</v>
      </c>
      <c r="W95">
        <v>99.910300000000007</v>
      </c>
      <c r="X95">
        <v>3.5017900000000002</v>
      </c>
      <c r="Y95">
        <v>7.8801600000000001</v>
      </c>
      <c r="Z95">
        <v>7.2914599999999998</v>
      </c>
      <c r="AA95">
        <v>23.526700000000002</v>
      </c>
      <c r="AB95">
        <v>38.502800000000001</v>
      </c>
      <c r="AC95">
        <v>19.2971</v>
      </c>
      <c r="AD95">
        <v>1.68608</v>
      </c>
      <c r="AE95">
        <v>7.5171900000000003</v>
      </c>
      <c r="AF95">
        <v>0</v>
      </c>
      <c r="AG95">
        <v>99.532399999999996</v>
      </c>
      <c r="AH95">
        <v>0.46645500000000001</v>
      </c>
      <c r="AI95">
        <v>1.1267E-3</v>
      </c>
      <c r="AJ95">
        <v>0</v>
      </c>
      <c r="AK95">
        <v>0</v>
      </c>
      <c r="AL95">
        <v>0.47794399999999998</v>
      </c>
      <c r="AM95">
        <v>1.2455700000000001</v>
      </c>
      <c r="AN95">
        <v>8.3201400000000003</v>
      </c>
      <c r="AO95">
        <v>9.23841</v>
      </c>
      <c r="AP95">
        <v>14.8939</v>
      </c>
      <c r="AQ95">
        <v>35.977899999999998</v>
      </c>
      <c r="AR95">
        <v>30.324100000000001</v>
      </c>
      <c r="AS95">
        <v>0.14752000000000001</v>
      </c>
      <c r="AT95">
        <v>2.5992999999999999</v>
      </c>
      <c r="AU95">
        <v>21.2789</v>
      </c>
      <c r="AV95">
        <v>39.967599999999997</v>
      </c>
      <c r="AW95">
        <v>24.962700000000002</v>
      </c>
      <c r="AX95">
        <v>8.5229499999999998</v>
      </c>
      <c r="AY95">
        <v>2.6686000000000001</v>
      </c>
      <c r="AZ95">
        <v>540.40200000000004</v>
      </c>
      <c r="BA95">
        <v>592.19899999999996</v>
      </c>
      <c r="BB95">
        <v>51009</v>
      </c>
      <c r="BC95">
        <v>9.8699700000000001E-2</v>
      </c>
      <c r="BD95">
        <v>4.9011600000000002E-2</v>
      </c>
      <c r="BE95">
        <v>0.21576400000000001</v>
      </c>
      <c r="BF95">
        <v>1.0523400000000001</v>
      </c>
      <c r="BG95">
        <v>22.5611</v>
      </c>
      <c r="BH95">
        <v>56.339100000000002</v>
      </c>
      <c r="BI95">
        <v>19.782699999999998</v>
      </c>
      <c r="BJ95">
        <v>37.092599999999997</v>
      </c>
      <c r="BK95">
        <v>0</v>
      </c>
      <c r="BL95">
        <v>19.005800000000001</v>
      </c>
      <c r="BM95">
        <v>65.308800000000005</v>
      </c>
      <c r="BN95">
        <v>13.4573</v>
      </c>
      <c r="BO95">
        <v>1.4680899999999999</v>
      </c>
      <c r="BP95">
        <v>0.759961</v>
      </c>
      <c r="BQ95">
        <v>36.433999999999997</v>
      </c>
      <c r="BR95">
        <v>177509</v>
      </c>
    </row>
    <row r="96" spans="1:70" x14ac:dyDescent="0.25">
      <c r="A96">
        <v>35</v>
      </c>
      <c r="B96" s="7">
        <v>45988.533020833333</v>
      </c>
      <c r="C96" t="s">
        <v>121</v>
      </c>
      <c r="D96" s="6" t="s">
        <v>253</v>
      </c>
      <c r="E96" s="6" t="str">
        <f>VLOOKUP(F96,Germplasm!$A$1:$B$21,2,FALSE)</f>
        <v>Bredo</v>
      </c>
      <c r="F96" t="s">
        <v>79</v>
      </c>
      <c r="G96" s="6" t="s">
        <v>113</v>
      </c>
      <c r="H96">
        <v>62017.7</v>
      </c>
      <c r="I96">
        <v>461.375</v>
      </c>
      <c r="J96">
        <v>170181</v>
      </c>
      <c r="K96">
        <v>21.626300000000001</v>
      </c>
      <c r="L96">
        <v>77.638499999999993</v>
      </c>
      <c r="M96">
        <v>1584.32</v>
      </c>
      <c r="N96">
        <v>567.42399999999998</v>
      </c>
      <c r="O96">
        <v>34765700</v>
      </c>
      <c r="P96">
        <v>0.175312</v>
      </c>
      <c r="Q96">
        <v>1.1726399999999999</v>
      </c>
      <c r="R96">
        <v>13.697800000000001</v>
      </c>
      <c r="S96">
        <v>24.864899999999999</v>
      </c>
      <c r="T96">
        <v>37.9268</v>
      </c>
      <c r="U96">
        <v>21.9771</v>
      </c>
      <c r="V96">
        <v>0.36070000000000002</v>
      </c>
      <c r="W96">
        <v>85.358500000000006</v>
      </c>
      <c r="X96">
        <v>8.3238400000000006</v>
      </c>
      <c r="Y96">
        <v>15.414400000000001</v>
      </c>
      <c r="Z96">
        <v>7.9536499999999997</v>
      </c>
      <c r="AA96">
        <v>24.689699999999998</v>
      </c>
      <c r="AB96">
        <v>30.344100000000001</v>
      </c>
      <c r="AC96">
        <v>13.2743</v>
      </c>
      <c r="AD96">
        <v>1.6850799999999999</v>
      </c>
      <c r="AE96">
        <v>8.2635000000000005</v>
      </c>
      <c r="AF96">
        <v>0</v>
      </c>
      <c r="AG96">
        <v>98.6755</v>
      </c>
      <c r="AH96">
        <v>1.3179399999999999</v>
      </c>
      <c r="AI96">
        <v>6.5714500000000004E-3</v>
      </c>
      <c r="AJ96">
        <v>0</v>
      </c>
      <c r="AK96">
        <v>0</v>
      </c>
      <c r="AL96">
        <v>0.380131</v>
      </c>
      <c r="AM96">
        <v>3.28938</v>
      </c>
      <c r="AN96">
        <v>15.9307</v>
      </c>
      <c r="AO96">
        <v>14.514900000000001</v>
      </c>
      <c r="AP96">
        <v>18.8279</v>
      </c>
      <c r="AQ96">
        <v>35.3384</v>
      </c>
      <c r="AR96">
        <v>12.098800000000001</v>
      </c>
      <c r="AS96">
        <v>0.19298399999999999</v>
      </c>
      <c r="AT96">
        <v>1.06385</v>
      </c>
      <c r="AU96">
        <v>13.9183</v>
      </c>
      <c r="AV96">
        <v>40.616</v>
      </c>
      <c r="AW96">
        <v>30.7486</v>
      </c>
      <c r="AX96">
        <v>10.2354</v>
      </c>
      <c r="AY96">
        <v>3.4178899999999999</v>
      </c>
      <c r="AZ96">
        <v>560.577</v>
      </c>
      <c r="BA96">
        <v>592.79899999999998</v>
      </c>
      <c r="BB96">
        <v>36803.9</v>
      </c>
      <c r="BC96">
        <v>0.15501300000000001</v>
      </c>
      <c r="BD96">
        <v>5.1111299999999998E-2</v>
      </c>
      <c r="BE96">
        <v>0.19933400000000001</v>
      </c>
      <c r="BF96">
        <v>0.83530499999999996</v>
      </c>
      <c r="BG96">
        <v>13.8964</v>
      </c>
      <c r="BH96">
        <v>53.823099999999997</v>
      </c>
      <c r="BI96">
        <v>31.194700000000001</v>
      </c>
      <c r="BJ96">
        <v>34.292099999999998</v>
      </c>
      <c r="BK96">
        <v>0</v>
      </c>
      <c r="BL96">
        <v>27.023299999999999</v>
      </c>
      <c r="BM96">
        <v>60.546500000000002</v>
      </c>
      <c r="BN96">
        <v>10.152200000000001</v>
      </c>
      <c r="BO96">
        <v>1.3639399999999999</v>
      </c>
      <c r="BP96">
        <v>0.91416200000000003</v>
      </c>
      <c r="BQ96">
        <v>36.451099999999997</v>
      </c>
      <c r="BR96">
        <v>136956</v>
      </c>
    </row>
    <row r="97" spans="1:70" x14ac:dyDescent="0.25">
      <c r="A97">
        <v>35</v>
      </c>
      <c r="B97" s="7">
        <v>45994.536944444444</v>
      </c>
      <c r="C97" t="s">
        <v>121</v>
      </c>
      <c r="D97" s="6" t="s">
        <v>254</v>
      </c>
      <c r="E97" s="6" t="str">
        <f>VLOOKUP(F97,Germplasm!$A$1:$B$21,2,FALSE)</f>
        <v>Bredo</v>
      </c>
      <c r="F97" t="s">
        <v>79</v>
      </c>
      <c r="G97" s="6" t="s">
        <v>113</v>
      </c>
      <c r="H97">
        <v>45957.1</v>
      </c>
      <c r="I97">
        <v>459.29300000000001</v>
      </c>
      <c r="J97">
        <v>119512</v>
      </c>
      <c r="K97">
        <v>22.013300000000001</v>
      </c>
      <c r="L97">
        <v>74.912499999999994</v>
      </c>
      <c r="M97">
        <v>1347.98</v>
      </c>
      <c r="N97">
        <v>476.25799999999998</v>
      </c>
      <c r="O97">
        <v>25783400</v>
      </c>
      <c r="P97">
        <v>0.14136799999999999</v>
      </c>
      <c r="Q97">
        <v>1.25139</v>
      </c>
      <c r="R97">
        <v>16.920400000000001</v>
      </c>
      <c r="S97">
        <v>31.4513</v>
      </c>
      <c r="T97">
        <v>36.216500000000003</v>
      </c>
      <c r="U97">
        <v>13.8363</v>
      </c>
      <c r="V97">
        <v>0.32417899999999999</v>
      </c>
      <c r="W97">
        <v>75.341200000000001</v>
      </c>
      <c r="X97">
        <v>10.307700000000001</v>
      </c>
      <c r="Y97">
        <v>20.740600000000001</v>
      </c>
      <c r="Z97">
        <v>10.4053</v>
      </c>
      <c r="AA97">
        <v>26.43</v>
      </c>
      <c r="AB97">
        <v>21.002700000000001</v>
      </c>
      <c r="AC97">
        <v>11.1137</v>
      </c>
      <c r="AD97">
        <v>1.74685</v>
      </c>
      <c r="AE97">
        <v>8.8371499999999994</v>
      </c>
      <c r="AF97">
        <v>0</v>
      </c>
      <c r="AG97">
        <v>98.240200000000002</v>
      </c>
      <c r="AH97">
        <v>1.75688</v>
      </c>
      <c r="AI97">
        <v>2.9560400000000001E-3</v>
      </c>
      <c r="AJ97">
        <v>0</v>
      </c>
      <c r="AK97">
        <v>0</v>
      </c>
      <c r="AL97">
        <v>0.32304699999999997</v>
      </c>
      <c r="AM97">
        <v>4.4833299999999996</v>
      </c>
      <c r="AN97">
        <v>21.5624</v>
      </c>
      <c r="AO97">
        <v>17.9984</v>
      </c>
      <c r="AP97">
        <v>21.9102</v>
      </c>
      <c r="AQ97">
        <v>28.150400000000001</v>
      </c>
      <c r="AR97">
        <v>5.89534</v>
      </c>
      <c r="AS97">
        <v>0.22286700000000001</v>
      </c>
      <c r="AT97">
        <v>0.870062</v>
      </c>
      <c r="AU97">
        <v>10.5265</v>
      </c>
      <c r="AV97">
        <v>36.075600000000001</v>
      </c>
      <c r="AW97">
        <v>36.544600000000003</v>
      </c>
      <c r="AX97">
        <v>12.173999999999999</v>
      </c>
      <c r="AY97">
        <v>3.8093499999999998</v>
      </c>
      <c r="AZ97">
        <v>561.03200000000004</v>
      </c>
      <c r="BA97">
        <v>589.79899999999998</v>
      </c>
      <c r="BB97">
        <v>26308.6</v>
      </c>
      <c r="BC97">
        <v>0.19628599999999999</v>
      </c>
      <c r="BD97">
        <v>6.1091600000000003E-2</v>
      </c>
      <c r="BE97">
        <v>0.220718</v>
      </c>
      <c r="BF97">
        <v>0.66609499999999999</v>
      </c>
      <c r="BG97">
        <v>10.4457</v>
      </c>
      <c r="BH97">
        <v>47.803199999999997</v>
      </c>
      <c r="BI97">
        <v>40.8033</v>
      </c>
      <c r="BJ97">
        <v>33.615400000000001</v>
      </c>
      <c r="BK97">
        <v>0</v>
      </c>
      <c r="BL97">
        <v>29.197800000000001</v>
      </c>
      <c r="BM97">
        <v>59.297199999999997</v>
      </c>
      <c r="BN97">
        <v>9.1282599999999992</v>
      </c>
      <c r="BO97">
        <v>1.47014</v>
      </c>
      <c r="BP97">
        <v>0.90651999999999999</v>
      </c>
      <c r="BQ97">
        <v>34.961500000000001</v>
      </c>
      <c r="BR97">
        <v>101487</v>
      </c>
    </row>
    <row r="98" spans="1:70" x14ac:dyDescent="0.25">
      <c r="A98">
        <v>35</v>
      </c>
      <c r="B98" s="7">
        <v>46002.58258101852</v>
      </c>
      <c r="C98" t="s">
        <v>121</v>
      </c>
      <c r="D98" s="6" t="s">
        <v>255</v>
      </c>
      <c r="E98" s="6" t="str">
        <f>VLOOKUP(F98,Germplasm!$A$1:$B$21,2,FALSE)</f>
        <v>Bredo</v>
      </c>
      <c r="F98" t="s">
        <v>79</v>
      </c>
      <c r="G98" s="6" t="s">
        <v>113</v>
      </c>
      <c r="H98">
        <v>44183.8</v>
      </c>
      <c r="I98">
        <v>490.08699999999999</v>
      </c>
      <c r="J98">
        <v>139260</v>
      </c>
      <c r="K98">
        <v>17.444500000000001</v>
      </c>
      <c r="L98">
        <v>57.4373</v>
      </c>
      <c r="M98">
        <v>1544.38</v>
      </c>
      <c r="N98">
        <v>591.93600000000004</v>
      </c>
      <c r="O98">
        <v>24370700</v>
      </c>
      <c r="P98">
        <v>8.3251199999999997E-2</v>
      </c>
      <c r="Q98">
        <v>1.28373</v>
      </c>
      <c r="R98">
        <v>26.710999999999999</v>
      </c>
      <c r="S98">
        <v>42.401200000000003</v>
      </c>
      <c r="T98">
        <v>22.933</v>
      </c>
      <c r="U98">
        <v>6.3279800000000002</v>
      </c>
      <c r="V98">
        <v>0.34308300000000003</v>
      </c>
      <c r="W98">
        <v>55.817</v>
      </c>
      <c r="X98">
        <v>15.827199999999999</v>
      </c>
      <c r="Y98">
        <v>35.076900000000002</v>
      </c>
      <c r="Z98">
        <v>12.1037</v>
      </c>
      <c r="AA98">
        <v>18.4832</v>
      </c>
      <c r="AB98">
        <v>10.059699999999999</v>
      </c>
      <c r="AC98">
        <v>8.4493299999999998</v>
      </c>
      <c r="AD98">
        <v>1.81877</v>
      </c>
      <c r="AE98">
        <v>11.3156</v>
      </c>
      <c r="AF98">
        <v>0</v>
      </c>
      <c r="AG98">
        <v>95.831500000000005</v>
      </c>
      <c r="AH98">
        <v>4.1592399999999996</v>
      </c>
      <c r="AI98">
        <v>7.2119599999999999E-3</v>
      </c>
      <c r="AJ98">
        <v>2.0605599999999999E-3</v>
      </c>
      <c r="AK98">
        <v>0</v>
      </c>
      <c r="AL98">
        <v>0.22007399999999999</v>
      </c>
      <c r="AM98">
        <v>7.3809300000000002</v>
      </c>
      <c r="AN98">
        <v>36.429699999999997</v>
      </c>
      <c r="AO98">
        <v>24.8308</v>
      </c>
      <c r="AP98">
        <v>16.9481</v>
      </c>
      <c r="AQ98">
        <v>11.7864</v>
      </c>
      <c r="AR98">
        <v>2.62412</v>
      </c>
      <c r="AS98">
        <v>0.27094600000000002</v>
      </c>
      <c r="AT98">
        <v>0.71810499999999999</v>
      </c>
      <c r="AU98">
        <v>6.6226399999999996</v>
      </c>
      <c r="AV98">
        <v>27.038699999999999</v>
      </c>
      <c r="AW98">
        <v>42.914200000000001</v>
      </c>
      <c r="AX98">
        <v>18.561499999999999</v>
      </c>
      <c r="AY98">
        <v>4.1448200000000002</v>
      </c>
      <c r="AZ98">
        <v>551.57399999999996</v>
      </c>
      <c r="BA98">
        <v>583.79899999999998</v>
      </c>
      <c r="BB98">
        <v>24293.200000000001</v>
      </c>
      <c r="BC98">
        <v>0.27238299999999999</v>
      </c>
      <c r="BD98">
        <v>0.108179</v>
      </c>
      <c r="BE98">
        <v>0.24726699999999999</v>
      </c>
      <c r="BF98">
        <v>0.70265100000000003</v>
      </c>
      <c r="BG98">
        <v>6.2816200000000002</v>
      </c>
      <c r="BH98">
        <v>30.293299999999999</v>
      </c>
      <c r="BI98">
        <v>62.366999999999997</v>
      </c>
      <c r="BJ98">
        <v>33.399500000000003</v>
      </c>
      <c r="BK98">
        <v>0</v>
      </c>
      <c r="BL98">
        <v>31.250499999999999</v>
      </c>
      <c r="BM98">
        <v>56.658200000000001</v>
      </c>
      <c r="BN98">
        <v>9.6434200000000008</v>
      </c>
      <c r="BO98">
        <v>1.54233</v>
      </c>
      <c r="BP98">
        <v>0.90561599999999998</v>
      </c>
      <c r="BQ98">
        <v>33.389699999999998</v>
      </c>
      <c r="BR98">
        <v>97061</v>
      </c>
    </row>
    <row r="99" spans="1:70" x14ac:dyDescent="0.25">
      <c r="A99">
        <v>35</v>
      </c>
      <c r="B99" s="7">
        <v>46013.597025462965</v>
      </c>
      <c r="C99" t="s">
        <v>121</v>
      </c>
      <c r="D99" s="6" t="s">
        <v>256</v>
      </c>
      <c r="E99" s="6" t="str">
        <f>VLOOKUP(F99,Germplasm!$A$1:$B$21,2,FALSE)</f>
        <v>Bredo</v>
      </c>
      <c r="F99" t="s">
        <v>79</v>
      </c>
      <c r="G99" s="6" t="s">
        <v>113</v>
      </c>
      <c r="H99">
        <v>44494.9</v>
      </c>
      <c r="I99">
        <v>422.96</v>
      </c>
      <c r="J99">
        <v>135892</v>
      </c>
      <c r="K99">
        <v>17.730599999999999</v>
      </c>
      <c r="L99">
        <v>69.474900000000005</v>
      </c>
      <c r="M99">
        <v>1379.42</v>
      </c>
      <c r="N99">
        <v>506.12400000000002</v>
      </c>
      <c r="O99">
        <v>19956400</v>
      </c>
      <c r="P99">
        <v>1.23106E-2</v>
      </c>
      <c r="Q99">
        <v>0.891123</v>
      </c>
      <c r="R99">
        <v>44.187800000000003</v>
      </c>
      <c r="S99">
        <v>49.183900000000001</v>
      </c>
      <c r="T99">
        <v>4.98672</v>
      </c>
      <c r="U99">
        <v>0.71688700000000005</v>
      </c>
      <c r="V99">
        <v>3.3587699999999998E-2</v>
      </c>
      <c r="W99">
        <v>35.667099999999998</v>
      </c>
      <c r="X99">
        <v>25.631599999999999</v>
      </c>
      <c r="Y99">
        <v>53.001399999999997</v>
      </c>
      <c r="Z99">
        <v>8.2489299999999997</v>
      </c>
      <c r="AA99">
        <v>5.1651600000000002</v>
      </c>
      <c r="AB99">
        <v>2.0960800000000002</v>
      </c>
      <c r="AC99">
        <v>5.8568499999999997</v>
      </c>
      <c r="AD99">
        <v>1.8466899999999999</v>
      </c>
      <c r="AE99">
        <v>16.3932</v>
      </c>
      <c r="AF99">
        <v>0</v>
      </c>
      <c r="AG99">
        <v>87.883200000000002</v>
      </c>
      <c r="AH99">
        <v>11.8355</v>
      </c>
      <c r="AI99">
        <v>0.28024700000000002</v>
      </c>
      <c r="AJ99">
        <v>1.04962E-3</v>
      </c>
      <c r="AK99">
        <v>0</v>
      </c>
      <c r="AL99">
        <v>0.116242</v>
      </c>
      <c r="AM99">
        <v>11.113300000000001</v>
      </c>
      <c r="AN99">
        <v>58.279899999999998</v>
      </c>
      <c r="AO99">
        <v>23.298300000000001</v>
      </c>
      <c r="AP99">
        <v>5.6679199999999996</v>
      </c>
      <c r="AQ99">
        <v>1.27843</v>
      </c>
      <c r="AR99">
        <v>0.36211700000000002</v>
      </c>
      <c r="AS99">
        <v>0.29051399999999999</v>
      </c>
      <c r="AT99">
        <v>0.45238400000000001</v>
      </c>
      <c r="AU99">
        <v>3.3934099999999998</v>
      </c>
      <c r="AV99">
        <v>23.0244</v>
      </c>
      <c r="AW99">
        <v>52.6235</v>
      </c>
      <c r="AX99">
        <v>16.406500000000001</v>
      </c>
      <c r="AY99">
        <v>4.0998000000000001</v>
      </c>
      <c r="AZ99">
        <v>448.51</v>
      </c>
      <c r="BA99">
        <v>526.19899999999996</v>
      </c>
      <c r="BB99">
        <v>24094.400000000001</v>
      </c>
      <c r="BC99">
        <v>0.34105400000000002</v>
      </c>
      <c r="BD99">
        <v>8.5018800000000005E-2</v>
      </c>
      <c r="BE99">
        <v>0.231965</v>
      </c>
      <c r="BF99">
        <v>0.60143000000000002</v>
      </c>
      <c r="BG99">
        <v>2.9273799999999999</v>
      </c>
      <c r="BH99">
        <v>14.2317</v>
      </c>
      <c r="BI99">
        <v>81.922499999999999</v>
      </c>
      <c r="BJ99">
        <v>30.967400000000001</v>
      </c>
      <c r="BK99">
        <v>0</v>
      </c>
      <c r="BL99">
        <v>35.9861</v>
      </c>
      <c r="BM99">
        <v>55.124699999999997</v>
      </c>
      <c r="BN99">
        <v>7.1426299999999996</v>
      </c>
      <c r="BO99">
        <v>1.33931</v>
      </c>
      <c r="BP99">
        <v>0.40725099999999997</v>
      </c>
      <c r="BQ99">
        <v>32.820599999999999</v>
      </c>
      <c r="BR99">
        <v>95273</v>
      </c>
    </row>
    <row r="100" spans="1:70" x14ac:dyDescent="0.25">
      <c r="A100">
        <v>35</v>
      </c>
      <c r="B100" s="7">
        <v>46024.545254629629</v>
      </c>
      <c r="C100" t="s">
        <v>121</v>
      </c>
      <c r="D100" s="6" t="s">
        <v>257</v>
      </c>
      <c r="E100" s="6" t="str">
        <f>VLOOKUP(F100,Germplasm!$A$1:$B$21,2,FALSE)</f>
        <v>Bredo</v>
      </c>
      <c r="F100" t="s">
        <v>79</v>
      </c>
      <c r="G100" s="6" t="s">
        <v>113</v>
      </c>
      <c r="H100">
        <v>39645.300000000003</v>
      </c>
      <c r="I100">
        <v>140.62299999999999</v>
      </c>
      <c r="J100">
        <v>110799</v>
      </c>
      <c r="K100">
        <v>20.869299999999999</v>
      </c>
      <c r="L100">
        <v>72.618200000000002</v>
      </c>
      <c r="M100">
        <v>1256.81</v>
      </c>
      <c r="N100">
        <v>476.56700000000001</v>
      </c>
      <c r="O100">
        <v>6252610</v>
      </c>
      <c r="P100">
        <v>-1.08373E-3</v>
      </c>
      <c r="Q100">
        <v>0.948349</v>
      </c>
      <c r="R100">
        <v>48.100900000000003</v>
      </c>
      <c r="S100">
        <v>49.441899999999997</v>
      </c>
      <c r="T100">
        <v>1.27471</v>
      </c>
      <c r="U100">
        <v>0.22467100000000001</v>
      </c>
      <c r="V100">
        <v>9.4598400000000006E-3</v>
      </c>
      <c r="W100">
        <v>31.639099999999999</v>
      </c>
      <c r="X100">
        <v>26.5656</v>
      </c>
      <c r="Y100">
        <v>60.5383</v>
      </c>
      <c r="Z100">
        <v>5.5836699999999997</v>
      </c>
      <c r="AA100">
        <v>1.54077</v>
      </c>
      <c r="AB100">
        <v>0.69293300000000002</v>
      </c>
      <c r="AC100">
        <v>5.0787500000000003</v>
      </c>
      <c r="AD100">
        <v>1.71455</v>
      </c>
      <c r="AE100">
        <v>19.422000000000001</v>
      </c>
      <c r="AF100">
        <v>0</v>
      </c>
      <c r="AG100">
        <v>76.389399999999995</v>
      </c>
      <c r="AH100">
        <v>23.442699999999999</v>
      </c>
      <c r="AI100">
        <v>0.165547</v>
      </c>
      <c r="AJ100">
        <v>2.3649600000000002E-3</v>
      </c>
      <c r="AK100">
        <v>0</v>
      </c>
      <c r="AL100">
        <v>9.8158200000000001E-2</v>
      </c>
      <c r="AM100">
        <v>12.2706</v>
      </c>
      <c r="AN100">
        <v>63.843299999999999</v>
      </c>
      <c r="AO100">
        <v>20.194400000000002</v>
      </c>
      <c r="AP100">
        <v>2.7918400000000001</v>
      </c>
      <c r="AQ100">
        <v>0.74141500000000005</v>
      </c>
      <c r="AR100">
        <v>0.15845200000000001</v>
      </c>
      <c r="AS100">
        <v>0.31432599999999999</v>
      </c>
      <c r="AT100">
        <v>0.508467</v>
      </c>
      <c r="AU100">
        <v>2.7126100000000002</v>
      </c>
      <c r="AV100">
        <v>16.244900000000001</v>
      </c>
      <c r="AW100">
        <v>56.625399999999999</v>
      </c>
      <c r="AX100">
        <v>19.129000000000001</v>
      </c>
      <c r="AY100">
        <v>4.7795899999999998</v>
      </c>
      <c r="AZ100">
        <v>157.714</v>
      </c>
      <c r="BA100">
        <v>175.499</v>
      </c>
      <c r="BB100">
        <v>23122.9</v>
      </c>
      <c r="BC100">
        <v>0.37101600000000001</v>
      </c>
      <c r="BD100">
        <v>8.15911E-2</v>
      </c>
      <c r="BE100">
        <v>0.34173700000000001</v>
      </c>
      <c r="BF100">
        <v>0.67046600000000001</v>
      </c>
      <c r="BG100">
        <v>2.1261000000000001</v>
      </c>
      <c r="BH100">
        <v>7.6234500000000001</v>
      </c>
      <c r="BI100">
        <v>89.156700000000001</v>
      </c>
      <c r="BJ100">
        <v>32.566699999999997</v>
      </c>
      <c r="BK100">
        <v>0</v>
      </c>
      <c r="BL100">
        <v>30.505600000000001</v>
      </c>
      <c r="BM100">
        <v>59.381799999999998</v>
      </c>
      <c r="BN100">
        <v>8.0976300000000005</v>
      </c>
      <c r="BO100">
        <v>1.5656000000000001</v>
      </c>
      <c r="BP100">
        <v>0.44934299999999999</v>
      </c>
      <c r="BQ100">
        <v>35.715600000000002</v>
      </c>
      <c r="BR100">
        <v>84568</v>
      </c>
    </row>
    <row r="101" spans="1:70" x14ac:dyDescent="0.25">
      <c r="A101">
        <v>35</v>
      </c>
      <c r="B101" s="7">
        <v>45952.549988425926</v>
      </c>
      <c r="C101" t="s">
        <v>120</v>
      </c>
      <c r="D101" s="6" t="s">
        <v>249</v>
      </c>
      <c r="E101" s="6" t="str">
        <f>VLOOKUP(F101,Germplasm!$A$1:$B$21,2,FALSE)</f>
        <v>Rodhette</v>
      </c>
      <c r="F101" t="s">
        <v>80</v>
      </c>
      <c r="G101" s="6" t="s">
        <v>113</v>
      </c>
      <c r="H101">
        <v>25912.7</v>
      </c>
      <c r="I101">
        <v>289.34399999999999</v>
      </c>
      <c r="J101">
        <v>124816</v>
      </c>
      <c r="K101">
        <v>11.9611</v>
      </c>
      <c r="L101">
        <v>72.271699999999996</v>
      </c>
      <c r="M101">
        <v>1399.17</v>
      </c>
      <c r="N101">
        <v>516.98599999999999</v>
      </c>
      <c r="O101">
        <v>9029240</v>
      </c>
      <c r="P101">
        <v>0.255907</v>
      </c>
      <c r="Q101">
        <v>0.66338699999999995</v>
      </c>
      <c r="R101">
        <v>3.8312499999999998</v>
      </c>
      <c r="S101">
        <v>15.7834</v>
      </c>
      <c r="T101">
        <v>39.982100000000003</v>
      </c>
      <c r="U101">
        <v>39.210599999999999</v>
      </c>
      <c r="V101">
        <v>0.52921899999999999</v>
      </c>
      <c r="W101">
        <v>117.255</v>
      </c>
      <c r="X101">
        <v>0.91867900000000002</v>
      </c>
      <c r="Y101">
        <v>1.8131299999999999</v>
      </c>
      <c r="Z101">
        <v>3.2256300000000002</v>
      </c>
      <c r="AA101">
        <v>16.4207</v>
      </c>
      <c r="AB101">
        <v>41.238100000000003</v>
      </c>
      <c r="AC101">
        <v>36.383800000000001</v>
      </c>
      <c r="AD101">
        <v>1.73569</v>
      </c>
      <c r="AE101">
        <v>6.3815400000000002</v>
      </c>
      <c r="AF101">
        <v>0</v>
      </c>
      <c r="AG101">
        <v>99.791300000000007</v>
      </c>
      <c r="AH101">
        <v>0.20497899999999999</v>
      </c>
      <c r="AI101">
        <v>3.7268900000000001E-3</v>
      </c>
      <c r="AJ101">
        <v>0</v>
      </c>
      <c r="AK101">
        <v>0</v>
      </c>
      <c r="AL101">
        <v>0.54150399999999999</v>
      </c>
      <c r="AM101">
        <v>0.88700100000000004</v>
      </c>
      <c r="AN101">
        <v>2.8175300000000001</v>
      </c>
      <c r="AO101">
        <v>4.4853199999999998</v>
      </c>
      <c r="AP101">
        <v>11.6503</v>
      </c>
      <c r="AQ101">
        <v>39.5274</v>
      </c>
      <c r="AR101">
        <v>40.6325</v>
      </c>
      <c r="AS101">
        <v>4.0550799999999998E-2</v>
      </c>
      <c r="AT101">
        <v>7.6718099999999998</v>
      </c>
      <c r="AU101">
        <v>34.8949</v>
      </c>
      <c r="AV101">
        <v>40.839300000000001</v>
      </c>
      <c r="AW101">
        <v>12.4255</v>
      </c>
      <c r="AX101">
        <v>2.6684600000000001</v>
      </c>
      <c r="AY101">
        <v>1.50007</v>
      </c>
      <c r="AZ101">
        <v>348.44799999999998</v>
      </c>
      <c r="BA101">
        <v>374.99900000000002</v>
      </c>
      <c r="BB101">
        <v>14929.4</v>
      </c>
      <c r="BC101">
        <v>1.26351E-2</v>
      </c>
      <c r="BD101">
        <v>4.8449600000000002E-2</v>
      </c>
      <c r="BE101">
        <v>0.34660099999999999</v>
      </c>
      <c r="BF101">
        <v>3.2479900000000002</v>
      </c>
      <c r="BG101">
        <v>38.923699999999997</v>
      </c>
      <c r="BH101">
        <v>53.2834</v>
      </c>
      <c r="BI101">
        <v>4.1498999999999997</v>
      </c>
      <c r="BJ101">
        <v>34.3386</v>
      </c>
      <c r="BK101">
        <v>0</v>
      </c>
      <c r="BL101">
        <v>27.072199999999999</v>
      </c>
      <c r="BM101">
        <v>59.663800000000002</v>
      </c>
      <c r="BN101">
        <v>11.7546</v>
      </c>
      <c r="BO101">
        <v>1.1068899999999999</v>
      </c>
      <c r="BP101">
        <v>0.40250399999999997</v>
      </c>
      <c r="BQ101">
        <v>35.1995</v>
      </c>
      <c r="BR101">
        <v>53664</v>
      </c>
    </row>
    <row r="102" spans="1:70" x14ac:dyDescent="0.25">
      <c r="A102">
        <v>35</v>
      </c>
      <c r="B102" s="7">
        <v>45959.516863425924</v>
      </c>
      <c r="C102" t="s">
        <v>120</v>
      </c>
      <c r="D102" s="6" t="s">
        <v>250</v>
      </c>
      <c r="E102" s="6" t="str">
        <f>VLOOKUP(F102,Germplasm!$A$1:$B$21,2,FALSE)</f>
        <v>Rodhette</v>
      </c>
      <c r="F102" t="s">
        <v>80</v>
      </c>
      <c r="G102" s="6" t="s">
        <v>113</v>
      </c>
      <c r="H102">
        <v>47683.9</v>
      </c>
      <c r="I102">
        <v>321.95299999999997</v>
      </c>
      <c r="J102">
        <v>155991</v>
      </c>
      <c r="K102">
        <v>17.337399999999999</v>
      </c>
      <c r="L102">
        <v>83.305099999999996</v>
      </c>
      <c r="M102">
        <v>1521.65</v>
      </c>
      <c r="N102">
        <v>538.14099999999996</v>
      </c>
      <c r="O102">
        <v>19369000</v>
      </c>
      <c r="P102">
        <v>0.25283499999999998</v>
      </c>
      <c r="Q102">
        <v>0.66025400000000001</v>
      </c>
      <c r="R102">
        <v>2.7918099999999999</v>
      </c>
      <c r="S102">
        <v>15.309699999999999</v>
      </c>
      <c r="T102">
        <v>45.006100000000004</v>
      </c>
      <c r="U102">
        <v>35.386600000000001</v>
      </c>
      <c r="V102">
        <v>0.84551299999999996</v>
      </c>
      <c r="W102">
        <v>120.265</v>
      </c>
      <c r="X102">
        <v>0.67856499999999997</v>
      </c>
      <c r="Y102">
        <v>1.3958999999999999</v>
      </c>
      <c r="Z102">
        <v>2.7250299999999998</v>
      </c>
      <c r="AA102">
        <v>13.714600000000001</v>
      </c>
      <c r="AB102">
        <v>40.5717</v>
      </c>
      <c r="AC102">
        <v>40.914200000000001</v>
      </c>
      <c r="AD102">
        <v>1.7631399999999999</v>
      </c>
      <c r="AE102">
        <v>6.2394999999999996</v>
      </c>
      <c r="AF102">
        <v>0</v>
      </c>
      <c r="AG102">
        <v>99.936499999999995</v>
      </c>
      <c r="AH102">
        <v>5.1700200000000002E-2</v>
      </c>
      <c r="AI102">
        <v>9.6937800000000008E-3</v>
      </c>
      <c r="AJ102">
        <v>2.15417E-3</v>
      </c>
      <c r="AK102">
        <v>0</v>
      </c>
      <c r="AL102">
        <v>0.55218800000000001</v>
      </c>
      <c r="AM102">
        <v>0.44375999999999999</v>
      </c>
      <c r="AN102">
        <v>1.8569</v>
      </c>
      <c r="AO102">
        <v>3.58778</v>
      </c>
      <c r="AP102">
        <v>12.017099999999999</v>
      </c>
      <c r="AQ102">
        <v>41.393500000000003</v>
      </c>
      <c r="AR102">
        <v>40.701000000000001</v>
      </c>
      <c r="AS102">
        <v>2.0602599999999999E-2</v>
      </c>
      <c r="AT102">
        <v>8.7653400000000001</v>
      </c>
      <c r="AU102">
        <v>39.004600000000003</v>
      </c>
      <c r="AV102">
        <v>39.001300000000001</v>
      </c>
      <c r="AW102">
        <v>9.4115900000000003</v>
      </c>
      <c r="AX102">
        <v>2.1444800000000002</v>
      </c>
      <c r="AY102">
        <v>1.67272</v>
      </c>
      <c r="AZ102">
        <v>406.19600000000003</v>
      </c>
      <c r="BA102">
        <v>415.2</v>
      </c>
      <c r="BB102">
        <v>27044.799999999999</v>
      </c>
      <c r="BC102">
        <v>2.4954399999999998E-3</v>
      </c>
      <c r="BD102">
        <v>8.5089899999999996E-2</v>
      </c>
      <c r="BE102">
        <v>0.45237699999999997</v>
      </c>
      <c r="BF102">
        <v>3.1267800000000001</v>
      </c>
      <c r="BG102">
        <v>44.105600000000003</v>
      </c>
      <c r="BH102">
        <v>48.486199999999997</v>
      </c>
      <c r="BI102">
        <v>3.7439499999999999</v>
      </c>
      <c r="BJ102">
        <v>33.721899999999998</v>
      </c>
      <c r="BK102">
        <v>0</v>
      </c>
      <c r="BL102">
        <v>28.122699999999998</v>
      </c>
      <c r="BM102">
        <v>60.6982</v>
      </c>
      <c r="BN102">
        <v>9.0873799999999996</v>
      </c>
      <c r="BO102">
        <v>1.2020299999999999</v>
      </c>
      <c r="BP102">
        <v>0.88967399999999996</v>
      </c>
      <c r="BQ102">
        <v>34.592199999999998</v>
      </c>
      <c r="BR102">
        <v>92843</v>
      </c>
    </row>
    <row r="103" spans="1:70" x14ac:dyDescent="0.25">
      <c r="A103">
        <v>35</v>
      </c>
      <c r="B103" s="7">
        <v>45966.572152777779</v>
      </c>
      <c r="C103" t="s">
        <v>120</v>
      </c>
      <c r="D103" s="6" t="s">
        <v>251</v>
      </c>
      <c r="E103" s="6" t="str">
        <f>VLOOKUP(F103,Germplasm!$A$1:$B$21,2,FALSE)</f>
        <v>Rodhette</v>
      </c>
      <c r="F103" t="s">
        <v>80</v>
      </c>
      <c r="G103" s="6" t="s">
        <v>113</v>
      </c>
      <c r="H103">
        <v>68244.399999999994</v>
      </c>
      <c r="I103">
        <v>391.14600000000002</v>
      </c>
      <c r="J103">
        <v>199336</v>
      </c>
      <c r="K103">
        <v>19.696899999999999</v>
      </c>
      <c r="L103">
        <v>88.973600000000005</v>
      </c>
      <c r="M103">
        <v>1633.04</v>
      </c>
      <c r="N103">
        <v>562.45600000000002</v>
      </c>
      <c r="O103">
        <v>33023500</v>
      </c>
      <c r="P103">
        <v>0.26952700000000002</v>
      </c>
      <c r="Q103">
        <v>0.64289600000000002</v>
      </c>
      <c r="R103">
        <v>2.7490100000000002</v>
      </c>
      <c r="S103">
        <v>12.6738</v>
      </c>
      <c r="T103">
        <v>40.832799999999999</v>
      </c>
      <c r="U103">
        <v>42.432600000000001</v>
      </c>
      <c r="V103">
        <v>0.668879</v>
      </c>
      <c r="W103">
        <v>115.408</v>
      </c>
      <c r="X103">
        <v>1.0660499999999999</v>
      </c>
      <c r="Y103">
        <v>1.8306899999999999</v>
      </c>
      <c r="Z103">
        <v>3.0541299999999998</v>
      </c>
      <c r="AA103">
        <v>15.768800000000001</v>
      </c>
      <c r="AB103">
        <v>45.509799999999998</v>
      </c>
      <c r="AC103">
        <v>32.770600000000002</v>
      </c>
      <c r="AD103">
        <v>1.73814</v>
      </c>
      <c r="AE103">
        <v>6.4084199999999996</v>
      </c>
      <c r="AF103">
        <v>0</v>
      </c>
      <c r="AG103">
        <v>99.895300000000006</v>
      </c>
      <c r="AH103">
        <v>0.104675</v>
      </c>
      <c r="AI103">
        <v>0</v>
      </c>
      <c r="AJ103">
        <v>0</v>
      </c>
      <c r="AK103">
        <v>0</v>
      </c>
      <c r="AL103">
        <v>0.554091</v>
      </c>
      <c r="AM103">
        <v>0.39048899999999998</v>
      </c>
      <c r="AN103">
        <v>2.23752</v>
      </c>
      <c r="AO103">
        <v>4.8914999999999997</v>
      </c>
      <c r="AP103">
        <v>11.2811</v>
      </c>
      <c r="AQ103">
        <v>36.5077</v>
      </c>
      <c r="AR103">
        <v>44.691699999999997</v>
      </c>
      <c r="AS103">
        <v>5.4406400000000001E-2</v>
      </c>
      <c r="AT103">
        <v>5.7504299999999997</v>
      </c>
      <c r="AU103">
        <v>34.162599999999998</v>
      </c>
      <c r="AV103">
        <v>42.776299999999999</v>
      </c>
      <c r="AW103">
        <v>12.4734</v>
      </c>
      <c r="AX103">
        <v>3.13727</v>
      </c>
      <c r="AY103">
        <v>1.70004</v>
      </c>
      <c r="AZ103">
        <v>483.90100000000001</v>
      </c>
      <c r="BA103">
        <v>495.59899999999999</v>
      </c>
      <c r="BB103">
        <v>39263</v>
      </c>
      <c r="BC103">
        <v>2.4394599999999999E-2</v>
      </c>
      <c r="BD103">
        <v>3.4891600000000002E-2</v>
      </c>
      <c r="BE103">
        <v>0.30882799999999999</v>
      </c>
      <c r="BF103">
        <v>2.00589</v>
      </c>
      <c r="BG103">
        <v>37.562600000000003</v>
      </c>
      <c r="BH103">
        <v>54.162100000000002</v>
      </c>
      <c r="BI103">
        <v>5.92563</v>
      </c>
      <c r="BJ103">
        <v>35.355699999999999</v>
      </c>
      <c r="BK103">
        <v>0</v>
      </c>
      <c r="BL103">
        <v>23.236999999999998</v>
      </c>
      <c r="BM103">
        <v>63.577599999999997</v>
      </c>
      <c r="BN103">
        <v>11.5046</v>
      </c>
      <c r="BO103">
        <v>1.09277</v>
      </c>
      <c r="BP103">
        <v>0.58796000000000004</v>
      </c>
      <c r="BQ103">
        <v>35.1721</v>
      </c>
      <c r="BR103">
        <v>134703</v>
      </c>
    </row>
    <row r="104" spans="1:70" x14ac:dyDescent="0.25">
      <c r="A104">
        <v>35</v>
      </c>
      <c r="B104" s="7">
        <v>45973.551736111112</v>
      </c>
      <c r="C104" t="s">
        <v>120</v>
      </c>
      <c r="D104" s="6" t="s">
        <v>252</v>
      </c>
      <c r="E104" s="6" t="str">
        <f>VLOOKUP(F104,Germplasm!$A$1:$B$21,2,FALSE)</f>
        <v>Rodhette</v>
      </c>
      <c r="F104" t="s">
        <v>80</v>
      </c>
      <c r="G104" s="6" t="s">
        <v>113</v>
      </c>
      <c r="H104">
        <v>71908.5</v>
      </c>
      <c r="I104">
        <v>396.80599999999998</v>
      </c>
      <c r="J104">
        <v>213428</v>
      </c>
      <c r="K104">
        <v>19.746700000000001</v>
      </c>
      <c r="L104">
        <v>76.051900000000003</v>
      </c>
      <c r="M104">
        <v>1718.03</v>
      </c>
      <c r="N104">
        <v>643.29</v>
      </c>
      <c r="O104">
        <v>36764900</v>
      </c>
      <c r="P104">
        <v>0.26642900000000003</v>
      </c>
      <c r="Q104">
        <v>0.399285</v>
      </c>
      <c r="R104">
        <v>2.7839</v>
      </c>
      <c r="S104">
        <v>13.0877</v>
      </c>
      <c r="T104">
        <v>42.6098</v>
      </c>
      <c r="U104">
        <v>40.381799999999998</v>
      </c>
      <c r="V104">
        <v>0.73756699999999997</v>
      </c>
      <c r="W104">
        <v>117.23699999999999</v>
      </c>
      <c r="X104">
        <v>0.95869899999999997</v>
      </c>
      <c r="Y104">
        <v>1.85432</v>
      </c>
      <c r="Z104">
        <v>2.8005399999999998</v>
      </c>
      <c r="AA104">
        <v>13.5771</v>
      </c>
      <c r="AB104">
        <v>44.962499999999999</v>
      </c>
      <c r="AC104">
        <v>35.846899999999998</v>
      </c>
      <c r="AD104">
        <v>1.7062200000000001</v>
      </c>
      <c r="AE104">
        <v>6.5831</v>
      </c>
      <c r="AF104">
        <v>0</v>
      </c>
      <c r="AG104">
        <v>99.505700000000004</v>
      </c>
      <c r="AH104">
        <v>0.46583200000000002</v>
      </c>
      <c r="AI104">
        <v>2.84213E-2</v>
      </c>
      <c r="AJ104">
        <v>0</v>
      </c>
      <c r="AK104">
        <v>0</v>
      </c>
      <c r="AL104">
        <v>0.54923</v>
      </c>
      <c r="AM104">
        <v>0.60308600000000001</v>
      </c>
      <c r="AN104">
        <v>2.8795600000000001</v>
      </c>
      <c r="AO104">
        <v>4.8870800000000001</v>
      </c>
      <c r="AP104">
        <v>10.5055</v>
      </c>
      <c r="AQ104">
        <v>36.586500000000001</v>
      </c>
      <c r="AR104">
        <v>44.5383</v>
      </c>
      <c r="AS104">
        <v>4.0438099999999998E-2</v>
      </c>
      <c r="AT104">
        <v>5.69604</v>
      </c>
      <c r="AU104">
        <v>37.813499999999998</v>
      </c>
      <c r="AV104">
        <v>41.497900000000001</v>
      </c>
      <c r="AW104">
        <v>11.1287</v>
      </c>
      <c r="AX104">
        <v>2.4650300000000001</v>
      </c>
      <c r="AY104">
        <v>1.3988799999999999</v>
      </c>
      <c r="AZ104">
        <v>511.274</v>
      </c>
      <c r="BA104">
        <v>604.19899999999996</v>
      </c>
      <c r="BB104">
        <v>42145</v>
      </c>
      <c r="BC104">
        <v>1.7779E-2</v>
      </c>
      <c r="BD104">
        <v>3.3273700000000003E-2</v>
      </c>
      <c r="BE104">
        <v>0.22736999999999999</v>
      </c>
      <c r="BF104">
        <v>2.0089000000000001</v>
      </c>
      <c r="BG104">
        <v>41.238599999999998</v>
      </c>
      <c r="BH104">
        <v>51.0807</v>
      </c>
      <c r="BI104">
        <v>5.4111399999999996</v>
      </c>
      <c r="BJ104">
        <v>34.29</v>
      </c>
      <c r="BK104">
        <v>0</v>
      </c>
      <c r="BL104">
        <v>24.364699999999999</v>
      </c>
      <c r="BM104">
        <v>64.715299999999999</v>
      </c>
      <c r="BN104">
        <v>9.3457600000000003</v>
      </c>
      <c r="BO104">
        <v>0.980881</v>
      </c>
      <c r="BP104">
        <v>0.59338100000000005</v>
      </c>
      <c r="BQ104">
        <v>35.932600000000001</v>
      </c>
      <c r="BR104">
        <v>144258</v>
      </c>
    </row>
    <row r="105" spans="1:70" x14ac:dyDescent="0.25">
      <c r="A105">
        <v>35</v>
      </c>
      <c r="B105" s="7">
        <v>45988.533020833333</v>
      </c>
      <c r="C105" t="s">
        <v>120</v>
      </c>
      <c r="D105" s="6" t="s">
        <v>253</v>
      </c>
      <c r="E105" s="6" t="str">
        <f>VLOOKUP(F105,Germplasm!$A$1:$B$21,2,FALSE)</f>
        <v>Rodhette</v>
      </c>
      <c r="F105" t="s">
        <v>80</v>
      </c>
      <c r="G105" s="6" t="s">
        <v>113</v>
      </c>
      <c r="H105">
        <v>49454.1</v>
      </c>
      <c r="I105">
        <v>387.072</v>
      </c>
      <c r="J105">
        <v>158137</v>
      </c>
      <c r="K105">
        <v>17.512499999999999</v>
      </c>
      <c r="L105">
        <v>65.027000000000001</v>
      </c>
      <c r="M105">
        <v>1535.21</v>
      </c>
      <c r="N105">
        <v>563.00199999999995</v>
      </c>
      <c r="O105">
        <v>23784500</v>
      </c>
      <c r="P105">
        <v>0.20910999999999999</v>
      </c>
      <c r="Q105">
        <v>0.75305500000000003</v>
      </c>
      <c r="R105">
        <v>6.8528900000000004</v>
      </c>
      <c r="S105">
        <v>23.563500000000001</v>
      </c>
      <c r="T105">
        <v>42.880899999999997</v>
      </c>
      <c r="U105">
        <v>25.342700000000001</v>
      </c>
      <c r="V105">
        <v>0.60685699999999998</v>
      </c>
      <c r="W105">
        <v>100.154</v>
      </c>
      <c r="X105">
        <v>3.7726299999999999</v>
      </c>
      <c r="Y105">
        <v>7.5038799999999997</v>
      </c>
      <c r="Z105">
        <v>8.1309699999999996</v>
      </c>
      <c r="AA105">
        <v>24.824200000000001</v>
      </c>
      <c r="AB105">
        <v>33.231900000000003</v>
      </c>
      <c r="AC105">
        <v>22.5365</v>
      </c>
      <c r="AD105">
        <v>1.7857499999999999</v>
      </c>
      <c r="AE105">
        <v>8.5236099999999997</v>
      </c>
      <c r="AF105">
        <v>0</v>
      </c>
      <c r="AG105">
        <v>98.156400000000005</v>
      </c>
      <c r="AH105">
        <v>1.83253</v>
      </c>
      <c r="AI105">
        <v>9.1948099999999994E-3</v>
      </c>
      <c r="AJ105">
        <v>1.8389599999999999E-3</v>
      </c>
      <c r="AK105">
        <v>0</v>
      </c>
      <c r="AL105">
        <v>0.41835600000000001</v>
      </c>
      <c r="AM105">
        <v>2.0486</v>
      </c>
      <c r="AN105">
        <v>11.2728</v>
      </c>
      <c r="AO105">
        <v>13.9642</v>
      </c>
      <c r="AP105">
        <v>22.108899999999998</v>
      </c>
      <c r="AQ105">
        <v>30.653700000000001</v>
      </c>
      <c r="AR105">
        <v>19.951799999999999</v>
      </c>
      <c r="AS105">
        <v>0.12998199999999999</v>
      </c>
      <c r="AT105">
        <v>2.5874199999999998</v>
      </c>
      <c r="AU105">
        <v>23.336400000000001</v>
      </c>
      <c r="AV105">
        <v>42.762300000000003</v>
      </c>
      <c r="AW105">
        <v>22.418800000000001</v>
      </c>
      <c r="AX105">
        <v>6.3729199999999997</v>
      </c>
      <c r="AY105">
        <v>2.5221399999999998</v>
      </c>
      <c r="AZ105">
        <v>480.94</v>
      </c>
      <c r="BA105">
        <v>541.79899999999998</v>
      </c>
      <c r="BB105">
        <v>27693.8</v>
      </c>
      <c r="BC105">
        <v>9.7091700000000003E-2</v>
      </c>
      <c r="BD105">
        <v>4.4135099999999997E-2</v>
      </c>
      <c r="BE105">
        <v>0.27492499999999997</v>
      </c>
      <c r="BF105">
        <v>1.57507</v>
      </c>
      <c r="BG105">
        <v>24.0288</v>
      </c>
      <c r="BH105">
        <v>53.547800000000002</v>
      </c>
      <c r="BI105">
        <v>20.529299999999999</v>
      </c>
      <c r="BJ105">
        <v>32.9315</v>
      </c>
      <c r="BK105">
        <v>0</v>
      </c>
      <c r="BL105">
        <v>31.221900000000002</v>
      </c>
      <c r="BM105">
        <v>57.537399999999998</v>
      </c>
      <c r="BN105">
        <v>9.0605700000000002</v>
      </c>
      <c r="BO105">
        <v>1.3571500000000001</v>
      </c>
      <c r="BP105">
        <v>0.822936</v>
      </c>
      <c r="BQ105">
        <v>34.094299999999997</v>
      </c>
      <c r="BR105">
        <v>108757</v>
      </c>
    </row>
    <row r="106" spans="1:70" x14ac:dyDescent="0.25">
      <c r="A106">
        <v>35</v>
      </c>
      <c r="B106" s="7">
        <v>45994.536944444444</v>
      </c>
      <c r="C106" t="s">
        <v>120</v>
      </c>
      <c r="D106" s="6" t="s">
        <v>254</v>
      </c>
      <c r="E106" s="6" t="str">
        <f>VLOOKUP(F106,Germplasm!$A$1:$B$21,2,FALSE)</f>
        <v>Rodhette</v>
      </c>
      <c r="F106" t="s">
        <v>80</v>
      </c>
      <c r="G106" s="6" t="s">
        <v>113</v>
      </c>
      <c r="H106">
        <v>36288.5</v>
      </c>
      <c r="I106">
        <v>451.536</v>
      </c>
      <c r="J106">
        <v>113427</v>
      </c>
      <c r="K106">
        <v>17.480799999999999</v>
      </c>
      <c r="L106">
        <v>69.601900000000001</v>
      </c>
      <c r="M106">
        <v>1284.2</v>
      </c>
      <c r="N106">
        <v>478.10199999999998</v>
      </c>
      <c r="O106">
        <v>17715700</v>
      </c>
      <c r="P106">
        <v>0.183806</v>
      </c>
      <c r="Q106">
        <v>0.96899000000000002</v>
      </c>
      <c r="R106">
        <v>10.381</v>
      </c>
      <c r="S106">
        <v>26.170200000000001</v>
      </c>
      <c r="T106">
        <v>41.244700000000002</v>
      </c>
      <c r="U106">
        <v>20.782</v>
      </c>
      <c r="V106">
        <v>0.45319700000000002</v>
      </c>
      <c r="W106">
        <v>92.623800000000003</v>
      </c>
      <c r="X106">
        <v>6.4398999999999997</v>
      </c>
      <c r="Y106">
        <v>10.6288</v>
      </c>
      <c r="Z106">
        <v>9.5909999999999993</v>
      </c>
      <c r="AA106">
        <v>25.610600000000002</v>
      </c>
      <c r="AB106">
        <v>27.866599999999998</v>
      </c>
      <c r="AC106">
        <v>19.863</v>
      </c>
      <c r="AD106">
        <v>1.8301799999999999</v>
      </c>
      <c r="AE106">
        <v>9.3053600000000003</v>
      </c>
      <c r="AF106">
        <v>0</v>
      </c>
      <c r="AG106">
        <v>97.223200000000006</v>
      </c>
      <c r="AH106">
        <v>2.7229399999999999</v>
      </c>
      <c r="AI106">
        <v>5.38328E-2</v>
      </c>
      <c r="AJ106">
        <v>0</v>
      </c>
      <c r="AK106">
        <v>0</v>
      </c>
      <c r="AL106">
        <v>0.37064200000000003</v>
      </c>
      <c r="AM106">
        <v>3.3201000000000001</v>
      </c>
      <c r="AN106">
        <v>15.932</v>
      </c>
      <c r="AO106">
        <v>16.1386</v>
      </c>
      <c r="AP106">
        <v>23.0517</v>
      </c>
      <c r="AQ106">
        <v>28.279699999999998</v>
      </c>
      <c r="AR106">
        <v>13.277900000000001</v>
      </c>
      <c r="AS106">
        <v>0.15776000000000001</v>
      </c>
      <c r="AT106">
        <v>1.8228</v>
      </c>
      <c r="AU106">
        <v>20.317499999999999</v>
      </c>
      <c r="AV106">
        <v>39.6021</v>
      </c>
      <c r="AW106">
        <v>27.656300000000002</v>
      </c>
      <c r="AX106">
        <v>7.7131100000000004</v>
      </c>
      <c r="AY106">
        <v>2.8881899999999998</v>
      </c>
      <c r="AZ106">
        <v>488.19</v>
      </c>
      <c r="BA106">
        <v>538.19899999999996</v>
      </c>
      <c r="BB106">
        <v>19827.900000000001</v>
      </c>
      <c r="BC106">
        <v>0.13125200000000001</v>
      </c>
      <c r="BD106">
        <v>5.6336600000000001E-2</v>
      </c>
      <c r="BE106">
        <v>0.22659799999999999</v>
      </c>
      <c r="BF106">
        <v>1.2944899999999999</v>
      </c>
      <c r="BG106">
        <v>20.560400000000001</v>
      </c>
      <c r="BH106">
        <v>49.041699999999999</v>
      </c>
      <c r="BI106">
        <v>28.820599999999999</v>
      </c>
      <c r="BJ106">
        <v>32.611600000000003</v>
      </c>
      <c r="BK106">
        <v>0</v>
      </c>
      <c r="BL106">
        <v>32.895600000000002</v>
      </c>
      <c r="BM106">
        <v>55.484099999999998</v>
      </c>
      <c r="BN106">
        <v>9.4119700000000002</v>
      </c>
      <c r="BO106">
        <v>1.3646</v>
      </c>
      <c r="BP106">
        <v>0.84379700000000002</v>
      </c>
      <c r="BQ106">
        <v>33.149000000000001</v>
      </c>
      <c r="BR106">
        <v>79877</v>
      </c>
    </row>
    <row r="107" spans="1:70" x14ac:dyDescent="0.25">
      <c r="A107">
        <v>35</v>
      </c>
      <c r="B107" s="7">
        <v>46002.58258101852</v>
      </c>
      <c r="C107" t="s">
        <v>120</v>
      </c>
      <c r="D107" s="6" t="s">
        <v>255</v>
      </c>
      <c r="E107" s="6" t="str">
        <f>VLOOKUP(F107,Germplasm!$A$1:$B$21,2,FALSE)</f>
        <v>Rodhette</v>
      </c>
      <c r="F107" t="s">
        <v>80</v>
      </c>
      <c r="G107" s="6" t="s">
        <v>113</v>
      </c>
      <c r="H107">
        <v>31940.5</v>
      </c>
      <c r="I107">
        <v>447.53899999999999</v>
      </c>
      <c r="J107">
        <v>125835</v>
      </c>
      <c r="K107">
        <v>13.2201</v>
      </c>
      <c r="L107">
        <v>61.2181</v>
      </c>
      <c r="M107">
        <v>1371.99</v>
      </c>
      <c r="N107">
        <v>522.70299999999997</v>
      </c>
      <c r="O107">
        <v>15380000</v>
      </c>
      <c r="P107">
        <v>0.14047999999999999</v>
      </c>
      <c r="Q107">
        <v>0.95575900000000003</v>
      </c>
      <c r="R107">
        <v>16.832599999999999</v>
      </c>
      <c r="S107">
        <v>34.543900000000001</v>
      </c>
      <c r="T107">
        <v>32.869799999999998</v>
      </c>
      <c r="U107">
        <v>14.5442</v>
      </c>
      <c r="V107">
        <v>0.25378099999999998</v>
      </c>
      <c r="W107">
        <v>74.891099999999994</v>
      </c>
      <c r="X107">
        <v>10.688499999999999</v>
      </c>
      <c r="Y107">
        <v>20.427099999999999</v>
      </c>
      <c r="Z107">
        <v>12.41</v>
      </c>
      <c r="AA107">
        <v>26.231400000000001</v>
      </c>
      <c r="AB107">
        <v>17.773599999999998</v>
      </c>
      <c r="AC107">
        <v>12.4694</v>
      </c>
      <c r="AD107">
        <v>1.9200200000000001</v>
      </c>
      <c r="AE107">
        <v>12.0657</v>
      </c>
      <c r="AF107">
        <v>0</v>
      </c>
      <c r="AG107">
        <v>92.460800000000006</v>
      </c>
      <c r="AH107">
        <v>7.5139899999999997</v>
      </c>
      <c r="AI107">
        <v>1.7809200000000001E-2</v>
      </c>
      <c r="AJ107">
        <v>7.4204900000000001E-3</v>
      </c>
      <c r="AK107">
        <v>0</v>
      </c>
      <c r="AL107">
        <v>0.27160200000000001</v>
      </c>
      <c r="AM107">
        <v>6.1946199999999996</v>
      </c>
      <c r="AN107">
        <v>27.973800000000001</v>
      </c>
      <c r="AO107">
        <v>20.293600000000001</v>
      </c>
      <c r="AP107">
        <v>22.962</v>
      </c>
      <c r="AQ107">
        <v>18.523</v>
      </c>
      <c r="AR107">
        <v>4.05307</v>
      </c>
      <c r="AS107">
        <v>0.21433199999999999</v>
      </c>
      <c r="AT107">
        <v>0.97653599999999996</v>
      </c>
      <c r="AU107">
        <v>12.0479</v>
      </c>
      <c r="AV107">
        <v>34.426600000000001</v>
      </c>
      <c r="AW107">
        <v>38.5687</v>
      </c>
      <c r="AX107">
        <v>10.7226</v>
      </c>
      <c r="AY107">
        <v>3.25759</v>
      </c>
      <c r="AZ107">
        <v>481.51900000000001</v>
      </c>
      <c r="BA107">
        <v>538.79899999999998</v>
      </c>
      <c r="BB107">
        <v>16635.5</v>
      </c>
      <c r="BC107">
        <v>0.203815</v>
      </c>
      <c r="BD107">
        <v>9.3498200000000004E-2</v>
      </c>
      <c r="BE107">
        <v>0.29236699999999999</v>
      </c>
      <c r="BF107">
        <v>0.89342699999999997</v>
      </c>
      <c r="BG107">
        <v>11.7422</v>
      </c>
      <c r="BH107">
        <v>39.444400000000002</v>
      </c>
      <c r="BI107">
        <v>47.534199999999998</v>
      </c>
      <c r="BJ107">
        <v>32.397399999999998</v>
      </c>
      <c r="BK107">
        <v>0</v>
      </c>
      <c r="BL107">
        <v>34.110500000000002</v>
      </c>
      <c r="BM107">
        <v>54.205199999999998</v>
      </c>
      <c r="BN107">
        <v>9.43886</v>
      </c>
      <c r="BO107">
        <v>1.4529300000000001</v>
      </c>
      <c r="BP107">
        <v>0.79250799999999999</v>
      </c>
      <c r="BQ107">
        <v>31.4084</v>
      </c>
      <c r="BR107">
        <v>67381</v>
      </c>
    </row>
    <row r="108" spans="1:70" x14ac:dyDescent="0.25">
      <c r="A108">
        <v>35</v>
      </c>
      <c r="B108" s="7">
        <v>46013.597025462965</v>
      </c>
      <c r="C108" t="s">
        <v>120</v>
      </c>
      <c r="D108" s="6" t="s">
        <v>256</v>
      </c>
      <c r="E108" s="6" t="str">
        <f>VLOOKUP(F108,Germplasm!$A$1:$B$21,2,FALSE)</f>
        <v>Rodhette</v>
      </c>
      <c r="F108" t="s">
        <v>80</v>
      </c>
      <c r="G108" s="6" t="s">
        <v>113</v>
      </c>
      <c r="H108">
        <v>29193</v>
      </c>
      <c r="I108">
        <v>427.47699999999998</v>
      </c>
      <c r="J108">
        <v>90734.399999999994</v>
      </c>
      <c r="K108">
        <v>16.595099999999999</v>
      </c>
      <c r="L108">
        <v>49.994700000000002</v>
      </c>
      <c r="M108">
        <v>1217.71</v>
      </c>
      <c r="N108">
        <v>463.31200000000001</v>
      </c>
      <c r="O108">
        <v>13629300</v>
      </c>
      <c r="P108">
        <v>3.1926200000000002E-2</v>
      </c>
      <c r="Q108">
        <v>1.0000500000000001</v>
      </c>
      <c r="R108">
        <v>36.093299999999999</v>
      </c>
      <c r="S108">
        <v>51.779600000000002</v>
      </c>
      <c r="T108">
        <v>9.2217599999999997</v>
      </c>
      <c r="U108">
        <v>1.8436900000000001</v>
      </c>
      <c r="V108">
        <v>6.15671E-2</v>
      </c>
      <c r="W108">
        <v>37.803199999999997</v>
      </c>
      <c r="X108">
        <v>21.054300000000001</v>
      </c>
      <c r="Y108">
        <v>53.302199999999999</v>
      </c>
      <c r="Z108">
        <v>14.2819</v>
      </c>
      <c r="AA108">
        <v>5.4561799999999998</v>
      </c>
      <c r="AB108">
        <v>0.87691600000000003</v>
      </c>
      <c r="AC108">
        <v>5.0285399999999996</v>
      </c>
      <c r="AD108">
        <v>1.9387700000000001</v>
      </c>
      <c r="AE108">
        <v>17.709700000000002</v>
      </c>
      <c r="AF108">
        <v>0</v>
      </c>
      <c r="AG108">
        <v>81.511600000000001</v>
      </c>
      <c r="AH108">
        <v>18.360299999999999</v>
      </c>
      <c r="AI108">
        <v>0.119806</v>
      </c>
      <c r="AJ108">
        <v>8.31988E-3</v>
      </c>
      <c r="AK108">
        <v>0</v>
      </c>
      <c r="AL108">
        <v>9.0814000000000006E-2</v>
      </c>
      <c r="AM108">
        <v>16.418500000000002</v>
      </c>
      <c r="AN108">
        <v>61.964799999999997</v>
      </c>
      <c r="AO108">
        <v>14.5565</v>
      </c>
      <c r="AP108">
        <v>5.43621</v>
      </c>
      <c r="AQ108">
        <v>1.0949</v>
      </c>
      <c r="AR108">
        <v>0.52914499999999998</v>
      </c>
      <c r="AS108">
        <v>0.298516</v>
      </c>
      <c r="AT108">
        <v>0.47256900000000002</v>
      </c>
      <c r="AU108">
        <v>2.4260799999999998</v>
      </c>
      <c r="AV108">
        <v>22.030999999999999</v>
      </c>
      <c r="AW108">
        <v>52.991</v>
      </c>
      <c r="AX108">
        <v>18.3187</v>
      </c>
      <c r="AY108">
        <v>3.7605900000000001</v>
      </c>
      <c r="AZ108">
        <v>466.86799999999999</v>
      </c>
      <c r="BA108">
        <v>534.59900000000005</v>
      </c>
      <c r="BB108">
        <v>15057.5</v>
      </c>
      <c r="BC108">
        <v>0.36362800000000001</v>
      </c>
      <c r="BD108">
        <v>0.108158</v>
      </c>
      <c r="BE108">
        <v>0.27954800000000002</v>
      </c>
      <c r="BF108">
        <v>0.54578400000000005</v>
      </c>
      <c r="BG108">
        <v>1.96516</v>
      </c>
      <c r="BH108">
        <v>10.0221</v>
      </c>
      <c r="BI108">
        <v>87.0792</v>
      </c>
      <c r="BJ108">
        <v>31.555499999999999</v>
      </c>
      <c r="BK108">
        <v>0</v>
      </c>
      <c r="BL108">
        <v>36.2348</v>
      </c>
      <c r="BM108">
        <v>53.0426</v>
      </c>
      <c r="BN108">
        <v>9.0187500000000007</v>
      </c>
      <c r="BO108">
        <v>1.22302</v>
      </c>
      <c r="BP108">
        <v>0.48088900000000001</v>
      </c>
      <c r="BQ108">
        <v>31.0669</v>
      </c>
      <c r="BR108">
        <v>60097</v>
      </c>
    </row>
    <row r="109" spans="1:70" x14ac:dyDescent="0.25">
      <c r="A109">
        <v>35</v>
      </c>
      <c r="B109" s="7">
        <v>46024.545254629629</v>
      </c>
      <c r="C109" t="s">
        <v>120</v>
      </c>
      <c r="D109" s="6" t="s">
        <v>257</v>
      </c>
      <c r="E109" s="6" t="str">
        <f>VLOOKUP(F109,Germplasm!$A$1:$B$21,2,FALSE)</f>
        <v>Rodhette</v>
      </c>
      <c r="F109" t="s">
        <v>80</v>
      </c>
      <c r="G109" s="6" t="s">
        <v>113</v>
      </c>
      <c r="H109">
        <v>26038.5</v>
      </c>
      <c r="I109">
        <v>433.23099999999999</v>
      </c>
      <c r="J109">
        <v>89872.7</v>
      </c>
      <c r="K109">
        <v>15.169499999999999</v>
      </c>
      <c r="L109">
        <v>53.151800000000001</v>
      </c>
      <c r="M109">
        <v>1278.96</v>
      </c>
      <c r="N109">
        <v>494.68400000000003</v>
      </c>
      <c r="O109">
        <v>11769100</v>
      </c>
      <c r="P109">
        <v>2.1545399999999999E-3</v>
      </c>
      <c r="Q109">
        <v>1.0935699999999999</v>
      </c>
      <c r="R109">
        <v>43.3108</v>
      </c>
      <c r="S109">
        <v>53.987400000000001</v>
      </c>
      <c r="T109">
        <v>1.3269899999999999</v>
      </c>
      <c r="U109">
        <v>0.27017600000000003</v>
      </c>
      <c r="V109">
        <v>1.10276E-2</v>
      </c>
      <c r="W109">
        <v>33.235700000000001</v>
      </c>
      <c r="X109">
        <v>24.685300000000002</v>
      </c>
      <c r="Y109">
        <v>57.2166</v>
      </c>
      <c r="Z109">
        <v>8.1806300000000007</v>
      </c>
      <c r="AA109">
        <v>2.1816200000000001</v>
      </c>
      <c r="AB109">
        <v>0.80501400000000001</v>
      </c>
      <c r="AC109">
        <v>6.9308399999999999</v>
      </c>
      <c r="AD109">
        <v>1.9099299999999999</v>
      </c>
      <c r="AE109">
        <v>20.688500000000001</v>
      </c>
      <c r="AF109">
        <v>0</v>
      </c>
      <c r="AG109">
        <v>70.394599999999997</v>
      </c>
      <c r="AH109">
        <v>29.195499999999999</v>
      </c>
      <c r="AI109">
        <v>0.40985899999999997</v>
      </c>
      <c r="AJ109">
        <v>0</v>
      </c>
      <c r="AK109">
        <v>0</v>
      </c>
      <c r="AL109">
        <v>6.3116500000000006E-2</v>
      </c>
      <c r="AM109">
        <v>21.283200000000001</v>
      </c>
      <c r="AN109">
        <v>64.974500000000006</v>
      </c>
      <c r="AO109">
        <v>10.340199999999999</v>
      </c>
      <c r="AP109">
        <v>2.3984999999999999</v>
      </c>
      <c r="AQ109">
        <v>0.69657599999999997</v>
      </c>
      <c r="AR109">
        <v>0.30693500000000001</v>
      </c>
      <c r="AS109">
        <v>0.246173</v>
      </c>
      <c r="AT109">
        <v>0.75171399999999999</v>
      </c>
      <c r="AU109">
        <v>3.5343399999999998</v>
      </c>
      <c r="AV109">
        <v>33.667200000000001</v>
      </c>
      <c r="AW109">
        <v>51.3187</v>
      </c>
      <c r="AX109">
        <v>7.6586600000000002</v>
      </c>
      <c r="AY109">
        <v>3.06935</v>
      </c>
      <c r="AZ109">
        <v>451.988</v>
      </c>
      <c r="BA109">
        <v>506.99900000000002</v>
      </c>
      <c r="BB109">
        <v>13633.2</v>
      </c>
      <c r="BC109">
        <v>0.32388899999999998</v>
      </c>
      <c r="BD109">
        <v>0.22239</v>
      </c>
      <c r="BE109">
        <v>0.48153800000000002</v>
      </c>
      <c r="BF109">
        <v>0.92815499999999995</v>
      </c>
      <c r="BG109">
        <v>2.6539700000000002</v>
      </c>
      <c r="BH109">
        <v>12.3049</v>
      </c>
      <c r="BI109">
        <v>83.409000000000006</v>
      </c>
      <c r="BJ109">
        <v>26.192900000000002</v>
      </c>
      <c r="BK109">
        <v>0</v>
      </c>
      <c r="BL109">
        <v>53.035299999999999</v>
      </c>
      <c r="BM109">
        <v>41.680599999999998</v>
      </c>
      <c r="BN109">
        <v>3.5527199999999999</v>
      </c>
      <c r="BO109">
        <v>1.1487099999999999</v>
      </c>
      <c r="BP109">
        <v>0.58262400000000003</v>
      </c>
      <c r="BQ109">
        <v>31.585699999999999</v>
      </c>
      <c r="BR109">
        <v>54409</v>
      </c>
    </row>
    <row r="110" spans="1:70" x14ac:dyDescent="0.25">
      <c r="A110">
        <v>31</v>
      </c>
      <c r="B110" s="7">
        <v>45959.510034722225</v>
      </c>
      <c r="C110" t="s">
        <v>133</v>
      </c>
      <c r="D110" s="6" t="s">
        <v>451</v>
      </c>
      <c r="E110" s="6" t="str">
        <f>VLOOKUP(F110,Germplasm!$A$1:$B$21,2,FALSE)</f>
        <v>Olve</v>
      </c>
      <c r="F110" t="s">
        <v>62</v>
      </c>
      <c r="G110" s="6" t="s">
        <v>113</v>
      </c>
      <c r="H110">
        <v>39600.800000000003</v>
      </c>
      <c r="I110">
        <v>379.976</v>
      </c>
      <c r="J110">
        <v>167871</v>
      </c>
      <c r="K110">
        <v>13.5609</v>
      </c>
      <c r="L110">
        <v>74.238500000000002</v>
      </c>
      <c r="M110">
        <v>1607.16</v>
      </c>
      <c r="N110">
        <v>571.71199999999999</v>
      </c>
      <c r="O110">
        <v>18286500</v>
      </c>
      <c r="P110">
        <v>0.200708</v>
      </c>
      <c r="Q110">
        <v>0.77314799999999995</v>
      </c>
      <c r="R110">
        <v>7.2957299999999998</v>
      </c>
      <c r="S110">
        <v>28.006399999999999</v>
      </c>
      <c r="T110">
        <v>37.7012</v>
      </c>
      <c r="U110">
        <v>25.491499999999998</v>
      </c>
      <c r="V110">
        <v>0.73206300000000002</v>
      </c>
      <c r="W110">
        <v>119.18</v>
      </c>
      <c r="X110">
        <v>2.4539</v>
      </c>
      <c r="Y110">
        <v>3.8196699999999999</v>
      </c>
      <c r="Z110">
        <v>5.5303100000000001</v>
      </c>
      <c r="AA110">
        <v>14.0885</v>
      </c>
      <c r="AB110">
        <v>29.356000000000002</v>
      </c>
      <c r="AC110">
        <v>44.7517</v>
      </c>
      <c r="AD110">
        <v>1.7395700000000001</v>
      </c>
      <c r="AE110">
        <v>12.8878</v>
      </c>
      <c r="AF110">
        <v>0</v>
      </c>
      <c r="AG110">
        <v>90.914000000000001</v>
      </c>
      <c r="AH110">
        <v>0.99973900000000004</v>
      </c>
      <c r="AI110">
        <v>1.48654</v>
      </c>
      <c r="AJ110">
        <v>6.5997700000000004</v>
      </c>
      <c r="AK110">
        <v>0</v>
      </c>
      <c r="AL110">
        <v>0.46018900000000001</v>
      </c>
      <c r="AM110">
        <v>8.4349100000000004</v>
      </c>
      <c r="AN110">
        <v>5.8851399999999998</v>
      </c>
      <c r="AO110">
        <v>7.2160500000000001</v>
      </c>
      <c r="AP110">
        <v>14.313800000000001</v>
      </c>
      <c r="AQ110">
        <v>31.3903</v>
      </c>
      <c r="AR110">
        <v>32.759799999999998</v>
      </c>
      <c r="AS110">
        <v>1.86786E-2</v>
      </c>
      <c r="AT110">
        <v>10.0708</v>
      </c>
      <c r="AU110">
        <v>39.1143</v>
      </c>
      <c r="AV110">
        <v>36.052799999999998</v>
      </c>
      <c r="AW110">
        <v>10.364699999999999</v>
      </c>
      <c r="AX110">
        <v>2.6145100000000001</v>
      </c>
      <c r="AY110">
        <v>1.78285</v>
      </c>
      <c r="AZ110">
        <v>461.77100000000002</v>
      </c>
      <c r="BA110">
        <v>525</v>
      </c>
      <c r="BB110">
        <v>22764.7</v>
      </c>
      <c r="BC110">
        <v>-3.9567099999999996E-3</v>
      </c>
      <c r="BD110">
        <v>0.60631699999999999</v>
      </c>
      <c r="BE110">
        <v>1.0707</v>
      </c>
      <c r="BF110">
        <v>4.5467599999999999</v>
      </c>
      <c r="BG110">
        <v>42.961399999999998</v>
      </c>
      <c r="BH110">
        <v>43.5565</v>
      </c>
      <c r="BI110">
        <v>7.2583799999999998</v>
      </c>
      <c r="BJ110">
        <v>32.116799999999998</v>
      </c>
      <c r="BK110">
        <v>0</v>
      </c>
      <c r="BL110">
        <v>36.877000000000002</v>
      </c>
      <c r="BM110">
        <v>51.634099999999997</v>
      </c>
      <c r="BN110">
        <v>8.2083100000000009</v>
      </c>
      <c r="BO110">
        <v>1.61104</v>
      </c>
      <c r="BP110">
        <v>1.6695500000000001</v>
      </c>
      <c r="BQ110">
        <v>35.124400000000001</v>
      </c>
      <c r="BR110">
        <v>80321</v>
      </c>
    </row>
    <row r="111" spans="1:70" x14ac:dyDescent="0.25">
      <c r="A111">
        <v>31</v>
      </c>
      <c r="B111" s="7">
        <v>45959.510034722225</v>
      </c>
      <c r="C111" t="s">
        <v>130</v>
      </c>
      <c r="D111" s="6" t="s">
        <v>451</v>
      </c>
      <c r="E111" s="6" t="str">
        <f>VLOOKUP(F111,Germplasm!$A$1:$B$21,2,FALSE)</f>
        <v>Ismena</v>
      </c>
      <c r="F111" t="s">
        <v>63</v>
      </c>
      <c r="G111" s="6" t="s">
        <v>113</v>
      </c>
      <c r="H111">
        <v>57823.199999999997</v>
      </c>
      <c r="I111">
        <v>389.73700000000002</v>
      </c>
      <c r="J111">
        <v>279209</v>
      </c>
      <c r="K111">
        <v>11.7279</v>
      </c>
      <c r="L111">
        <v>76.367699999999999</v>
      </c>
      <c r="M111">
        <v>1967.97</v>
      </c>
      <c r="N111">
        <v>708.62099999999998</v>
      </c>
      <c r="O111">
        <v>26299200</v>
      </c>
      <c r="P111">
        <v>0.217752</v>
      </c>
      <c r="Q111">
        <v>0.71232700000000004</v>
      </c>
      <c r="R111">
        <v>4.3886599999999998</v>
      </c>
      <c r="S111">
        <v>22.933299999999999</v>
      </c>
      <c r="T111">
        <v>45.5777</v>
      </c>
      <c r="U111">
        <v>25.883500000000002</v>
      </c>
      <c r="V111">
        <v>0.50449299999999997</v>
      </c>
      <c r="W111">
        <v>122.265</v>
      </c>
      <c r="X111">
        <v>0.99173800000000001</v>
      </c>
      <c r="Y111">
        <v>1.86964</v>
      </c>
      <c r="Z111">
        <v>3.3460399999999999</v>
      </c>
      <c r="AA111">
        <v>13.911099999999999</v>
      </c>
      <c r="AB111">
        <v>33.780299999999997</v>
      </c>
      <c r="AC111">
        <v>46.101199999999999</v>
      </c>
      <c r="AD111">
        <v>1.7658499999999999</v>
      </c>
      <c r="AE111">
        <v>6.9339899999999997</v>
      </c>
      <c r="AF111">
        <v>0</v>
      </c>
      <c r="AG111">
        <v>99.753399999999999</v>
      </c>
      <c r="AH111">
        <v>0.24232899999999999</v>
      </c>
      <c r="AI111">
        <v>4.3119100000000004E-3</v>
      </c>
      <c r="AJ111">
        <v>0</v>
      </c>
      <c r="AK111">
        <v>0</v>
      </c>
      <c r="AL111">
        <v>0.50344500000000003</v>
      </c>
      <c r="AM111">
        <v>1.0503800000000001</v>
      </c>
      <c r="AN111">
        <v>3.4115799999999998</v>
      </c>
      <c r="AO111">
        <v>6.6015300000000003</v>
      </c>
      <c r="AP111">
        <v>18.433399999999999</v>
      </c>
      <c r="AQ111">
        <v>40.869100000000003</v>
      </c>
      <c r="AR111">
        <v>29.634</v>
      </c>
      <c r="AS111">
        <v>9.5073299999999996E-3</v>
      </c>
      <c r="AT111">
        <v>8.9075399999999991</v>
      </c>
      <c r="AU111">
        <v>42.551600000000001</v>
      </c>
      <c r="AV111">
        <v>36.954799999999999</v>
      </c>
      <c r="AW111">
        <v>8.43323</v>
      </c>
      <c r="AX111">
        <v>1.7885800000000001</v>
      </c>
      <c r="AY111">
        <v>1.36429</v>
      </c>
      <c r="AZ111">
        <v>454.82100000000003</v>
      </c>
      <c r="BA111">
        <v>492</v>
      </c>
      <c r="BB111">
        <v>32745.3</v>
      </c>
      <c r="BC111">
        <v>-5.5973500000000001E-3</v>
      </c>
      <c r="BD111">
        <v>0.104348</v>
      </c>
      <c r="BE111">
        <v>0.65627199999999997</v>
      </c>
      <c r="BF111">
        <v>4.1376999999999997</v>
      </c>
      <c r="BG111">
        <v>46.558199999999999</v>
      </c>
      <c r="BH111">
        <v>44.321199999999997</v>
      </c>
      <c r="BI111">
        <v>4.2222200000000001</v>
      </c>
      <c r="BJ111">
        <v>30.244599999999998</v>
      </c>
      <c r="BK111">
        <v>0</v>
      </c>
      <c r="BL111">
        <v>38.451900000000002</v>
      </c>
      <c r="BM111">
        <v>53.603900000000003</v>
      </c>
      <c r="BN111">
        <v>6.4316399999999998</v>
      </c>
      <c r="BO111">
        <v>0.80891400000000002</v>
      </c>
      <c r="BP111">
        <v>0.70370299999999997</v>
      </c>
      <c r="BQ111">
        <v>34.5364</v>
      </c>
      <c r="BR111">
        <v>115958</v>
      </c>
    </row>
    <row r="112" spans="1:70" x14ac:dyDescent="0.25">
      <c r="A112">
        <v>31</v>
      </c>
      <c r="B112" s="7">
        <v>45959.510034722225</v>
      </c>
      <c r="C112" t="s">
        <v>131</v>
      </c>
      <c r="D112" s="6" t="s">
        <v>451</v>
      </c>
      <c r="E112" s="6" t="str">
        <f>VLOOKUP(F112,Germplasm!$A$1:$B$21,2,FALSE)</f>
        <v>Tiril</v>
      </c>
      <c r="F112" t="s">
        <v>64</v>
      </c>
      <c r="G112" s="6" t="s">
        <v>113</v>
      </c>
      <c r="H112">
        <v>40589.5</v>
      </c>
      <c r="I112">
        <v>377.03500000000003</v>
      </c>
      <c r="J112">
        <v>134235</v>
      </c>
      <c r="K112">
        <v>17.230499999999999</v>
      </c>
      <c r="L112">
        <v>93.023899999999998</v>
      </c>
      <c r="M112">
        <v>1362.41</v>
      </c>
      <c r="N112">
        <v>469.34199999999998</v>
      </c>
      <c r="O112">
        <v>19472000</v>
      </c>
      <c r="P112">
        <v>0.22886600000000001</v>
      </c>
      <c r="Q112">
        <v>0.67550100000000002</v>
      </c>
      <c r="R112">
        <v>3.3491499999999998</v>
      </c>
      <c r="S112">
        <v>21.482900000000001</v>
      </c>
      <c r="T112">
        <v>45.576599999999999</v>
      </c>
      <c r="U112">
        <v>28.236699999999999</v>
      </c>
      <c r="V112">
        <v>0.679199</v>
      </c>
      <c r="W112">
        <v>123.164</v>
      </c>
      <c r="X112">
        <v>0.81849000000000005</v>
      </c>
      <c r="Y112">
        <v>1.41757</v>
      </c>
      <c r="Z112">
        <v>2.8043100000000001</v>
      </c>
      <c r="AA112">
        <v>13.776300000000001</v>
      </c>
      <c r="AB112">
        <v>35.570999999999998</v>
      </c>
      <c r="AC112">
        <v>45.612299999999998</v>
      </c>
      <c r="AD112">
        <v>1.7548900000000001</v>
      </c>
      <c r="AE112">
        <v>6.4964899999999997</v>
      </c>
      <c r="AF112">
        <v>0</v>
      </c>
      <c r="AG112">
        <v>99.978999999999999</v>
      </c>
      <c r="AH112">
        <v>2.09553E-2</v>
      </c>
      <c r="AI112">
        <v>0</v>
      </c>
      <c r="AJ112">
        <v>0</v>
      </c>
      <c r="AK112">
        <v>0</v>
      </c>
      <c r="AL112">
        <v>0.522374</v>
      </c>
      <c r="AM112">
        <v>0.48566999999999999</v>
      </c>
      <c r="AN112">
        <v>2.2976899999999998</v>
      </c>
      <c r="AO112">
        <v>5.351</v>
      </c>
      <c r="AP112">
        <v>17.8293</v>
      </c>
      <c r="AQ112">
        <v>41.304200000000002</v>
      </c>
      <c r="AR112">
        <v>32.732199999999999</v>
      </c>
      <c r="AS112">
        <v>8.9079199999999997E-3</v>
      </c>
      <c r="AT112">
        <v>9.5137099999999997</v>
      </c>
      <c r="AU112">
        <v>41.915599999999998</v>
      </c>
      <c r="AV112">
        <v>36.138100000000001</v>
      </c>
      <c r="AW112">
        <v>9.2967600000000008</v>
      </c>
      <c r="AX112">
        <v>1.70231</v>
      </c>
      <c r="AY112">
        <v>1.4335899999999999</v>
      </c>
      <c r="AZ112">
        <v>479.72899999999998</v>
      </c>
      <c r="BA112">
        <v>508.8</v>
      </c>
      <c r="BB112">
        <v>23129.4</v>
      </c>
      <c r="BC112">
        <v>-9.3900800000000003E-3</v>
      </c>
      <c r="BD112">
        <v>0.104777</v>
      </c>
      <c r="BE112">
        <v>0.64221899999999998</v>
      </c>
      <c r="BF112">
        <v>4.7161799999999996</v>
      </c>
      <c r="BG112">
        <v>45.9649</v>
      </c>
      <c r="BH112">
        <v>44.872700000000002</v>
      </c>
      <c r="BI112">
        <v>3.69923</v>
      </c>
      <c r="BJ112">
        <v>31.365400000000001</v>
      </c>
      <c r="BK112">
        <v>0</v>
      </c>
      <c r="BL112">
        <v>35.971600000000002</v>
      </c>
      <c r="BM112">
        <v>54.8142</v>
      </c>
      <c r="BN112">
        <v>7.5143300000000002</v>
      </c>
      <c r="BO112">
        <v>0.87642500000000001</v>
      </c>
      <c r="BP112">
        <v>0.82342099999999996</v>
      </c>
      <c r="BQ112">
        <v>34.7744</v>
      </c>
      <c r="BR112">
        <v>81125</v>
      </c>
    </row>
    <row r="113" spans="1:70" x14ac:dyDescent="0.25">
      <c r="A113">
        <v>31</v>
      </c>
      <c r="B113" s="7">
        <v>45959.510034722225</v>
      </c>
      <c r="C113" t="s">
        <v>132</v>
      </c>
      <c r="D113" s="6" t="s">
        <v>451</v>
      </c>
      <c r="E113" s="6" t="str">
        <f>VLOOKUP(F113,Germplasm!$A$1:$B$21,2,FALSE)</f>
        <v>Sunnita</v>
      </c>
      <c r="F113" t="s">
        <v>65</v>
      </c>
      <c r="G113" s="6" t="s">
        <v>113</v>
      </c>
      <c r="H113">
        <v>30226.6</v>
      </c>
      <c r="I113">
        <v>420.31099999999998</v>
      </c>
      <c r="J113">
        <v>125816</v>
      </c>
      <c r="K113">
        <v>12.4346</v>
      </c>
      <c r="L113">
        <v>65.956599999999995</v>
      </c>
      <c r="M113">
        <v>1370.4</v>
      </c>
      <c r="N113">
        <v>486.04700000000003</v>
      </c>
      <c r="O113">
        <v>16781800</v>
      </c>
      <c r="P113">
        <v>0.19295100000000001</v>
      </c>
      <c r="Q113">
        <v>1.0306900000000001</v>
      </c>
      <c r="R113">
        <v>5.6366399999999999</v>
      </c>
      <c r="S113">
        <v>29.5717</v>
      </c>
      <c r="T113">
        <v>43.114199999999997</v>
      </c>
      <c r="U113">
        <v>19.983799999999999</v>
      </c>
      <c r="V113">
        <v>0.66293999999999997</v>
      </c>
      <c r="W113">
        <v>124.137</v>
      </c>
      <c r="X113">
        <v>1.2747599999999999</v>
      </c>
      <c r="Y113">
        <v>2.7094800000000001</v>
      </c>
      <c r="Z113">
        <v>4.4278399999999998</v>
      </c>
      <c r="AA113">
        <v>14.1691</v>
      </c>
      <c r="AB113">
        <v>27.7544</v>
      </c>
      <c r="AC113">
        <v>49.664400000000001</v>
      </c>
      <c r="AD113">
        <v>1.93207</v>
      </c>
      <c r="AE113">
        <v>6.4492200000000004</v>
      </c>
      <c r="AF113">
        <v>0</v>
      </c>
      <c r="AG113">
        <v>99.868099999999998</v>
      </c>
      <c r="AH113">
        <v>0.125332</v>
      </c>
      <c r="AI113">
        <v>6.5964099999999996E-3</v>
      </c>
      <c r="AJ113">
        <v>0</v>
      </c>
      <c r="AK113">
        <v>0</v>
      </c>
      <c r="AL113">
        <v>0.47068300000000002</v>
      </c>
      <c r="AM113">
        <v>1.05213</v>
      </c>
      <c r="AN113">
        <v>5.5145999999999997</v>
      </c>
      <c r="AO113">
        <v>10.4306</v>
      </c>
      <c r="AP113">
        <v>21.873699999999999</v>
      </c>
      <c r="AQ113">
        <v>36.826099999999997</v>
      </c>
      <c r="AR113">
        <v>24.302800000000001</v>
      </c>
      <c r="AS113">
        <v>5.0313800000000002E-3</v>
      </c>
      <c r="AT113">
        <v>10.648300000000001</v>
      </c>
      <c r="AU113">
        <v>42.959200000000003</v>
      </c>
      <c r="AV113">
        <v>33.170099999999998</v>
      </c>
      <c r="AW113">
        <v>9.5021400000000007</v>
      </c>
      <c r="AX113">
        <v>2.29555</v>
      </c>
      <c r="AY113">
        <v>1.42483</v>
      </c>
      <c r="AZ113">
        <v>555.20100000000002</v>
      </c>
      <c r="BA113">
        <v>593.4</v>
      </c>
      <c r="BB113">
        <v>15644.7</v>
      </c>
      <c r="BC113">
        <v>-9.3119699999999993E-3</v>
      </c>
      <c r="BD113">
        <v>0.14017399999999999</v>
      </c>
      <c r="BE113">
        <v>1.1312899999999999</v>
      </c>
      <c r="BF113">
        <v>5.9186300000000003</v>
      </c>
      <c r="BG113">
        <v>46.417299999999997</v>
      </c>
      <c r="BH113">
        <v>39.764800000000001</v>
      </c>
      <c r="BI113">
        <v>6.6277499999999998</v>
      </c>
      <c r="BJ113">
        <v>29.055199999999999</v>
      </c>
      <c r="BK113">
        <v>0</v>
      </c>
      <c r="BL113">
        <v>44.057499999999997</v>
      </c>
      <c r="BM113">
        <v>47.988900000000001</v>
      </c>
      <c r="BN113">
        <v>6.1148800000000003</v>
      </c>
      <c r="BO113">
        <v>0.968024</v>
      </c>
      <c r="BP113">
        <v>0.87072700000000003</v>
      </c>
      <c r="BQ113">
        <v>31.188600000000001</v>
      </c>
      <c r="BR113">
        <v>60639</v>
      </c>
    </row>
    <row r="114" spans="1:70" x14ac:dyDescent="0.25">
      <c r="A114">
        <v>31</v>
      </c>
      <c r="B114" s="7">
        <v>45988.516157407408</v>
      </c>
      <c r="C114" t="s">
        <v>130</v>
      </c>
      <c r="D114" s="6" t="s">
        <v>216</v>
      </c>
      <c r="E114" s="6" t="str">
        <f>VLOOKUP(F114,Germplasm!$A$1:$B$21,2,FALSE)</f>
        <v>Ismena</v>
      </c>
      <c r="F114" t="s">
        <v>63</v>
      </c>
      <c r="G114" s="6" t="s">
        <v>113</v>
      </c>
      <c r="H114">
        <v>44673</v>
      </c>
      <c r="I114">
        <v>528.84199999999998</v>
      </c>
      <c r="J114">
        <v>171335</v>
      </c>
      <c r="K114">
        <v>14.1717</v>
      </c>
      <c r="L114">
        <v>60.774099999999997</v>
      </c>
      <c r="M114">
        <v>1599.59</v>
      </c>
      <c r="N114">
        <v>585.08000000000004</v>
      </c>
      <c r="O114">
        <v>31424700</v>
      </c>
      <c r="P114">
        <v>0.17613200000000001</v>
      </c>
      <c r="Q114">
        <v>0.75159299999999996</v>
      </c>
      <c r="R114">
        <v>9.30898</v>
      </c>
      <c r="S114">
        <v>32.368699999999997</v>
      </c>
      <c r="T114">
        <v>39.825200000000002</v>
      </c>
      <c r="U114">
        <v>16.9466</v>
      </c>
      <c r="V114">
        <v>0.79897399999999996</v>
      </c>
      <c r="W114">
        <v>85.992400000000004</v>
      </c>
      <c r="X114">
        <v>4.9722200000000001</v>
      </c>
      <c r="Y114">
        <v>12.9564</v>
      </c>
      <c r="Z114">
        <v>13.0669</v>
      </c>
      <c r="AA114">
        <v>31.488900000000001</v>
      </c>
      <c r="AB114">
        <v>23.5289</v>
      </c>
      <c r="AC114">
        <v>13.986700000000001</v>
      </c>
      <c r="AD114">
        <v>1.83982</v>
      </c>
      <c r="AE114">
        <v>9.6300699999999999</v>
      </c>
      <c r="AF114">
        <v>0</v>
      </c>
      <c r="AG114">
        <v>97.578000000000003</v>
      </c>
      <c r="AH114">
        <v>2.40157</v>
      </c>
      <c r="AI114">
        <v>2.0438899999999999E-2</v>
      </c>
      <c r="AJ114">
        <v>0</v>
      </c>
      <c r="AK114">
        <v>0</v>
      </c>
      <c r="AL114">
        <v>0.32040400000000002</v>
      </c>
      <c r="AM114">
        <v>4.1156499999999996</v>
      </c>
      <c r="AN114">
        <v>18.895700000000001</v>
      </c>
      <c r="AO114">
        <v>23.1814</v>
      </c>
      <c r="AP114">
        <v>25.3749</v>
      </c>
      <c r="AQ114">
        <v>20.748200000000001</v>
      </c>
      <c r="AR114">
        <v>7.6840900000000003</v>
      </c>
      <c r="AS114">
        <v>0.19625600000000001</v>
      </c>
      <c r="AT114">
        <v>1.06932</v>
      </c>
      <c r="AU114">
        <v>13.9811</v>
      </c>
      <c r="AV114">
        <v>38.621099999999998</v>
      </c>
      <c r="AW114">
        <v>32.2117</v>
      </c>
      <c r="AX114">
        <v>11.141</v>
      </c>
      <c r="AY114">
        <v>2.9757099999999999</v>
      </c>
      <c r="AZ114">
        <v>703.43899999999996</v>
      </c>
      <c r="BA114">
        <v>789.6</v>
      </c>
      <c r="BB114">
        <v>24281.1</v>
      </c>
      <c r="BC114">
        <v>0.16759499999999999</v>
      </c>
      <c r="BD114">
        <v>3.0658299999999999E-2</v>
      </c>
      <c r="BE114">
        <v>0.17373</v>
      </c>
      <c r="BF114">
        <v>0.96991799999999995</v>
      </c>
      <c r="BG114">
        <v>13.876099999999999</v>
      </c>
      <c r="BH114">
        <v>49.679499999999997</v>
      </c>
      <c r="BI114">
        <v>35.270099999999999</v>
      </c>
      <c r="BJ114">
        <v>32.797499999999999</v>
      </c>
      <c r="BK114">
        <v>0</v>
      </c>
      <c r="BL114">
        <v>33.328400000000002</v>
      </c>
      <c r="BM114">
        <v>54.577399999999997</v>
      </c>
      <c r="BN114">
        <v>9.6694499999999994</v>
      </c>
      <c r="BO114">
        <v>1.63232</v>
      </c>
      <c r="BP114">
        <v>0.79247100000000004</v>
      </c>
      <c r="BQ114">
        <v>32.959000000000003</v>
      </c>
      <c r="BR114">
        <v>107638</v>
      </c>
    </row>
    <row r="115" spans="1:70" x14ac:dyDescent="0.25">
      <c r="A115">
        <v>31</v>
      </c>
      <c r="B115" s="7">
        <v>45994.530671296299</v>
      </c>
      <c r="C115" t="s">
        <v>130</v>
      </c>
      <c r="D115" s="6" t="s">
        <v>217</v>
      </c>
      <c r="E115" s="6" t="str">
        <f>VLOOKUP(F115,Germplasm!$A$1:$B$21,2,FALSE)</f>
        <v>Ismena</v>
      </c>
      <c r="F115" t="s">
        <v>63</v>
      </c>
      <c r="G115" s="6" t="s">
        <v>113</v>
      </c>
      <c r="H115">
        <v>51294.3</v>
      </c>
      <c r="I115">
        <v>526.98099999999999</v>
      </c>
      <c r="J115">
        <v>231630</v>
      </c>
      <c r="K115">
        <v>11.683400000000001</v>
      </c>
      <c r="L115">
        <v>81.201400000000007</v>
      </c>
      <c r="M115">
        <v>1862.46</v>
      </c>
      <c r="N115">
        <v>656.00099999999998</v>
      </c>
      <c r="O115">
        <v>36050200</v>
      </c>
      <c r="P115">
        <v>0.14405499999999999</v>
      </c>
      <c r="Q115">
        <v>0.79118100000000002</v>
      </c>
      <c r="R115">
        <v>12.432499999999999</v>
      </c>
      <c r="S115">
        <v>38.944000000000003</v>
      </c>
      <c r="T115">
        <v>35.931600000000003</v>
      </c>
      <c r="U115">
        <v>11.536799999999999</v>
      </c>
      <c r="V115">
        <v>0.363894</v>
      </c>
      <c r="W115">
        <v>77.605599999999995</v>
      </c>
      <c r="X115">
        <v>6.4488200000000004</v>
      </c>
      <c r="Y115">
        <v>18.343699999999998</v>
      </c>
      <c r="Z115">
        <v>17.578900000000001</v>
      </c>
      <c r="AA115">
        <v>25.870999999999999</v>
      </c>
      <c r="AB115">
        <v>18.085999999999999</v>
      </c>
      <c r="AC115">
        <v>13.6715</v>
      </c>
      <c r="AD115">
        <v>1.8954200000000001</v>
      </c>
      <c r="AE115">
        <v>11.5326</v>
      </c>
      <c r="AF115">
        <v>0</v>
      </c>
      <c r="AG115">
        <v>93.925799999999995</v>
      </c>
      <c r="AH115">
        <v>6.0734000000000004</v>
      </c>
      <c r="AI115">
        <v>8.2328900000000005E-4</v>
      </c>
      <c r="AJ115">
        <v>0</v>
      </c>
      <c r="AK115">
        <v>0</v>
      </c>
      <c r="AL115">
        <v>0.25299199999999999</v>
      </c>
      <c r="AM115">
        <v>7.3149199999999999</v>
      </c>
      <c r="AN115">
        <v>26.803000000000001</v>
      </c>
      <c r="AO115">
        <v>26.1798</v>
      </c>
      <c r="AP115">
        <v>22.315300000000001</v>
      </c>
      <c r="AQ115">
        <v>13.7201</v>
      </c>
      <c r="AR115">
        <v>3.6669299999999998</v>
      </c>
      <c r="AS115">
        <v>0.205598</v>
      </c>
      <c r="AT115">
        <v>1.1501399999999999</v>
      </c>
      <c r="AU115">
        <v>12.6441</v>
      </c>
      <c r="AV115">
        <v>35.529000000000003</v>
      </c>
      <c r="AW115">
        <v>36.024700000000003</v>
      </c>
      <c r="AX115">
        <v>12.4984</v>
      </c>
      <c r="AY115">
        <v>2.1537199999999999</v>
      </c>
      <c r="AZ115">
        <v>702.81100000000004</v>
      </c>
      <c r="BA115">
        <v>777.59900000000005</v>
      </c>
      <c r="BB115">
        <v>27062.1</v>
      </c>
      <c r="BC115">
        <v>0.203763</v>
      </c>
      <c r="BD115">
        <v>8.3152199999999996E-2</v>
      </c>
      <c r="BE115">
        <v>0.36965700000000001</v>
      </c>
      <c r="BF115">
        <v>1.1526000000000001</v>
      </c>
      <c r="BG115">
        <v>12.188800000000001</v>
      </c>
      <c r="BH115">
        <v>39.633099999999999</v>
      </c>
      <c r="BI115">
        <v>46.572600000000001</v>
      </c>
      <c r="BJ115">
        <v>31.194199999999999</v>
      </c>
      <c r="BK115">
        <v>0</v>
      </c>
      <c r="BL115">
        <v>36.476700000000001</v>
      </c>
      <c r="BM115">
        <v>53.871099999999998</v>
      </c>
      <c r="BN115">
        <v>8.1431500000000003</v>
      </c>
      <c r="BO115">
        <v>0.87597999999999998</v>
      </c>
      <c r="BP115">
        <v>0.63310900000000003</v>
      </c>
      <c r="BQ115">
        <v>31.878</v>
      </c>
      <c r="BR115">
        <v>121464</v>
      </c>
    </row>
    <row r="116" spans="1:70" x14ac:dyDescent="0.25">
      <c r="A116">
        <v>31</v>
      </c>
      <c r="B116" s="7">
        <v>46002.579004629632</v>
      </c>
      <c r="C116" t="s">
        <v>130</v>
      </c>
      <c r="D116" s="6" t="s">
        <v>218</v>
      </c>
      <c r="E116" s="6" t="str">
        <f>VLOOKUP(F116,Germplasm!$A$1:$B$21,2,FALSE)</f>
        <v>Ismena</v>
      </c>
      <c r="F116" t="s">
        <v>63</v>
      </c>
      <c r="G116" s="6" t="s">
        <v>113</v>
      </c>
      <c r="H116">
        <v>51098.5</v>
      </c>
      <c r="I116">
        <v>551.55600000000004</v>
      </c>
      <c r="J116">
        <v>195197</v>
      </c>
      <c r="K116">
        <v>13.4513</v>
      </c>
      <c r="L116">
        <v>66.313900000000004</v>
      </c>
      <c r="M116">
        <v>1728.45</v>
      </c>
      <c r="N116">
        <v>637.90599999999995</v>
      </c>
      <c r="O116">
        <v>33019100</v>
      </c>
      <c r="P116">
        <v>8.7461999999999998E-2</v>
      </c>
      <c r="Q116">
        <v>0.82677</v>
      </c>
      <c r="R116">
        <v>20.0989</v>
      </c>
      <c r="S116">
        <v>53.333199999999998</v>
      </c>
      <c r="T116">
        <v>19.187799999999999</v>
      </c>
      <c r="U116">
        <v>6.3907299999999996</v>
      </c>
      <c r="V116">
        <v>0.16257199999999999</v>
      </c>
      <c r="W116">
        <v>55.661099999999998</v>
      </c>
      <c r="X116">
        <v>10.5107</v>
      </c>
      <c r="Y116">
        <v>38.4696</v>
      </c>
      <c r="Z116">
        <v>17.851600000000001</v>
      </c>
      <c r="AA116">
        <v>17.278700000000001</v>
      </c>
      <c r="AB116">
        <v>7.2061999999999999</v>
      </c>
      <c r="AC116">
        <v>8.6832499999999992</v>
      </c>
      <c r="AD116">
        <v>1.9461299999999999</v>
      </c>
      <c r="AE116">
        <v>14.742900000000001</v>
      </c>
      <c r="AF116">
        <v>0</v>
      </c>
      <c r="AG116">
        <v>84.967699999999994</v>
      </c>
      <c r="AH116">
        <v>15.002700000000001</v>
      </c>
      <c r="AI116">
        <v>2.7819799999999999E-2</v>
      </c>
      <c r="AJ116">
        <v>1.7387399999999999E-3</v>
      </c>
      <c r="AK116">
        <v>0</v>
      </c>
      <c r="AL116">
        <v>0.14932100000000001</v>
      </c>
      <c r="AM116">
        <v>17.1892</v>
      </c>
      <c r="AN116">
        <v>40.907299999999999</v>
      </c>
      <c r="AO116">
        <v>22.145399999999999</v>
      </c>
      <c r="AP116">
        <v>12.4337</v>
      </c>
      <c r="AQ116">
        <v>5.8734500000000001</v>
      </c>
      <c r="AR116">
        <v>1.4509799999999999</v>
      </c>
      <c r="AS116">
        <v>0.25256099999999998</v>
      </c>
      <c r="AT116">
        <v>0.85111199999999998</v>
      </c>
      <c r="AU116">
        <v>6.33683</v>
      </c>
      <c r="AV116">
        <v>28.022400000000001</v>
      </c>
      <c r="AW116">
        <v>48.712499999999999</v>
      </c>
      <c r="AX116">
        <v>13.1518</v>
      </c>
      <c r="AY116">
        <v>2.92543</v>
      </c>
      <c r="AZ116">
        <v>646.18600000000004</v>
      </c>
      <c r="BA116">
        <v>755.99900000000002</v>
      </c>
      <c r="BB116">
        <v>26256.5</v>
      </c>
      <c r="BC116">
        <v>0.29436699999999999</v>
      </c>
      <c r="BD116">
        <v>0.13822999999999999</v>
      </c>
      <c r="BE116">
        <v>0.41034199999999998</v>
      </c>
      <c r="BF116">
        <v>0.93804900000000002</v>
      </c>
      <c r="BG116">
        <v>5.7013199999999999</v>
      </c>
      <c r="BH116">
        <v>24.566600000000001</v>
      </c>
      <c r="BI116">
        <v>68.245400000000004</v>
      </c>
      <c r="BJ116">
        <v>30.687899999999999</v>
      </c>
      <c r="BK116">
        <v>0</v>
      </c>
      <c r="BL116">
        <v>37.478499999999997</v>
      </c>
      <c r="BM116">
        <v>53.287100000000002</v>
      </c>
      <c r="BN116">
        <v>7.67218</v>
      </c>
      <c r="BO116">
        <v>1.0215099999999999</v>
      </c>
      <c r="BP116">
        <v>0.54074699999999998</v>
      </c>
      <c r="BQ116">
        <v>30.953099999999999</v>
      </c>
      <c r="BR116">
        <v>115026</v>
      </c>
    </row>
    <row r="117" spans="1:70" x14ac:dyDescent="0.25">
      <c r="A117">
        <v>31</v>
      </c>
      <c r="B117" s="7">
        <v>46013.591331018521</v>
      </c>
      <c r="C117" t="s">
        <v>130</v>
      </c>
      <c r="D117" s="6" t="s">
        <v>219</v>
      </c>
      <c r="E117" s="6" t="str">
        <f>VLOOKUP(F117,Germplasm!$A$1:$B$21,2,FALSE)</f>
        <v>Ismena</v>
      </c>
      <c r="F117" t="s">
        <v>63</v>
      </c>
      <c r="G117" s="6" t="s">
        <v>113</v>
      </c>
      <c r="H117">
        <v>34407.5</v>
      </c>
      <c r="I117">
        <v>552.053</v>
      </c>
      <c r="J117">
        <v>171824</v>
      </c>
      <c r="K117">
        <v>10.756600000000001</v>
      </c>
      <c r="L117">
        <v>57.876600000000003</v>
      </c>
      <c r="M117">
        <v>1714.51</v>
      </c>
      <c r="N117">
        <v>705.77200000000005</v>
      </c>
      <c r="O117">
        <v>21268300</v>
      </c>
      <c r="P117">
        <v>1.78999E-2</v>
      </c>
      <c r="Q117">
        <v>1.3134399999999999</v>
      </c>
      <c r="R117">
        <v>31.142600000000002</v>
      </c>
      <c r="S117">
        <v>64.474000000000004</v>
      </c>
      <c r="T117">
        <v>2.6159599999999998</v>
      </c>
      <c r="U117">
        <v>0.41029900000000002</v>
      </c>
      <c r="V117">
        <v>4.3700500000000003E-2</v>
      </c>
      <c r="W117">
        <v>38.012300000000003</v>
      </c>
      <c r="X117">
        <v>16.4848</v>
      </c>
      <c r="Y117">
        <v>56.822699999999998</v>
      </c>
      <c r="Z117">
        <v>13.167199999999999</v>
      </c>
      <c r="AA117">
        <v>3.6052900000000001</v>
      </c>
      <c r="AB117">
        <v>1.2952300000000001</v>
      </c>
      <c r="AC117">
        <v>8.6247699999999998</v>
      </c>
      <c r="AD117">
        <v>1.8616299999999999</v>
      </c>
      <c r="AE117">
        <v>17.8443</v>
      </c>
      <c r="AF117">
        <v>0</v>
      </c>
      <c r="AG117">
        <v>76.842399999999998</v>
      </c>
      <c r="AH117">
        <v>22.916</v>
      </c>
      <c r="AI117">
        <v>0.24035300000000001</v>
      </c>
      <c r="AJ117">
        <v>1.2139E-3</v>
      </c>
      <c r="AK117">
        <v>0</v>
      </c>
      <c r="AL117">
        <v>5.6337100000000001E-2</v>
      </c>
      <c r="AM117">
        <v>31.0152</v>
      </c>
      <c r="AN117">
        <v>52.334899999999998</v>
      </c>
      <c r="AO117">
        <v>11.4787</v>
      </c>
      <c r="AP117">
        <v>3.53003</v>
      </c>
      <c r="AQ117">
        <v>1.2636700000000001</v>
      </c>
      <c r="AR117">
        <v>0.377523</v>
      </c>
      <c r="AS117">
        <v>0.23935100000000001</v>
      </c>
      <c r="AT117">
        <v>0.940774</v>
      </c>
      <c r="AU117">
        <v>4.6856600000000004</v>
      </c>
      <c r="AV117">
        <v>33.092199999999998</v>
      </c>
      <c r="AW117">
        <v>50.124400000000001</v>
      </c>
      <c r="AX117">
        <v>8.47546</v>
      </c>
      <c r="AY117">
        <v>2.6815099999999998</v>
      </c>
      <c r="AZ117">
        <v>618.13099999999997</v>
      </c>
      <c r="BA117">
        <v>691.2</v>
      </c>
      <c r="BB117">
        <v>18482.5</v>
      </c>
      <c r="BC117">
        <v>0.32653399999999999</v>
      </c>
      <c r="BD117">
        <v>0.25006400000000001</v>
      </c>
      <c r="BE117">
        <v>0.62394499999999997</v>
      </c>
      <c r="BF117">
        <v>1.0136099999999999</v>
      </c>
      <c r="BG117">
        <v>3.73882</v>
      </c>
      <c r="BH117">
        <v>13.933199999999999</v>
      </c>
      <c r="BI117">
        <v>80.440399999999997</v>
      </c>
      <c r="BJ117">
        <v>26.061599999999999</v>
      </c>
      <c r="BK117">
        <v>0</v>
      </c>
      <c r="BL117">
        <v>53.819499999999998</v>
      </c>
      <c r="BM117">
        <v>40.729999999999997</v>
      </c>
      <c r="BN117">
        <v>3.80437</v>
      </c>
      <c r="BO117">
        <v>0.95048500000000002</v>
      </c>
      <c r="BP117">
        <v>0.69556600000000002</v>
      </c>
      <c r="BQ117">
        <v>32.515900000000002</v>
      </c>
      <c r="BR117">
        <v>82379</v>
      </c>
    </row>
    <row r="118" spans="1:70" x14ac:dyDescent="0.25">
      <c r="A118">
        <v>31</v>
      </c>
      <c r="B118" s="7">
        <v>46024.538738425923</v>
      </c>
      <c r="C118" t="s">
        <v>130</v>
      </c>
      <c r="D118" s="6" t="s">
        <v>220</v>
      </c>
      <c r="E118" s="6" t="str">
        <f>VLOOKUP(F118,Germplasm!$A$1:$B$21,2,FALSE)</f>
        <v>Ismena</v>
      </c>
      <c r="F118" t="s">
        <v>63</v>
      </c>
      <c r="G118" s="6" t="s">
        <v>113</v>
      </c>
      <c r="H118">
        <v>36340.6</v>
      </c>
      <c r="I118">
        <v>498.68</v>
      </c>
      <c r="J118">
        <v>178225</v>
      </c>
      <c r="K118">
        <v>10.7745</v>
      </c>
      <c r="L118">
        <v>69.877099999999999</v>
      </c>
      <c r="M118">
        <v>1642.32</v>
      </c>
      <c r="N118">
        <v>583.44500000000005</v>
      </c>
      <c r="O118">
        <v>20517700</v>
      </c>
      <c r="P118">
        <v>1.17825E-2</v>
      </c>
      <c r="Q118">
        <v>1.1531199999999999</v>
      </c>
      <c r="R118">
        <v>33.066699999999997</v>
      </c>
      <c r="S118">
        <v>64.336100000000002</v>
      </c>
      <c r="T118">
        <v>1.2030400000000001</v>
      </c>
      <c r="U118">
        <v>0.21309</v>
      </c>
      <c r="V118">
        <v>2.8006099999999999E-2</v>
      </c>
      <c r="W118">
        <v>37.203299999999999</v>
      </c>
      <c r="X118">
        <v>16.809699999999999</v>
      </c>
      <c r="Y118">
        <v>55.012500000000003</v>
      </c>
      <c r="Z118">
        <v>13.0192</v>
      </c>
      <c r="AA118">
        <v>3.31081</v>
      </c>
      <c r="AB118">
        <v>1.3564700000000001</v>
      </c>
      <c r="AC118">
        <v>10.491300000000001</v>
      </c>
      <c r="AD118">
        <v>1.89246</v>
      </c>
      <c r="AE118">
        <v>21.4068</v>
      </c>
      <c r="AF118">
        <v>0</v>
      </c>
      <c r="AG118">
        <v>65.036199999999994</v>
      </c>
      <c r="AH118">
        <v>33.447800000000001</v>
      </c>
      <c r="AI118">
        <v>1.50989</v>
      </c>
      <c r="AJ118">
        <v>6.0882799999999997E-3</v>
      </c>
      <c r="AK118">
        <v>0</v>
      </c>
      <c r="AL118">
        <v>4.6753799999999998E-2</v>
      </c>
      <c r="AM118">
        <v>33.618299999999998</v>
      </c>
      <c r="AN118">
        <v>51.398499999999999</v>
      </c>
      <c r="AO118">
        <v>10.5364</v>
      </c>
      <c r="AP118">
        <v>3.2426200000000001</v>
      </c>
      <c r="AQ118">
        <v>0.97534200000000004</v>
      </c>
      <c r="AR118">
        <v>0.22891900000000001</v>
      </c>
      <c r="AS118">
        <v>0.19780400000000001</v>
      </c>
      <c r="AT118">
        <v>1.01796</v>
      </c>
      <c r="AU118">
        <v>5.8191800000000002</v>
      </c>
      <c r="AV118">
        <v>45.654800000000002</v>
      </c>
      <c r="AW118">
        <v>41.710799999999999</v>
      </c>
      <c r="AX118">
        <v>3.8745799999999999</v>
      </c>
      <c r="AY118">
        <v>1.9226799999999999</v>
      </c>
      <c r="AZ118">
        <v>564.59400000000005</v>
      </c>
      <c r="BA118">
        <v>615.59900000000005</v>
      </c>
      <c r="BB118">
        <v>19202.8</v>
      </c>
      <c r="BC118">
        <v>0.284524</v>
      </c>
      <c r="BD118">
        <v>0.28249600000000002</v>
      </c>
      <c r="BE118">
        <v>0.61856900000000004</v>
      </c>
      <c r="BF118">
        <v>1.1579900000000001</v>
      </c>
      <c r="BG118">
        <v>4.7780800000000001</v>
      </c>
      <c r="BH118">
        <v>19.105</v>
      </c>
      <c r="BI118">
        <v>74.0578</v>
      </c>
      <c r="BJ118">
        <v>22.072900000000001</v>
      </c>
      <c r="BK118">
        <v>0</v>
      </c>
      <c r="BL118">
        <v>68.065799999999996</v>
      </c>
      <c r="BM118">
        <v>28.6661</v>
      </c>
      <c r="BN118">
        <v>2.03227</v>
      </c>
      <c r="BO118">
        <v>0.72328800000000004</v>
      </c>
      <c r="BP118">
        <v>0.51263300000000001</v>
      </c>
      <c r="BQ118">
        <v>31.924199999999999</v>
      </c>
      <c r="BR118">
        <v>82125</v>
      </c>
    </row>
    <row r="119" spans="1:70" x14ac:dyDescent="0.25">
      <c r="A119">
        <v>35</v>
      </c>
      <c r="B119" s="7">
        <v>45952.549988425926</v>
      </c>
      <c r="C119" t="s">
        <v>119</v>
      </c>
      <c r="D119" s="6" t="s">
        <v>249</v>
      </c>
      <c r="E119" s="6" t="str">
        <f>VLOOKUP(F119,Germplasm!$A$1:$B$21,2,FALSE)</f>
        <v>Brage</v>
      </c>
      <c r="F119" t="s">
        <v>81</v>
      </c>
      <c r="G119" s="6" t="s">
        <v>113</v>
      </c>
      <c r="H119">
        <v>29745.8</v>
      </c>
      <c r="I119">
        <v>281.863</v>
      </c>
      <c r="J119">
        <v>81774.600000000006</v>
      </c>
      <c r="K119">
        <v>21.857800000000001</v>
      </c>
      <c r="L119">
        <v>61.694800000000001</v>
      </c>
      <c r="M119">
        <v>1150.46</v>
      </c>
      <c r="N119">
        <v>454.72399999999999</v>
      </c>
      <c r="O119">
        <v>9406820</v>
      </c>
      <c r="P119">
        <v>0.257075</v>
      </c>
      <c r="Q119">
        <v>0.50668999999999997</v>
      </c>
      <c r="R119">
        <v>3.1577000000000002</v>
      </c>
      <c r="S119">
        <v>15.894500000000001</v>
      </c>
      <c r="T119">
        <v>41.497199999999999</v>
      </c>
      <c r="U119">
        <v>38.427300000000002</v>
      </c>
      <c r="V119">
        <v>0.516625</v>
      </c>
      <c r="W119">
        <v>116.92</v>
      </c>
      <c r="X119">
        <v>0.83620300000000003</v>
      </c>
      <c r="Y119">
        <v>1.57802</v>
      </c>
      <c r="Z119">
        <v>3.30342</v>
      </c>
      <c r="AA119">
        <v>16.7605</v>
      </c>
      <c r="AB119">
        <v>41.33</v>
      </c>
      <c r="AC119">
        <v>36.191899999999997</v>
      </c>
      <c r="AD119">
        <v>1.66418</v>
      </c>
      <c r="AE119">
        <v>6.6217800000000002</v>
      </c>
      <c r="AF119">
        <v>0</v>
      </c>
      <c r="AG119">
        <v>99.917199999999994</v>
      </c>
      <c r="AH119">
        <v>8.2792400000000002E-2</v>
      </c>
      <c r="AI119">
        <v>0</v>
      </c>
      <c r="AJ119">
        <v>0</v>
      </c>
      <c r="AK119">
        <v>0</v>
      </c>
      <c r="AL119">
        <v>0.54250299999999996</v>
      </c>
      <c r="AM119">
        <v>0.36759799999999998</v>
      </c>
      <c r="AN119">
        <v>1.7667900000000001</v>
      </c>
      <c r="AO119">
        <v>3.9376099999999998</v>
      </c>
      <c r="AP119">
        <v>13.7502</v>
      </c>
      <c r="AQ119">
        <v>42.247300000000003</v>
      </c>
      <c r="AR119">
        <v>37.930500000000002</v>
      </c>
      <c r="AS119">
        <v>4.1158E-2</v>
      </c>
      <c r="AT119">
        <v>6.98271</v>
      </c>
      <c r="AU119">
        <v>35.451700000000002</v>
      </c>
      <c r="AV119">
        <v>41.137900000000002</v>
      </c>
      <c r="AW119">
        <v>12.6523</v>
      </c>
      <c r="AX119">
        <v>2.5218600000000002</v>
      </c>
      <c r="AY119">
        <v>1.2534799999999999</v>
      </c>
      <c r="AZ119">
        <v>316.24</v>
      </c>
      <c r="BA119">
        <v>321.149</v>
      </c>
      <c r="BB119">
        <v>17874.2</v>
      </c>
      <c r="BC119">
        <v>1.22506E-2</v>
      </c>
      <c r="BD119">
        <v>4.3052100000000003E-2</v>
      </c>
      <c r="BE119">
        <v>0.34110499999999999</v>
      </c>
      <c r="BF119">
        <v>2.6708799999999999</v>
      </c>
      <c r="BG119">
        <v>39.379399999999997</v>
      </c>
      <c r="BH119">
        <v>53.868099999999998</v>
      </c>
      <c r="BI119">
        <v>3.6975099999999999</v>
      </c>
      <c r="BJ119">
        <v>33.850499999999997</v>
      </c>
      <c r="BK119">
        <v>0</v>
      </c>
      <c r="BL119">
        <v>27.886099999999999</v>
      </c>
      <c r="BM119">
        <v>60.334099999999999</v>
      </c>
      <c r="BN119">
        <v>10.5047</v>
      </c>
      <c r="BO119">
        <v>0.93389900000000003</v>
      </c>
      <c r="BP119">
        <v>0.34110499999999999</v>
      </c>
      <c r="BQ119">
        <v>36.963700000000003</v>
      </c>
      <c r="BR119">
        <v>60392</v>
      </c>
    </row>
    <row r="120" spans="1:70" x14ac:dyDescent="0.25">
      <c r="A120">
        <v>35</v>
      </c>
      <c r="B120" s="7">
        <v>45959.516863425924</v>
      </c>
      <c r="C120" t="s">
        <v>119</v>
      </c>
      <c r="D120" s="6" t="s">
        <v>250</v>
      </c>
      <c r="E120" s="6" t="str">
        <f>VLOOKUP(F120,Germplasm!$A$1:$B$21,2,FALSE)</f>
        <v>Brage</v>
      </c>
      <c r="F120" t="s">
        <v>81</v>
      </c>
      <c r="G120" s="6" t="s">
        <v>113</v>
      </c>
      <c r="H120">
        <v>49156.2</v>
      </c>
      <c r="I120">
        <v>331.62599999999998</v>
      </c>
      <c r="J120">
        <v>121859</v>
      </c>
      <c r="K120">
        <v>22.469899999999999</v>
      </c>
      <c r="L120">
        <v>79.186700000000002</v>
      </c>
      <c r="M120">
        <v>1321.39</v>
      </c>
      <c r="N120">
        <v>474.86799999999999</v>
      </c>
      <c r="O120">
        <v>18830700</v>
      </c>
      <c r="P120">
        <v>0.252135</v>
      </c>
      <c r="Q120">
        <v>0.50297099999999995</v>
      </c>
      <c r="R120">
        <v>3.1613799999999999</v>
      </c>
      <c r="S120">
        <v>16.8736</v>
      </c>
      <c r="T120">
        <v>42.683300000000003</v>
      </c>
      <c r="U120">
        <v>36.066099999999999</v>
      </c>
      <c r="V120">
        <v>0.71254200000000001</v>
      </c>
      <c r="W120">
        <v>121.357</v>
      </c>
      <c r="X120">
        <v>0.73349900000000001</v>
      </c>
      <c r="Y120">
        <v>1.3129599999999999</v>
      </c>
      <c r="Z120">
        <v>2.8658899999999998</v>
      </c>
      <c r="AA120">
        <v>13.809699999999999</v>
      </c>
      <c r="AB120">
        <v>38.151400000000002</v>
      </c>
      <c r="AC120">
        <v>43.126600000000003</v>
      </c>
      <c r="AD120">
        <v>1.7952300000000001</v>
      </c>
      <c r="AE120">
        <v>6.2492700000000001</v>
      </c>
      <c r="AF120">
        <v>0</v>
      </c>
      <c r="AG120">
        <v>99.976900000000001</v>
      </c>
      <c r="AH120">
        <v>2.3052799999999998E-2</v>
      </c>
      <c r="AI120">
        <v>0</v>
      </c>
      <c r="AJ120">
        <v>0</v>
      </c>
      <c r="AK120">
        <v>0</v>
      </c>
      <c r="AL120">
        <v>0.54811299999999996</v>
      </c>
      <c r="AM120">
        <v>0.468391</v>
      </c>
      <c r="AN120">
        <v>1.8913800000000001</v>
      </c>
      <c r="AO120">
        <v>4.0227199999999996</v>
      </c>
      <c r="AP120">
        <v>12.6235</v>
      </c>
      <c r="AQ120">
        <v>40.127600000000001</v>
      </c>
      <c r="AR120">
        <v>40.866399999999999</v>
      </c>
      <c r="AS120">
        <v>1.6048099999999999E-2</v>
      </c>
      <c r="AT120">
        <v>9.6140699999999999</v>
      </c>
      <c r="AU120">
        <v>39.909700000000001</v>
      </c>
      <c r="AV120">
        <v>36.954700000000003</v>
      </c>
      <c r="AW120">
        <v>9.9085199999999993</v>
      </c>
      <c r="AX120">
        <v>2.1418200000000001</v>
      </c>
      <c r="AY120">
        <v>1.47119</v>
      </c>
      <c r="AZ120">
        <v>383.07900000000001</v>
      </c>
      <c r="BA120">
        <v>465.6</v>
      </c>
      <c r="BB120">
        <v>27381.599999999999</v>
      </c>
      <c r="BC120">
        <v>-3.65818E-3</v>
      </c>
      <c r="BD120">
        <v>3.7722800000000001E-2</v>
      </c>
      <c r="BE120">
        <v>0.46524799999999999</v>
      </c>
      <c r="BF120">
        <v>3.7502800000000001</v>
      </c>
      <c r="BG120">
        <v>45.270499999999998</v>
      </c>
      <c r="BH120">
        <v>47.134599999999999</v>
      </c>
      <c r="BI120">
        <v>3.3416100000000002</v>
      </c>
      <c r="BJ120">
        <v>33.457299999999996</v>
      </c>
      <c r="BK120">
        <v>0</v>
      </c>
      <c r="BL120">
        <v>29.244599999999998</v>
      </c>
      <c r="BM120">
        <v>59.432299999999998</v>
      </c>
      <c r="BN120">
        <v>9.7104800000000004</v>
      </c>
      <c r="BO120">
        <v>1.06043</v>
      </c>
      <c r="BP120">
        <v>0.55222000000000004</v>
      </c>
      <c r="BQ120">
        <v>33.889499999999998</v>
      </c>
      <c r="BR120">
        <v>95433</v>
      </c>
    </row>
    <row r="121" spans="1:70" x14ac:dyDescent="0.25">
      <c r="A121">
        <v>35</v>
      </c>
      <c r="B121" s="7">
        <v>45966.572152777779</v>
      </c>
      <c r="C121" t="s">
        <v>119</v>
      </c>
      <c r="D121" s="6" t="s">
        <v>251</v>
      </c>
      <c r="E121" s="6" t="str">
        <f>VLOOKUP(F121,Germplasm!$A$1:$B$21,2,FALSE)</f>
        <v>Brage</v>
      </c>
      <c r="F121" t="s">
        <v>81</v>
      </c>
      <c r="G121" s="6" t="s">
        <v>113</v>
      </c>
      <c r="H121">
        <v>40918.800000000003</v>
      </c>
      <c r="I121">
        <v>381.62</v>
      </c>
      <c r="J121">
        <v>108965</v>
      </c>
      <c r="K121">
        <v>21.770800000000001</v>
      </c>
      <c r="L121">
        <v>81.610100000000003</v>
      </c>
      <c r="M121">
        <v>1236.4000000000001</v>
      </c>
      <c r="N121">
        <v>428.52100000000002</v>
      </c>
      <c r="O121">
        <v>18758700</v>
      </c>
      <c r="P121">
        <v>0.25704399999999999</v>
      </c>
      <c r="Q121">
        <v>0.32366499999999998</v>
      </c>
      <c r="R121">
        <v>1.8864000000000001</v>
      </c>
      <c r="S121">
        <v>14.6798</v>
      </c>
      <c r="T121">
        <v>46.5867</v>
      </c>
      <c r="U121">
        <v>36.128100000000003</v>
      </c>
      <c r="V121">
        <v>0.39531500000000003</v>
      </c>
      <c r="W121">
        <v>113.45099999999999</v>
      </c>
      <c r="X121">
        <v>0.49290899999999999</v>
      </c>
      <c r="Y121">
        <v>1.3267800000000001</v>
      </c>
      <c r="Z121">
        <v>3.9296799999999998</v>
      </c>
      <c r="AA121">
        <v>21.269200000000001</v>
      </c>
      <c r="AB121">
        <v>42.948599999999999</v>
      </c>
      <c r="AC121">
        <v>30.032900000000001</v>
      </c>
      <c r="AD121">
        <v>1.72489</v>
      </c>
      <c r="AE121">
        <v>7.2537500000000001</v>
      </c>
      <c r="AF121">
        <v>0</v>
      </c>
      <c r="AG121">
        <v>99.745500000000007</v>
      </c>
      <c r="AH121">
        <v>0.25448399999999999</v>
      </c>
      <c r="AI121">
        <v>0</v>
      </c>
      <c r="AJ121">
        <v>0</v>
      </c>
      <c r="AK121">
        <v>0</v>
      </c>
      <c r="AL121">
        <v>0.52590099999999995</v>
      </c>
      <c r="AM121">
        <v>0.34343000000000001</v>
      </c>
      <c r="AN121">
        <v>2.0581100000000001</v>
      </c>
      <c r="AO121">
        <v>5.08969</v>
      </c>
      <c r="AP121">
        <v>16.537800000000001</v>
      </c>
      <c r="AQ121">
        <v>42.817599999999999</v>
      </c>
      <c r="AR121">
        <v>33.153399999999998</v>
      </c>
      <c r="AS121">
        <v>6.3214900000000004E-2</v>
      </c>
      <c r="AT121">
        <v>4.9612100000000003</v>
      </c>
      <c r="AU121">
        <v>31.350999999999999</v>
      </c>
      <c r="AV121">
        <v>45.751600000000003</v>
      </c>
      <c r="AW121">
        <v>13.706300000000001</v>
      </c>
      <c r="AX121">
        <v>2.79068</v>
      </c>
      <c r="AY121">
        <v>1.4392</v>
      </c>
      <c r="AZ121">
        <v>458.43700000000001</v>
      </c>
      <c r="BA121">
        <v>565.79899999999998</v>
      </c>
      <c r="BB121">
        <v>23722.5</v>
      </c>
      <c r="BC121">
        <v>2.86416E-2</v>
      </c>
      <c r="BD121">
        <v>3.4590099999999999E-2</v>
      </c>
      <c r="BE121">
        <v>0.31501699999999999</v>
      </c>
      <c r="BF121">
        <v>2.01858</v>
      </c>
      <c r="BG121">
        <v>33.944000000000003</v>
      </c>
      <c r="BH121">
        <v>57.859400000000001</v>
      </c>
      <c r="BI121">
        <v>5.82843</v>
      </c>
      <c r="BJ121">
        <v>33.585900000000002</v>
      </c>
      <c r="BK121">
        <v>0</v>
      </c>
      <c r="BL121">
        <v>27.0779</v>
      </c>
      <c r="BM121">
        <v>62.6723</v>
      </c>
      <c r="BN121">
        <v>8.9118899999999996</v>
      </c>
      <c r="BO121">
        <v>0.91416699999999995</v>
      </c>
      <c r="BP121">
        <v>0.42372900000000002</v>
      </c>
      <c r="BQ121">
        <v>35.469900000000003</v>
      </c>
      <c r="BR121">
        <v>80948</v>
      </c>
    </row>
    <row r="122" spans="1:70" x14ac:dyDescent="0.25">
      <c r="A122">
        <v>35</v>
      </c>
      <c r="B122" s="7">
        <v>45973.551736111112</v>
      </c>
      <c r="C122" t="s">
        <v>119</v>
      </c>
      <c r="D122" s="6" t="s">
        <v>252</v>
      </c>
      <c r="E122" s="6" t="str">
        <f>VLOOKUP(F122,Germplasm!$A$1:$B$21,2,FALSE)</f>
        <v>Brage</v>
      </c>
      <c r="F122" t="s">
        <v>81</v>
      </c>
      <c r="G122" s="6" t="s">
        <v>113</v>
      </c>
      <c r="H122">
        <v>52882.9</v>
      </c>
      <c r="I122">
        <v>465.12400000000002</v>
      </c>
      <c r="J122">
        <v>134555</v>
      </c>
      <c r="K122">
        <v>21.979299999999999</v>
      </c>
      <c r="L122">
        <v>79.111800000000002</v>
      </c>
      <c r="M122">
        <v>1397.44</v>
      </c>
      <c r="N122">
        <v>492.262</v>
      </c>
      <c r="O122">
        <v>27459400</v>
      </c>
      <c r="P122">
        <v>0.24423900000000001</v>
      </c>
      <c r="Q122">
        <v>0.52531399999999995</v>
      </c>
      <c r="R122">
        <v>3.55443</v>
      </c>
      <c r="S122">
        <v>17.907299999999999</v>
      </c>
      <c r="T122">
        <v>44.1188</v>
      </c>
      <c r="U122">
        <v>33.122399999999999</v>
      </c>
      <c r="V122">
        <v>0.77179299999999995</v>
      </c>
      <c r="W122">
        <v>117.05800000000001</v>
      </c>
      <c r="X122">
        <v>1.37419</v>
      </c>
      <c r="Y122">
        <v>2.42292</v>
      </c>
      <c r="Z122">
        <v>3.77712</v>
      </c>
      <c r="AA122">
        <v>16.283799999999999</v>
      </c>
      <c r="AB122">
        <v>37.315399999999997</v>
      </c>
      <c r="AC122">
        <v>38.826599999999999</v>
      </c>
      <c r="AD122">
        <v>1.7881400000000001</v>
      </c>
      <c r="AE122">
        <v>6.5479200000000004</v>
      </c>
      <c r="AF122">
        <v>0</v>
      </c>
      <c r="AG122">
        <v>99.8249</v>
      </c>
      <c r="AH122">
        <v>0.17510500000000001</v>
      </c>
      <c r="AI122">
        <v>0</v>
      </c>
      <c r="AJ122">
        <v>0</v>
      </c>
      <c r="AK122">
        <v>0</v>
      </c>
      <c r="AL122">
        <v>0.525617</v>
      </c>
      <c r="AM122">
        <v>0.60335000000000005</v>
      </c>
      <c r="AN122">
        <v>3.3964599999999998</v>
      </c>
      <c r="AO122">
        <v>6.4417600000000004</v>
      </c>
      <c r="AP122">
        <v>14.442299999999999</v>
      </c>
      <c r="AQ122">
        <v>37.561900000000001</v>
      </c>
      <c r="AR122">
        <v>37.554200000000002</v>
      </c>
      <c r="AS122">
        <v>4.5062499999999998E-2</v>
      </c>
      <c r="AT122">
        <v>6.7196400000000001</v>
      </c>
      <c r="AU122">
        <v>38.167099999999998</v>
      </c>
      <c r="AV122">
        <v>37.176400000000001</v>
      </c>
      <c r="AW122">
        <v>12.7674</v>
      </c>
      <c r="AX122">
        <v>3.3431700000000002</v>
      </c>
      <c r="AY122">
        <v>1.82623</v>
      </c>
      <c r="AZ122">
        <v>519.24900000000002</v>
      </c>
      <c r="BA122">
        <v>556.19899999999996</v>
      </c>
      <c r="BB122">
        <v>29574.2</v>
      </c>
      <c r="BC122">
        <v>1.93709E-2</v>
      </c>
      <c r="BD122">
        <v>4.9486099999999998E-2</v>
      </c>
      <c r="BE122">
        <v>0.33498299999999998</v>
      </c>
      <c r="BF122">
        <v>2.8264200000000002</v>
      </c>
      <c r="BG122">
        <v>41.674900000000001</v>
      </c>
      <c r="BH122">
        <v>47.558999999999997</v>
      </c>
      <c r="BI122">
        <v>7.5552000000000001</v>
      </c>
      <c r="BJ122">
        <v>33.168700000000001</v>
      </c>
      <c r="BK122">
        <v>0</v>
      </c>
      <c r="BL122">
        <v>30.459700000000002</v>
      </c>
      <c r="BM122">
        <v>58.267000000000003</v>
      </c>
      <c r="BN122">
        <v>9.4232999999999993</v>
      </c>
      <c r="BO122">
        <v>1.2914000000000001</v>
      </c>
      <c r="BP122">
        <v>0.55862199999999995</v>
      </c>
      <c r="BQ122">
        <v>34.044600000000003</v>
      </c>
      <c r="BR122">
        <v>105080</v>
      </c>
    </row>
    <row r="123" spans="1:70" x14ac:dyDescent="0.25">
      <c r="A123">
        <v>35</v>
      </c>
      <c r="B123" s="7">
        <v>45988.533020833333</v>
      </c>
      <c r="C123" t="s">
        <v>119</v>
      </c>
      <c r="D123" s="6" t="s">
        <v>253</v>
      </c>
      <c r="E123" s="6" t="str">
        <f>VLOOKUP(F123,Germplasm!$A$1:$B$21,2,FALSE)</f>
        <v>Brage</v>
      </c>
      <c r="F123" t="s">
        <v>81</v>
      </c>
      <c r="G123" s="6" t="s">
        <v>113</v>
      </c>
      <c r="H123">
        <v>46897.4</v>
      </c>
      <c r="I123">
        <v>495.63600000000002</v>
      </c>
      <c r="J123">
        <v>129274</v>
      </c>
      <c r="K123">
        <v>20.276900000000001</v>
      </c>
      <c r="L123">
        <v>78.467299999999994</v>
      </c>
      <c r="M123">
        <v>1359.17</v>
      </c>
      <c r="N123">
        <v>495.61099999999999</v>
      </c>
      <c r="O123">
        <v>26379200</v>
      </c>
      <c r="P123">
        <v>0.16746</v>
      </c>
      <c r="Q123">
        <v>0.81477900000000003</v>
      </c>
      <c r="R123">
        <v>11.520799999999999</v>
      </c>
      <c r="S123">
        <v>30.7181</v>
      </c>
      <c r="T123">
        <v>40.735999999999997</v>
      </c>
      <c r="U123">
        <v>15.5976</v>
      </c>
      <c r="V123">
        <v>0.61281699999999995</v>
      </c>
      <c r="W123">
        <v>87.282600000000002</v>
      </c>
      <c r="X123">
        <v>6.4192299999999998</v>
      </c>
      <c r="Y123">
        <v>14.797700000000001</v>
      </c>
      <c r="Z123">
        <v>11.432600000000001</v>
      </c>
      <c r="AA123">
        <v>25.138400000000001</v>
      </c>
      <c r="AB123">
        <v>24.0246</v>
      </c>
      <c r="AC123">
        <v>18.1875</v>
      </c>
      <c r="AD123">
        <v>1.7890999999999999</v>
      </c>
      <c r="AE123">
        <v>8.9869599999999998</v>
      </c>
      <c r="AF123">
        <v>0</v>
      </c>
      <c r="AG123">
        <v>98.564499999999995</v>
      </c>
      <c r="AH123">
        <v>1.4355199999999999</v>
      </c>
      <c r="AI123">
        <v>0</v>
      </c>
      <c r="AJ123">
        <v>0</v>
      </c>
      <c r="AK123">
        <v>0</v>
      </c>
      <c r="AL123">
        <v>0.36529099999999998</v>
      </c>
      <c r="AM123">
        <v>2.21861</v>
      </c>
      <c r="AN123">
        <v>15.5382</v>
      </c>
      <c r="AO123">
        <v>18.437000000000001</v>
      </c>
      <c r="AP123">
        <v>24.774999999999999</v>
      </c>
      <c r="AQ123">
        <v>29.600300000000001</v>
      </c>
      <c r="AR123">
        <v>9.4308399999999999</v>
      </c>
      <c r="AS123">
        <v>0.17951</v>
      </c>
      <c r="AT123">
        <v>1.59293</v>
      </c>
      <c r="AU123">
        <v>18.401299999999999</v>
      </c>
      <c r="AV123">
        <v>36.529400000000003</v>
      </c>
      <c r="AW123">
        <v>29.8934</v>
      </c>
      <c r="AX123">
        <v>10.3238</v>
      </c>
      <c r="AY123">
        <v>3.2591199999999998</v>
      </c>
      <c r="AZ123">
        <v>562.48699999999997</v>
      </c>
      <c r="BA123">
        <v>611.399</v>
      </c>
      <c r="BB123">
        <v>26212.799999999999</v>
      </c>
      <c r="BC123">
        <v>0.14458199999999999</v>
      </c>
      <c r="BD123">
        <v>4.75205E-2</v>
      </c>
      <c r="BE123">
        <v>0.30393300000000001</v>
      </c>
      <c r="BF123">
        <v>1.1474200000000001</v>
      </c>
      <c r="BG123">
        <v>18.4954</v>
      </c>
      <c r="BH123">
        <v>47.170099999999998</v>
      </c>
      <c r="BI123">
        <v>32.835700000000003</v>
      </c>
      <c r="BJ123">
        <v>32.490299999999998</v>
      </c>
      <c r="BK123">
        <v>0</v>
      </c>
      <c r="BL123">
        <v>34.2791</v>
      </c>
      <c r="BM123">
        <v>54.1417</v>
      </c>
      <c r="BN123">
        <v>9.1734399999999994</v>
      </c>
      <c r="BO123">
        <v>1.6008500000000001</v>
      </c>
      <c r="BP123">
        <v>0.80487900000000001</v>
      </c>
      <c r="BQ123">
        <v>34.020200000000003</v>
      </c>
      <c r="BR123">
        <v>101009</v>
      </c>
    </row>
    <row r="124" spans="1:70" x14ac:dyDescent="0.25">
      <c r="A124">
        <v>35</v>
      </c>
      <c r="B124" s="7">
        <v>45994.536944444444</v>
      </c>
      <c r="C124" t="s">
        <v>119</v>
      </c>
      <c r="D124" s="6" t="s">
        <v>254</v>
      </c>
      <c r="E124" s="6" t="str">
        <f>VLOOKUP(F124,Germplasm!$A$1:$B$21,2,FALSE)</f>
        <v>Brage</v>
      </c>
      <c r="F124" t="s">
        <v>81</v>
      </c>
      <c r="G124" s="6" t="s">
        <v>113</v>
      </c>
      <c r="H124">
        <v>43423.7</v>
      </c>
      <c r="I124">
        <v>450.22800000000001</v>
      </c>
      <c r="J124">
        <v>100087</v>
      </c>
      <c r="K124">
        <v>24.2957</v>
      </c>
      <c r="L124">
        <v>72.964299999999994</v>
      </c>
      <c r="M124">
        <v>1191.56</v>
      </c>
      <c r="N124">
        <v>432.73399999999998</v>
      </c>
      <c r="O124">
        <v>23411000</v>
      </c>
      <c r="P124">
        <v>0.16295899999999999</v>
      </c>
      <c r="Q124">
        <v>0.78279699999999997</v>
      </c>
      <c r="R124">
        <v>11.5358</v>
      </c>
      <c r="S124">
        <v>32.930300000000003</v>
      </c>
      <c r="T124">
        <v>39.152999999999999</v>
      </c>
      <c r="U124">
        <v>14.985799999999999</v>
      </c>
      <c r="V124">
        <v>0.61222600000000005</v>
      </c>
      <c r="W124">
        <v>82.171700000000001</v>
      </c>
      <c r="X124">
        <v>6.3446100000000003</v>
      </c>
      <c r="Y124">
        <v>16.3687</v>
      </c>
      <c r="Z124">
        <v>13.3725</v>
      </c>
      <c r="AA124">
        <v>28.750299999999999</v>
      </c>
      <c r="AB124">
        <v>21.039100000000001</v>
      </c>
      <c r="AC124">
        <v>14.1249</v>
      </c>
      <c r="AD124">
        <v>1.7857400000000001</v>
      </c>
      <c r="AE124">
        <v>9.1989999999999998</v>
      </c>
      <c r="AF124">
        <v>0</v>
      </c>
      <c r="AG124">
        <v>98.243499999999997</v>
      </c>
      <c r="AH124">
        <v>1.74936</v>
      </c>
      <c r="AI124">
        <v>7.1070999999999999E-3</v>
      </c>
      <c r="AJ124">
        <v>0</v>
      </c>
      <c r="AK124">
        <v>0</v>
      </c>
      <c r="AL124">
        <v>0.34245799999999998</v>
      </c>
      <c r="AM124">
        <v>2.6255700000000002</v>
      </c>
      <c r="AN124">
        <v>18.7516</v>
      </c>
      <c r="AO124">
        <v>19.1404</v>
      </c>
      <c r="AP124">
        <v>25.349</v>
      </c>
      <c r="AQ124">
        <v>26.326699999999999</v>
      </c>
      <c r="AR124">
        <v>7.8066500000000003</v>
      </c>
      <c r="AS124">
        <v>0.200353</v>
      </c>
      <c r="AT124">
        <v>1.1320600000000001</v>
      </c>
      <c r="AU124">
        <v>13.8741</v>
      </c>
      <c r="AV124">
        <v>36.788400000000003</v>
      </c>
      <c r="AW124">
        <v>34.143500000000003</v>
      </c>
      <c r="AX124">
        <v>10.814</v>
      </c>
      <c r="AY124">
        <v>3.2479499999999999</v>
      </c>
      <c r="AZ124">
        <v>539.13099999999997</v>
      </c>
      <c r="BA124">
        <v>579.59900000000005</v>
      </c>
      <c r="BB124">
        <v>24316.9</v>
      </c>
      <c r="BC124">
        <v>0.162908</v>
      </c>
      <c r="BD124">
        <v>4.2642600000000003E-2</v>
      </c>
      <c r="BE124">
        <v>0.20813699999999999</v>
      </c>
      <c r="BF124">
        <v>0.92595400000000005</v>
      </c>
      <c r="BG124">
        <v>13.8264</v>
      </c>
      <c r="BH124">
        <v>49.099899999999998</v>
      </c>
      <c r="BI124">
        <v>35.896999999999998</v>
      </c>
      <c r="BJ124">
        <v>32.591999999999999</v>
      </c>
      <c r="BK124">
        <v>0</v>
      </c>
      <c r="BL124">
        <v>33.897799999999997</v>
      </c>
      <c r="BM124">
        <v>54.595799999999997</v>
      </c>
      <c r="BN124">
        <v>9.0808499999999999</v>
      </c>
      <c r="BO124">
        <v>1.52803</v>
      </c>
      <c r="BP124">
        <v>0.89752600000000005</v>
      </c>
      <c r="BQ124">
        <v>34.090800000000002</v>
      </c>
      <c r="BR124">
        <v>98493</v>
      </c>
    </row>
    <row r="125" spans="1:70" x14ac:dyDescent="0.25">
      <c r="A125">
        <v>35</v>
      </c>
      <c r="B125" s="7">
        <v>46002.58258101852</v>
      </c>
      <c r="C125" t="s">
        <v>119</v>
      </c>
      <c r="D125" s="6" t="s">
        <v>255</v>
      </c>
      <c r="E125" s="6" t="str">
        <f>VLOOKUP(F125,Germplasm!$A$1:$B$21,2,FALSE)</f>
        <v>Brage</v>
      </c>
      <c r="F125" t="s">
        <v>81</v>
      </c>
      <c r="G125" s="6" t="s">
        <v>113</v>
      </c>
      <c r="H125">
        <v>38611.1</v>
      </c>
      <c r="I125">
        <v>431.9</v>
      </c>
      <c r="J125">
        <v>105216</v>
      </c>
      <c r="K125">
        <v>20.102</v>
      </c>
      <c r="L125">
        <v>72.711600000000004</v>
      </c>
      <c r="M125">
        <v>1226.21</v>
      </c>
      <c r="N125">
        <v>433.10399999999998</v>
      </c>
      <c r="O125">
        <v>20703300</v>
      </c>
      <c r="P125">
        <v>0.111887</v>
      </c>
      <c r="Q125">
        <v>0.84150199999999997</v>
      </c>
      <c r="R125">
        <v>17.175699999999999</v>
      </c>
      <c r="S125">
        <v>44.5869</v>
      </c>
      <c r="T125">
        <v>29.575099999999999</v>
      </c>
      <c r="U125">
        <v>7.6578999999999997</v>
      </c>
      <c r="V125">
        <v>0.16298299999999999</v>
      </c>
      <c r="W125">
        <v>62.890999999999998</v>
      </c>
      <c r="X125">
        <v>9.0912199999999999</v>
      </c>
      <c r="Y125">
        <v>31.7181</v>
      </c>
      <c r="Z125">
        <v>18.0276</v>
      </c>
      <c r="AA125">
        <v>22.139099999999999</v>
      </c>
      <c r="AB125">
        <v>9.9928299999999997</v>
      </c>
      <c r="AC125">
        <v>9.0311199999999996</v>
      </c>
      <c r="AD125">
        <v>1.8255300000000001</v>
      </c>
      <c r="AE125">
        <v>11.724399999999999</v>
      </c>
      <c r="AF125">
        <v>0</v>
      </c>
      <c r="AG125">
        <v>94.629599999999996</v>
      </c>
      <c r="AH125">
        <v>5.3310500000000003</v>
      </c>
      <c r="AI125">
        <v>3.93009E-2</v>
      </c>
      <c r="AJ125">
        <v>0</v>
      </c>
      <c r="AK125">
        <v>0</v>
      </c>
      <c r="AL125">
        <v>0.22708200000000001</v>
      </c>
      <c r="AM125">
        <v>6.27081</v>
      </c>
      <c r="AN125">
        <v>35.385800000000003</v>
      </c>
      <c r="AO125">
        <v>24.3249</v>
      </c>
      <c r="AP125">
        <v>20.9162</v>
      </c>
      <c r="AQ125">
        <v>11.008900000000001</v>
      </c>
      <c r="AR125">
        <v>2.09335</v>
      </c>
      <c r="AS125">
        <v>0.25996599999999997</v>
      </c>
      <c r="AT125">
        <v>0.70857199999999998</v>
      </c>
      <c r="AU125">
        <v>7.8127899999999997</v>
      </c>
      <c r="AV125">
        <v>26.785900000000002</v>
      </c>
      <c r="AW125">
        <v>44.322200000000002</v>
      </c>
      <c r="AX125">
        <v>17.203399999999998</v>
      </c>
      <c r="AY125">
        <v>3.1671900000000002</v>
      </c>
      <c r="AZ125">
        <v>536.20100000000002</v>
      </c>
      <c r="BA125">
        <v>582.59900000000005</v>
      </c>
      <c r="BB125">
        <v>21150.6</v>
      </c>
      <c r="BC125">
        <v>0.26309199999999999</v>
      </c>
      <c r="BD125">
        <v>4.9704100000000001E-2</v>
      </c>
      <c r="BE125">
        <v>0.19997200000000001</v>
      </c>
      <c r="BF125">
        <v>0.76405599999999996</v>
      </c>
      <c r="BG125">
        <v>7.5076299999999998</v>
      </c>
      <c r="BH125">
        <v>29.9207</v>
      </c>
      <c r="BI125">
        <v>61.557899999999997</v>
      </c>
      <c r="BJ125">
        <v>33.102800000000002</v>
      </c>
      <c r="BK125">
        <v>0</v>
      </c>
      <c r="BL125">
        <v>29.921900000000001</v>
      </c>
      <c r="BM125">
        <v>59.336300000000001</v>
      </c>
      <c r="BN125">
        <v>8.9999099999999999</v>
      </c>
      <c r="BO125">
        <v>1.1281699999999999</v>
      </c>
      <c r="BP125">
        <v>0.613788</v>
      </c>
      <c r="BQ125">
        <v>33.246400000000001</v>
      </c>
      <c r="BR125">
        <v>86512</v>
      </c>
    </row>
    <row r="126" spans="1:70" x14ac:dyDescent="0.25">
      <c r="A126">
        <v>35</v>
      </c>
      <c r="B126" s="7">
        <v>46013.597025462965</v>
      </c>
      <c r="C126" t="s">
        <v>119</v>
      </c>
      <c r="D126" s="6" t="s">
        <v>256</v>
      </c>
      <c r="E126" s="6" t="str">
        <f>VLOOKUP(F126,Germplasm!$A$1:$B$21,2,FALSE)</f>
        <v>Brage</v>
      </c>
      <c r="F126" t="s">
        <v>81</v>
      </c>
      <c r="G126" s="6" t="s">
        <v>113</v>
      </c>
      <c r="H126">
        <v>31193.5</v>
      </c>
      <c r="I126">
        <v>487.55</v>
      </c>
      <c r="J126">
        <v>82057.2</v>
      </c>
      <c r="K126">
        <v>20.083600000000001</v>
      </c>
      <c r="L126">
        <v>79.762900000000002</v>
      </c>
      <c r="M126">
        <v>1082.08</v>
      </c>
      <c r="N126">
        <v>387.80099999999999</v>
      </c>
      <c r="O126">
        <v>16841800</v>
      </c>
      <c r="P126">
        <v>3.2547100000000002E-2</v>
      </c>
      <c r="Q126">
        <v>0.98488500000000001</v>
      </c>
      <c r="R126">
        <v>33.582099999999997</v>
      </c>
      <c r="S126">
        <v>55.531799999999997</v>
      </c>
      <c r="T126">
        <v>8.4260699999999993</v>
      </c>
      <c r="U126">
        <v>1.41113</v>
      </c>
      <c r="V126">
        <v>6.4010200000000003E-2</v>
      </c>
      <c r="W126">
        <v>41.063200000000002</v>
      </c>
      <c r="X126">
        <v>18.4437</v>
      </c>
      <c r="Y126">
        <v>53.13</v>
      </c>
      <c r="Z126">
        <v>11.4666</v>
      </c>
      <c r="AA126">
        <v>6.5843299999999996</v>
      </c>
      <c r="AB126">
        <v>3.7707899999999999</v>
      </c>
      <c r="AC126">
        <v>6.6046899999999997</v>
      </c>
      <c r="AD126">
        <v>1.8928</v>
      </c>
      <c r="AE126">
        <v>15.4206</v>
      </c>
      <c r="AF126">
        <v>0</v>
      </c>
      <c r="AG126">
        <v>87.899199999999993</v>
      </c>
      <c r="AH126">
        <v>12.1008</v>
      </c>
      <c r="AI126">
        <v>0</v>
      </c>
      <c r="AJ126">
        <v>0</v>
      </c>
      <c r="AK126">
        <v>0</v>
      </c>
      <c r="AL126">
        <v>0.116883</v>
      </c>
      <c r="AM126">
        <v>12.943199999999999</v>
      </c>
      <c r="AN126">
        <v>58.480600000000003</v>
      </c>
      <c r="AO126">
        <v>17.959199999999999</v>
      </c>
      <c r="AP126">
        <v>7.2913500000000004</v>
      </c>
      <c r="AQ126">
        <v>2.6375099999999998</v>
      </c>
      <c r="AR126">
        <v>0.68811</v>
      </c>
      <c r="AS126">
        <v>0.26921099999999998</v>
      </c>
      <c r="AT126">
        <v>0.43206899999999998</v>
      </c>
      <c r="AU126">
        <v>4.5025399999999998</v>
      </c>
      <c r="AV126">
        <v>24.6236</v>
      </c>
      <c r="AW126">
        <v>55.101199999999999</v>
      </c>
      <c r="AX126">
        <v>12.4384</v>
      </c>
      <c r="AY126">
        <v>2.9022800000000002</v>
      </c>
      <c r="AZ126">
        <v>539.91600000000005</v>
      </c>
      <c r="BA126">
        <v>594.59900000000005</v>
      </c>
      <c r="BB126">
        <v>16480.099999999999</v>
      </c>
      <c r="BC126">
        <v>0.32924500000000001</v>
      </c>
      <c r="BD126">
        <v>5.6736399999999999E-2</v>
      </c>
      <c r="BE126">
        <v>0.22694500000000001</v>
      </c>
      <c r="BF126">
        <v>0.55863499999999999</v>
      </c>
      <c r="BG126">
        <v>4.0922900000000002</v>
      </c>
      <c r="BH126">
        <v>15.6883</v>
      </c>
      <c r="BI126">
        <v>79.377099999999999</v>
      </c>
      <c r="BJ126">
        <v>29.601800000000001</v>
      </c>
      <c r="BK126">
        <v>0</v>
      </c>
      <c r="BL126">
        <v>38.6462</v>
      </c>
      <c r="BM126">
        <v>55.131700000000002</v>
      </c>
      <c r="BN126">
        <v>4.5738200000000004</v>
      </c>
      <c r="BO126">
        <v>1.1579999999999999</v>
      </c>
      <c r="BP126">
        <v>0.49025999999999997</v>
      </c>
      <c r="BQ126">
        <v>31.912400000000002</v>
      </c>
      <c r="BR126">
        <v>68739</v>
      </c>
    </row>
    <row r="127" spans="1:70" x14ac:dyDescent="0.25">
      <c r="A127">
        <v>35</v>
      </c>
      <c r="B127" s="7">
        <v>46024.545254629629</v>
      </c>
      <c r="C127" t="s">
        <v>119</v>
      </c>
      <c r="D127" s="6" t="s">
        <v>257</v>
      </c>
      <c r="E127" s="6" t="str">
        <f>VLOOKUP(F127,Germplasm!$A$1:$B$21,2,FALSE)</f>
        <v>Brage</v>
      </c>
      <c r="F127" t="s">
        <v>81</v>
      </c>
      <c r="G127" s="6" t="s">
        <v>113</v>
      </c>
      <c r="H127">
        <v>33298.1</v>
      </c>
      <c r="I127">
        <v>418.60300000000001</v>
      </c>
      <c r="J127">
        <v>113451</v>
      </c>
      <c r="K127">
        <v>15.6882</v>
      </c>
      <c r="L127">
        <v>51.618000000000002</v>
      </c>
      <c r="M127">
        <v>1376.72</v>
      </c>
      <c r="N127">
        <v>553.86500000000001</v>
      </c>
      <c r="O127">
        <v>15141000</v>
      </c>
      <c r="P127">
        <v>1.2440700000000001E-2</v>
      </c>
      <c r="Q127">
        <v>0.99669200000000002</v>
      </c>
      <c r="R127">
        <v>39.145699999999998</v>
      </c>
      <c r="S127">
        <v>56.264899999999997</v>
      </c>
      <c r="T127">
        <v>3.2144400000000002</v>
      </c>
      <c r="U127">
        <v>0.35811900000000002</v>
      </c>
      <c r="V127">
        <v>2.0135199999999999E-2</v>
      </c>
      <c r="W127">
        <v>35.6327</v>
      </c>
      <c r="X127">
        <v>21.0945</v>
      </c>
      <c r="Y127">
        <v>58.883899999999997</v>
      </c>
      <c r="Z127">
        <v>9.3340999999999994</v>
      </c>
      <c r="AA127">
        <v>3.8601999999999999</v>
      </c>
      <c r="AB127">
        <v>1.27427</v>
      </c>
      <c r="AC127">
        <v>5.5529999999999999</v>
      </c>
      <c r="AD127">
        <v>1.8708499999999999</v>
      </c>
      <c r="AE127">
        <v>18.713799999999999</v>
      </c>
      <c r="AF127">
        <v>0</v>
      </c>
      <c r="AG127">
        <v>77.067499999999995</v>
      </c>
      <c r="AH127">
        <v>22.867799999999999</v>
      </c>
      <c r="AI127">
        <v>6.4720299999999995E-2</v>
      </c>
      <c r="AJ127">
        <v>0</v>
      </c>
      <c r="AK127">
        <v>0</v>
      </c>
      <c r="AL127">
        <v>8.6919200000000002E-2</v>
      </c>
      <c r="AM127">
        <v>14.7879</v>
      </c>
      <c r="AN127">
        <v>65.132999999999996</v>
      </c>
      <c r="AO127">
        <v>15.717000000000001</v>
      </c>
      <c r="AP127">
        <v>3.2806000000000002</v>
      </c>
      <c r="AQ127">
        <v>0.864375</v>
      </c>
      <c r="AR127">
        <v>0.217172</v>
      </c>
      <c r="AS127">
        <v>0.26619599999999999</v>
      </c>
      <c r="AT127">
        <v>0.37537799999999999</v>
      </c>
      <c r="AU127">
        <v>2.9224800000000002</v>
      </c>
      <c r="AV127">
        <v>27.441400000000002</v>
      </c>
      <c r="AW127">
        <v>55.552999999999997</v>
      </c>
      <c r="AX127">
        <v>11.129</v>
      </c>
      <c r="AY127">
        <v>2.5787399999999998</v>
      </c>
      <c r="AZ127">
        <v>454.709</v>
      </c>
      <c r="BA127">
        <v>503.399</v>
      </c>
      <c r="BB127">
        <v>17798.400000000001</v>
      </c>
      <c r="BC127">
        <v>0.33582200000000001</v>
      </c>
      <c r="BD127">
        <v>7.4787900000000004E-2</v>
      </c>
      <c r="BE127">
        <v>0.274702</v>
      </c>
      <c r="BF127">
        <v>0.54796500000000004</v>
      </c>
      <c r="BG127">
        <v>2.4003999999999999</v>
      </c>
      <c r="BH127">
        <v>12.5989</v>
      </c>
      <c r="BI127">
        <v>84.103300000000004</v>
      </c>
      <c r="BJ127">
        <v>28.059200000000001</v>
      </c>
      <c r="BK127">
        <v>0</v>
      </c>
      <c r="BL127">
        <v>44.422600000000003</v>
      </c>
      <c r="BM127">
        <v>50.106400000000001</v>
      </c>
      <c r="BN127">
        <v>4.2485299999999997</v>
      </c>
      <c r="BO127">
        <v>0.84423999999999999</v>
      </c>
      <c r="BP127">
        <v>0.37825399999999998</v>
      </c>
      <c r="BQ127">
        <v>32.334899999999998</v>
      </c>
      <c r="BR127">
        <v>69530</v>
      </c>
    </row>
    <row r="128" spans="1:70" x14ac:dyDescent="0.25">
      <c r="A128">
        <v>36</v>
      </c>
      <c r="B128" s="7">
        <v>45952.557870370372</v>
      </c>
      <c r="C128" t="s">
        <v>135</v>
      </c>
      <c r="D128" s="6" t="s">
        <v>258</v>
      </c>
      <c r="E128" s="6" t="str">
        <f>VLOOKUP(F128,Germplasm!$A$1:$B$21,2,FALSE)</f>
        <v>Tiril</v>
      </c>
      <c r="F128" t="s">
        <v>64</v>
      </c>
      <c r="G128" s="6" t="s">
        <v>113</v>
      </c>
      <c r="H128">
        <v>25787.7</v>
      </c>
      <c r="I128">
        <v>248.09899999999999</v>
      </c>
      <c r="J128">
        <v>75184.2</v>
      </c>
      <c r="K128">
        <v>19.699100000000001</v>
      </c>
      <c r="L128">
        <v>52.213299999999997</v>
      </c>
      <c r="M128">
        <v>1077.53</v>
      </c>
      <c r="N128">
        <v>431.767</v>
      </c>
      <c r="O128">
        <v>7562960</v>
      </c>
      <c r="P128">
        <v>0.20259199999999999</v>
      </c>
      <c r="Q128">
        <v>0.35929800000000001</v>
      </c>
      <c r="R128">
        <v>7.1312800000000003</v>
      </c>
      <c r="S128">
        <v>24.836500000000001</v>
      </c>
      <c r="T128">
        <v>42.166699999999999</v>
      </c>
      <c r="U128">
        <v>25.348099999999999</v>
      </c>
      <c r="V128">
        <v>0.158169</v>
      </c>
      <c r="W128">
        <v>114.351</v>
      </c>
      <c r="X128">
        <v>2.3705799999999999</v>
      </c>
      <c r="Y128">
        <v>3.5383</v>
      </c>
      <c r="Z128">
        <v>4.9423000000000004</v>
      </c>
      <c r="AA128">
        <v>17.5822</v>
      </c>
      <c r="AB128">
        <v>35.808700000000002</v>
      </c>
      <c r="AC128">
        <v>35.757899999999999</v>
      </c>
      <c r="AD128">
        <v>1.74116</v>
      </c>
      <c r="AE128">
        <v>17.760100000000001</v>
      </c>
      <c r="AF128">
        <v>0</v>
      </c>
      <c r="AG128">
        <v>86.213899999999995</v>
      </c>
      <c r="AH128">
        <v>1.2321599999999999</v>
      </c>
      <c r="AI128">
        <v>2.0327700000000002</v>
      </c>
      <c r="AJ128">
        <v>10.5212</v>
      </c>
      <c r="AK128">
        <v>0</v>
      </c>
      <c r="AL128">
        <v>0.41902800000000001</v>
      </c>
      <c r="AM128">
        <v>12.2552</v>
      </c>
      <c r="AN128">
        <v>4.53613</v>
      </c>
      <c r="AO128">
        <v>5.0067399999999997</v>
      </c>
      <c r="AP128">
        <v>16.4847</v>
      </c>
      <c r="AQ128">
        <v>43.840200000000003</v>
      </c>
      <c r="AR128">
        <v>17.876999999999999</v>
      </c>
      <c r="AS128">
        <v>4.1844199999999998E-2</v>
      </c>
      <c r="AT128">
        <v>5.8932700000000002</v>
      </c>
      <c r="AU128">
        <v>34.590200000000003</v>
      </c>
      <c r="AV128">
        <v>44.365499999999997</v>
      </c>
      <c r="AW128">
        <v>11.6616</v>
      </c>
      <c r="AX128">
        <v>2.4174500000000001</v>
      </c>
      <c r="AY128">
        <v>1.0720400000000001</v>
      </c>
      <c r="AZ128">
        <v>293.27699999999999</v>
      </c>
      <c r="BA128">
        <v>333</v>
      </c>
      <c r="BB128">
        <v>14810.6</v>
      </c>
      <c r="BC128">
        <v>2.5675699999999999E-3</v>
      </c>
      <c r="BD128">
        <v>1.00369</v>
      </c>
      <c r="BE128">
        <v>0.94315700000000002</v>
      </c>
      <c r="BF128">
        <v>3.79996</v>
      </c>
      <c r="BG128">
        <v>34.736699999999999</v>
      </c>
      <c r="BH128">
        <v>53.369399999999999</v>
      </c>
      <c r="BI128">
        <v>6.1471200000000001</v>
      </c>
      <c r="BJ128">
        <v>32.143099999999997</v>
      </c>
      <c r="BK128">
        <v>0</v>
      </c>
      <c r="BL128">
        <v>33.258499999999998</v>
      </c>
      <c r="BM128">
        <v>57.300199999999997</v>
      </c>
      <c r="BN128">
        <v>6.64506</v>
      </c>
      <c r="BO128">
        <v>1.3571299999999999</v>
      </c>
      <c r="BP128">
        <v>1.4391400000000001</v>
      </c>
      <c r="BQ128">
        <v>35.070999999999998</v>
      </c>
      <c r="BR128">
        <v>51211</v>
      </c>
    </row>
    <row r="129" spans="1:70" x14ac:dyDescent="0.25">
      <c r="A129">
        <v>36</v>
      </c>
      <c r="B129" s="7">
        <v>45959.520949074074</v>
      </c>
      <c r="C129" t="s">
        <v>135</v>
      </c>
      <c r="D129" s="6" t="s">
        <v>259</v>
      </c>
      <c r="E129" s="6" t="str">
        <f>VLOOKUP(F129,Germplasm!$A$1:$B$21,2,FALSE)</f>
        <v>Tiril</v>
      </c>
      <c r="F129" t="s">
        <v>64</v>
      </c>
      <c r="G129" s="6" t="s">
        <v>113</v>
      </c>
      <c r="H129">
        <v>54844.4</v>
      </c>
      <c r="I129">
        <v>383.04300000000001</v>
      </c>
      <c r="J129">
        <v>154771</v>
      </c>
      <c r="K129">
        <v>20.630199999999999</v>
      </c>
      <c r="L129">
        <v>74.503399999999999</v>
      </c>
      <c r="M129">
        <v>1468.01</v>
      </c>
      <c r="N129">
        <v>523.75900000000001</v>
      </c>
      <c r="O129">
        <v>24193300</v>
      </c>
      <c r="P129">
        <v>0.208346</v>
      </c>
      <c r="Q129">
        <v>0.44192599999999999</v>
      </c>
      <c r="R129">
        <v>5.5561800000000003</v>
      </c>
      <c r="S129">
        <v>25.5871</v>
      </c>
      <c r="T129">
        <v>43.8977</v>
      </c>
      <c r="U129">
        <v>23.941199999999998</v>
      </c>
      <c r="V129">
        <v>0.57589999999999997</v>
      </c>
      <c r="W129">
        <v>122.752</v>
      </c>
      <c r="X129">
        <v>1.65978</v>
      </c>
      <c r="Y129">
        <v>2.4738600000000002</v>
      </c>
      <c r="Z129">
        <v>3.6712400000000001</v>
      </c>
      <c r="AA129">
        <v>12.959099999999999</v>
      </c>
      <c r="AB129">
        <v>31.927499999999998</v>
      </c>
      <c r="AC129">
        <v>47.308399999999999</v>
      </c>
      <c r="AD129">
        <v>1.71767</v>
      </c>
      <c r="AE129">
        <v>11.5871</v>
      </c>
      <c r="AF129">
        <v>0</v>
      </c>
      <c r="AG129">
        <v>93.237099999999998</v>
      </c>
      <c r="AH129">
        <v>0.86710600000000004</v>
      </c>
      <c r="AI129">
        <v>1.08202</v>
      </c>
      <c r="AJ129">
        <v>4.8137400000000001</v>
      </c>
      <c r="AK129">
        <v>0</v>
      </c>
      <c r="AL129">
        <v>0.47168500000000002</v>
      </c>
      <c r="AM129">
        <v>6.06602</v>
      </c>
      <c r="AN129">
        <v>4.2313299999999998</v>
      </c>
      <c r="AO129">
        <v>5.7757399999999999</v>
      </c>
      <c r="AP129">
        <v>16.114999999999998</v>
      </c>
      <c r="AQ129">
        <v>40.680500000000002</v>
      </c>
      <c r="AR129">
        <v>27.131499999999999</v>
      </c>
      <c r="AS129">
        <v>2.7253899999999998E-3</v>
      </c>
      <c r="AT129">
        <v>9.4897799999999997</v>
      </c>
      <c r="AU129">
        <v>43.296700000000001</v>
      </c>
      <c r="AV129">
        <v>35.85</v>
      </c>
      <c r="AW129">
        <v>8.4449799999999993</v>
      </c>
      <c r="AX129">
        <v>1.74258</v>
      </c>
      <c r="AY129">
        <v>1.1759900000000001</v>
      </c>
      <c r="AZ129">
        <v>441.12599999999998</v>
      </c>
      <c r="BA129">
        <v>532.79899999999998</v>
      </c>
      <c r="BB129">
        <v>31929.599999999999</v>
      </c>
      <c r="BC129">
        <v>-1.3861E-2</v>
      </c>
      <c r="BD129">
        <v>0.55171000000000003</v>
      </c>
      <c r="BE129">
        <v>0.805701</v>
      </c>
      <c r="BF129">
        <v>4.4992700000000001</v>
      </c>
      <c r="BG129">
        <v>46.928800000000003</v>
      </c>
      <c r="BH129">
        <v>41.9495</v>
      </c>
      <c r="BI129">
        <v>5.2649699999999999</v>
      </c>
      <c r="BJ129">
        <v>30.758400000000002</v>
      </c>
      <c r="BK129">
        <v>0</v>
      </c>
      <c r="BL129">
        <v>38.174100000000003</v>
      </c>
      <c r="BM129">
        <v>53.149299999999997</v>
      </c>
      <c r="BN129">
        <v>6.3460599999999996</v>
      </c>
      <c r="BO129">
        <v>1.1508700000000001</v>
      </c>
      <c r="BP129">
        <v>1.17971</v>
      </c>
      <c r="BQ129">
        <v>35.649500000000003</v>
      </c>
      <c r="BR129">
        <v>107484</v>
      </c>
    </row>
    <row r="130" spans="1:70" x14ac:dyDescent="0.25">
      <c r="A130">
        <v>36</v>
      </c>
      <c r="B130" s="7">
        <v>45966.557581018518</v>
      </c>
      <c r="C130" t="s">
        <v>135</v>
      </c>
      <c r="D130" s="6" t="s">
        <v>260</v>
      </c>
      <c r="E130" s="6" t="str">
        <f>VLOOKUP(F130,Germplasm!$A$1:$B$21,2,FALSE)</f>
        <v>Tiril</v>
      </c>
      <c r="F130" t="s">
        <v>64</v>
      </c>
      <c r="G130" s="6" t="s">
        <v>113</v>
      </c>
      <c r="H130">
        <v>64810.5</v>
      </c>
      <c r="I130">
        <v>464.142</v>
      </c>
      <c r="J130">
        <v>163039</v>
      </c>
      <c r="K130">
        <v>21.835799999999999</v>
      </c>
      <c r="L130">
        <v>46.750999999999998</v>
      </c>
      <c r="M130">
        <v>1700.42</v>
      </c>
      <c r="N130">
        <v>730.77499999999998</v>
      </c>
      <c r="O130">
        <v>35184200</v>
      </c>
      <c r="P130">
        <v>0.220055</v>
      </c>
      <c r="Q130">
        <v>0.42542600000000003</v>
      </c>
      <c r="R130">
        <v>4.7753800000000002</v>
      </c>
      <c r="S130">
        <v>23.513400000000001</v>
      </c>
      <c r="T130">
        <v>43.998199999999997</v>
      </c>
      <c r="U130">
        <v>26.373200000000001</v>
      </c>
      <c r="V130">
        <v>0.91438399999999997</v>
      </c>
      <c r="W130">
        <v>118.56100000000001</v>
      </c>
      <c r="X130">
        <v>1.6212800000000001</v>
      </c>
      <c r="Y130">
        <v>2.6538900000000001</v>
      </c>
      <c r="Z130">
        <v>4.1392600000000002</v>
      </c>
      <c r="AA130">
        <v>14.771699999999999</v>
      </c>
      <c r="AB130">
        <v>35.0578</v>
      </c>
      <c r="AC130">
        <v>41.756100000000004</v>
      </c>
      <c r="AD130">
        <v>1.8204800000000001</v>
      </c>
      <c r="AE130">
        <v>10.8192</v>
      </c>
      <c r="AF130">
        <v>0</v>
      </c>
      <c r="AG130">
        <v>94.071399999999997</v>
      </c>
      <c r="AH130">
        <v>0.534798</v>
      </c>
      <c r="AI130">
        <v>0.814662</v>
      </c>
      <c r="AJ130">
        <v>4.5791599999999999</v>
      </c>
      <c r="AK130">
        <v>0</v>
      </c>
      <c r="AL130">
        <v>0.48725499999999999</v>
      </c>
      <c r="AM130">
        <v>5.1839199999999996</v>
      </c>
      <c r="AN130">
        <v>3.1541000000000001</v>
      </c>
      <c r="AO130">
        <v>6.7834899999999996</v>
      </c>
      <c r="AP130">
        <v>14.9719</v>
      </c>
      <c r="AQ130">
        <v>38.673499999999997</v>
      </c>
      <c r="AR130">
        <v>31.233000000000001</v>
      </c>
      <c r="AS130">
        <v>2.8716499999999999E-2</v>
      </c>
      <c r="AT130">
        <v>6.7119200000000001</v>
      </c>
      <c r="AU130">
        <v>40.8232</v>
      </c>
      <c r="AV130">
        <v>38.688800000000001</v>
      </c>
      <c r="AW130">
        <v>9.4856300000000005</v>
      </c>
      <c r="AX130">
        <v>2.4769600000000001</v>
      </c>
      <c r="AY130">
        <v>1.81349</v>
      </c>
      <c r="AZ130">
        <v>542.87800000000004</v>
      </c>
      <c r="BA130">
        <v>601.80100000000004</v>
      </c>
      <c r="BB130">
        <v>35600.800000000003</v>
      </c>
      <c r="BC130">
        <v>6.3213799999999997E-3</v>
      </c>
      <c r="BD130">
        <v>0.23402400000000001</v>
      </c>
      <c r="BE130">
        <v>0.46483200000000002</v>
      </c>
      <c r="BF130">
        <v>2.8927299999999998</v>
      </c>
      <c r="BG130">
        <v>43.942700000000002</v>
      </c>
      <c r="BH130">
        <v>46.5379</v>
      </c>
      <c r="BI130">
        <v>5.92781</v>
      </c>
      <c r="BJ130">
        <v>31.580300000000001</v>
      </c>
      <c r="BK130">
        <v>0</v>
      </c>
      <c r="BL130">
        <v>36.462800000000001</v>
      </c>
      <c r="BM130">
        <v>53.852200000000003</v>
      </c>
      <c r="BN130">
        <v>6.8687399999999998</v>
      </c>
      <c r="BO130">
        <v>1.60842</v>
      </c>
      <c r="BP130">
        <v>1.2079200000000001</v>
      </c>
      <c r="BQ130">
        <v>33.361400000000003</v>
      </c>
      <c r="BR130">
        <v>124346</v>
      </c>
    </row>
    <row r="131" spans="1:70" x14ac:dyDescent="0.25">
      <c r="A131">
        <v>36</v>
      </c>
      <c r="B131" s="7">
        <v>45973.55400462963</v>
      </c>
      <c r="C131" t="s">
        <v>135</v>
      </c>
      <c r="D131" s="6" t="s">
        <v>261</v>
      </c>
      <c r="E131" s="6" t="str">
        <f>VLOOKUP(F131,Germplasm!$A$1:$B$21,2,FALSE)</f>
        <v>Tiril</v>
      </c>
      <c r="F131" t="s">
        <v>64</v>
      </c>
      <c r="G131" s="6" t="s">
        <v>113</v>
      </c>
      <c r="H131">
        <v>65955.8</v>
      </c>
      <c r="I131">
        <v>509.52100000000002</v>
      </c>
      <c r="J131">
        <v>175918</v>
      </c>
      <c r="K131">
        <v>20.058499999999999</v>
      </c>
      <c r="L131">
        <v>77.696299999999994</v>
      </c>
      <c r="M131">
        <v>1553.57</v>
      </c>
      <c r="N131">
        <v>552.58199999999999</v>
      </c>
      <c r="O131">
        <v>39065200</v>
      </c>
      <c r="P131">
        <v>0.194165</v>
      </c>
      <c r="Q131">
        <v>0.54865200000000003</v>
      </c>
      <c r="R131">
        <v>7.5285599999999997</v>
      </c>
      <c r="S131">
        <v>27.832999999999998</v>
      </c>
      <c r="T131">
        <v>43.325600000000001</v>
      </c>
      <c r="U131">
        <v>19.828099999999999</v>
      </c>
      <c r="V131">
        <v>0.93614600000000003</v>
      </c>
      <c r="W131">
        <v>96.683800000000005</v>
      </c>
      <c r="X131">
        <v>3.4344399999999999</v>
      </c>
      <c r="Y131">
        <v>10.8226</v>
      </c>
      <c r="Z131">
        <v>15.074999999999999</v>
      </c>
      <c r="AA131">
        <v>18.795300000000001</v>
      </c>
      <c r="AB131">
        <v>24.5991</v>
      </c>
      <c r="AC131">
        <v>27.273599999999998</v>
      </c>
      <c r="AD131">
        <v>1.8691500000000001</v>
      </c>
      <c r="AE131">
        <v>11.088900000000001</v>
      </c>
      <c r="AF131">
        <v>0</v>
      </c>
      <c r="AG131">
        <v>94.453299999999999</v>
      </c>
      <c r="AH131">
        <v>0.86237200000000003</v>
      </c>
      <c r="AI131">
        <v>0.742757</v>
      </c>
      <c r="AJ131">
        <v>3.9415499999999999</v>
      </c>
      <c r="AK131">
        <v>0</v>
      </c>
      <c r="AL131">
        <v>0.35674899999999998</v>
      </c>
      <c r="AM131">
        <v>11.091900000000001</v>
      </c>
      <c r="AN131">
        <v>13.9777</v>
      </c>
      <c r="AO131">
        <v>12.1241</v>
      </c>
      <c r="AP131">
        <v>18.2273</v>
      </c>
      <c r="AQ131">
        <v>29.682300000000001</v>
      </c>
      <c r="AR131">
        <v>14.896699999999999</v>
      </c>
      <c r="AS131">
        <v>0.18981400000000001</v>
      </c>
      <c r="AT131">
        <v>3.2124100000000002</v>
      </c>
      <c r="AU131">
        <v>26.7163</v>
      </c>
      <c r="AV131">
        <v>34.127400000000002</v>
      </c>
      <c r="AW131">
        <v>17.4788</v>
      </c>
      <c r="AX131">
        <v>6.2894399999999999</v>
      </c>
      <c r="AY131">
        <v>12.175599999999999</v>
      </c>
      <c r="AZ131">
        <v>592.29399999999998</v>
      </c>
      <c r="BA131">
        <v>672.59900000000005</v>
      </c>
      <c r="BB131">
        <v>35286.5</v>
      </c>
      <c r="BC131">
        <v>0.16549</v>
      </c>
      <c r="BD131">
        <v>0.24495900000000001</v>
      </c>
      <c r="BE131">
        <v>0.34953299999999998</v>
      </c>
      <c r="BF131">
        <v>1.94248</v>
      </c>
      <c r="BG131">
        <v>27.3918</v>
      </c>
      <c r="BH131">
        <v>42.354300000000002</v>
      </c>
      <c r="BI131">
        <v>27.716899999999999</v>
      </c>
      <c r="BJ131">
        <v>38.0045</v>
      </c>
      <c r="BK131">
        <v>0</v>
      </c>
      <c r="BL131">
        <v>33.455599999999997</v>
      </c>
      <c r="BM131">
        <v>46.532200000000003</v>
      </c>
      <c r="BN131">
        <v>7.8315400000000004</v>
      </c>
      <c r="BO131">
        <v>8.11876</v>
      </c>
      <c r="BP131">
        <v>4.0618800000000004</v>
      </c>
      <c r="BQ131">
        <v>32.385300000000001</v>
      </c>
      <c r="BR131">
        <v>139615</v>
      </c>
    </row>
    <row r="132" spans="1:70" x14ac:dyDescent="0.25">
      <c r="A132">
        <v>36</v>
      </c>
      <c r="B132" s="7">
        <v>45988.537743055553</v>
      </c>
      <c r="C132" t="s">
        <v>135</v>
      </c>
      <c r="D132" s="6" t="s">
        <v>262</v>
      </c>
      <c r="E132" s="6" t="str">
        <f>VLOOKUP(F132,Germplasm!$A$1:$B$21,2,FALSE)</f>
        <v>Tiril</v>
      </c>
      <c r="F132" t="s">
        <v>64</v>
      </c>
      <c r="G132" s="6" t="s">
        <v>113</v>
      </c>
      <c r="H132">
        <v>50828.800000000003</v>
      </c>
      <c r="I132">
        <v>539.20399999999995</v>
      </c>
      <c r="J132">
        <v>155026</v>
      </c>
      <c r="K132">
        <v>18.052199999999999</v>
      </c>
      <c r="L132">
        <v>76.416600000000003</v>
      </c>
      <c r="M132">
        <v>1482.95</v>
      </c>
      <c r="N132">
        <v>542.54600000000005</v>
      </c>
      <c r="O132">
        <v>31578300</v>
      </c>
      <c r="P132">
        <v>0.104951</v>
      </c>
      <c r="Q132">
        <v>1.0514300000000001</v>
      </c>
      <c r="R132">
        <v>21.819199999999999</v>
      </c>
      <c r="S132">
        <v>45.233499999999999</v>
      </c>
      <c r="T132">
        <v>20.742999999999999</v>
      </c>
      <c r="U132">
        <v>10.3339</v>
      </c>
      <c r="V132">
        <v>0.81891499999999995</v>
      </c>
      <c r="W132">
        <v>62.300699999999999</v>
      </c>
      <c r="X132">
        <v>11.7401</v>
      </c>
      <c r="Y132">
        <v>31.049499999999998</v>
      </c>
      <c r="Z132">
        <v>13.895099999999999</v>
      </c>
      <c r="AA132">
        <v>19.201799999999999</v>
      </c>
      <c r="AB132">
        <v>12.0726</v>
      </c>
      <c r="AC132">
        <v>12.041</v>
      </c>
      <c r="AD132">
        <v>1.81626</v>
      </c>
      <c r="AE132">
        <v>14.1098</v>
      </c>
      <c r="AF132">
        <v>0</v>
      </c>
      <c r="AG132">
        <v>90.942400000000006</v>
      </c>
      <c r="AH132">
        <v>3.3594300000000001</v>
      </c>
      <c r="AI132">
        <v>1.0026999999999999</v>
      </c>
      <c r="AJ132">
        <v>4.6955099999999996</v>
      </c>
      <c r="AK132">
        <v>0</v>
      </c>
      <c r="AL132">
        <v>0.234907</v>
      </c>
      <c r="AM132">
        <v>9.9663199999999996</v>
      </c>
      <c r="AN132">
        <v>32.311300000000003</v>
      </c>
      <c r="AO132">
        <v>24.172499999999999</v>
      </c>
      <c r="AP132">
        <v>16.009899999999998</v>
      </c>
      <c r="AQ132">
        <v>11.1699</v>
      </c>
      <c r="AR132">
        <v>6.3700999999999999</v>
      </c>
      <c r="AS132">
        <v>0.242038</v>
      </c>
      <c r="AT132">
        <v>1.22837</v>
      </c>
      <c r="AU132">
        <v>9.8175799999999995</v>
      </c>
      <c r="AV132">
        <v>29.938300000000002</v>
      </c>
      <c r="AW132">
        <v>39.5259</v>
      </c>
      <c r="AX132">
        <v>15.556800000000001</v>
      </c>
      <c r="AY132">
        <v>3.93302</v>
      </c>
      <c r="AZ132">
        <v>621.26800000000003</v>
      </c>
      <c r="BA132">
        <v>707.40099999999995</v>
      </c>
      <c r="BB132">
        <v>27985.5</v>
      </c>
      <c r="BC132">
        <v>0.22243599999999999</v>
      </c>
      <c r="BD132">
        <v>0.39150699999999999</v>
      </c>
      <c r="BE132">
        <v>0.42826399999999998</v>
      </c>
      <c r="BF132">
        <v>1.1146799999999999</v>
      </c>
      <c r="BG132">
        <v>9.1080799999999993</v>
      </c>
      <c r="BH132">
        <v>35.447600000000001</v>
      </c>
      <c r="BI132">
        <v>53.509900000000002</v>
      </c>
      <c r="BJ132">
        <v>33.777099999999997</v>
      </c>
      <c r="BK132">
        <v>0</v>
      </c>
      <c r="BL132">
        <v>33.318199999999997</v>
      </c>
      <c r="BM132">
        <v>52.364400000000003</v>
      </c>
      <c r="BN132">
        <v>10.2681</v>
      </c>
      <c r="BO132">
        <v>2.4815399999999999</v>
      </c>
      <c r="BP132">
        <v>1.5677399999999999</v>
      </c>
      <c r="BQ132">
        <v>33.444200000000002</v>
      </c>
      <c r="BR132">
        <v>116984</v>
      </c>
    </row>
    <row r="133" spans="1:70" x14ac:dyDescent="0.25">
      <c r="A133">
        <v>36</v>
      </c>
      <c r="B133" s="7">
        <v>45994.549166666664</v>
      </c>
      <c r="C133" t="s">
        <v>135</v>
      </c>
      <c r="D133" s="6" t="s">
        <v>263</v>
      </c>
      <c r="E133" s="6" t="str">
        <f>VLOOKUP(F133,Germplasm!$A$1:$B$21,2,FALSE)</f>
        <v>Tiril</v>
      </c>
      <c r="F133" t="s">
        <v>64</v>
      </c>
      <c r="G133" s="6" t="s">
        <v>113</v>
      </c>
      <c r="H133">
        <v>42748.2</v>
      </c>
      <c r="I133">
        <v>459.51400000000001</v>
      </c>
      <c r="J133">
        <v>180979</v>
      </c>
      <c r="K133">
        <v>12.026300000000001</v>
      </c>
      <c r="L133">
        <v>76.936199999999999</v>
      </c>
      <c r="M133">
        <v>1625.26</v>
      </c>
      <c r="N133">
        <v>573.14400000000001</v>
      </c>
      <c r="O133">
        <v>23225500</v>
      </c>
      <c r="P133">
        <v>6.3939099999999999E-2</v>
      </c>
      <c r="Q133">
        <v>1.0516099999999999</v>
      </c>
      <c r="R133">
        <v>27.200199999999999</v>
      </c>
      <c r="S133">
        <v>52.298200000000001</v>
      </c>
      <c r="T133">
        <v>13.930899999999999</v>
      </c>
      <c r="U133">
        <v>5.1678300000000004</v>
      </c>
      <c r="V133">
        <v>0.351184</v>
      </c>
      <c r="W133">
        <v>49.448300000000003</v>
      </c>
      <c r="X133">
        <v>13.7369</v>
      </c>
      <c r="Y133">
        <v>41.737499999999997</v>
      </c>
      <c r="Z133">
        <v>15.514200000000001</v>
      </c>
      <c r="AA133">
        <v>13.6525</v>
      </c>
      <c r="AB133">
        <v>5.0223100000000001</v>
      </c>
      <c r="AC133">
        <v>10.336600000000001</v>
      </c>
      <c r="AD133">
        <v>1.96407</v>
      </c>
      <c r="AE133">
        <v>17.116299999999999</v>
      </c>
      <c r="AF133">
        <v>0</v>
      </c>
      <c r="AG133">
        <v>86.787000000000006</v>
      </c>
      <c r="AH133">
        <v>6.7258399999999998</v>
      </c>
      <c r="AI133">
        <v>1.2504900000000001</v>
      </c>
      <c r="AJ133">
        <v>5.2367100000000004</v>
      </c>
      <c r="AK133">
        <v>0</v>
      </c>
      <c r="AL133">
        <v>0.15795100000000001</v>
      </c>
      <c r="AM133">
        <v>15.439500000000001</v>
      </c>
      <c r="AN133">
        <v>41.642400000000002</v>
      </c>
      <c r="AO133">
        <v>23.819400000000002</v>
      </c>
      <c r="AP133">
        <v>11.797599999999999</v>
      </c>
      <c r="AQ133">
        <v>5.2367100000000004</v>
      </c>
      <c r="AR133">
        <v>2.0644200000000001</v>
      </c>
      <c r="AS133">
        <v>0.262596</v>
      </c>
      <c r="AT133">
        <v>1.2369000000000001</v>
      </c>
      <c r="AU133">
        <v>7.0838200000000002</v>
      </c>
      <c r="AV133">
        <v>25.679099999999998</v>
      </c>
      <c r="AW133">
        <v>46.189399999999999</v>
      </c>
      <c r="AX133">
        <v>15.638299999999999</v>
      </c>
      <c r="AY133">
        <v>4.1724899999999998</v>
      </c>
      <c r="AZ133">
        <v>543.30899999999997</v>
      </c>
      <c r="BA133">
        <v>592.79899999999998</v>
      </c>
      <c r="BB133">
        <v>21765.1</v>
      </c>
      <c r="BC133">
        <v>0.27079199999999998</v>
      </c>
      <c r="BD133">
        <v>0.64222000000000001</v>
      </c>
      <c r="BE133">
        <v>0.55975900000000001</v>
      </c>
      <c r="BF133">
        <v>1.3756299999999999</v>
      </c>
      <c r="BG133">
        <v>5.74214</v>
      </c>
      <c r="BH133">
        <v>23.990100000000002</v>
      </c>
      <c r="BI133">
        <v>67.690100000000001</v>
      </c>
      <c r="BJ133">
        <v>32.664299999999997</v>
      </c>
      <c r="BK133">
        <v>0</v>
      </c>
      <c r="BL133">
        <v>34.322899999999997</v>
      </c>
      <c r="BM133">
        <v>53.603999999999999</v>
      </c>
      <c r="BN133">
        <v>8.6292200000000001</v>
      </c>
      <c r="BO133">
        <v>2.1934399999999998</v>
      </c>
      <c r="BP133">
        <v>1.2504900000000001</v>
      </c>
      <c r="BQ133">
        <v>30.6327</v>
      </c>
      <c r="BR133">
        <v>103080</v>
      </c>
    </row>
    <row r="134" spans="1:70" x14ac:dyDescent="0.25">
      <c r="A134">
        <v>36</v>
      </c>
      <c r="B134" s="7">
        <v>46002.567372685182</v>
      </c>
      <c r="C134" t="s">
        <v>135</v>
      </c>
      <c r="D134" s="6" t="s">
        <v>264</v>
      </c>
      <c r="E134" s="6" t="str">
        <f>VLOOKUP(F134,Germplasm!$A$1:$B$21,2,FALSE)</f>
        <v>Tiril</v>
      </c>
      <c r="F134" t="s">
        <v>64</v>
      </c>
      <c r="G134" s="6" t="s">
        <v>113</v>
      </c>
      <c r="H134">
        <v>39219.199999999997</v>
      </c>
      <c r="I134">
        <v>368.93299999999999</v>
      </c>
      <c r="J134">
        <v>141438</v>
      </c>
      <c r="K134">
        <v>16.139900000000001</v>
      </c>
      <c r="L134">
        <v>71.819000000000003</v>
      </c>
      <c r="M134">
        <v>1441.68</v>
      </c>
      <c r="N134">
        <v>549.89400000000001</v>
      </c>
      <c r="O134">
        <v>17204000</v>
      </c>
      <c r="P134">
        <v>1.6583400000000002E-2</v>
      </c>
      <c r="Q134">
        <v>0.98403600000000002</v>
      </c>
      <c r="R134">
        <v>40.0182</v>
      </c>
      <c r="S134">
        <v>52.782600000000002</v>
      </c>
      <c r="T134">
        <v>4.7331899999999996</v>
      </c>
      <c r="U134">
        <v>1.4398200000000001</v>
      </c>
      <c r="V134">
        <v>4.20728E-2</v>
      </c>
      <c r="W134">
        <v>37.930199999999999</v>
      </c>
      <c r="X134">
        <v>21.322700000000001</v>
      </c>
      <c r="Y134">
        <v>50.392699999999998</v>
      </c>
      <c r="Z134">
        <v>10.5322</v>
      </c>
      <c r="AA134">
        <v>6.2548199999999996</v>
      </c>
      <c r="AB134">
        <v>1.9470400000000001</v>
      </c>
      <c r="AC134">
        <v>9.5505200000000006</v>
      </c>
      <c r="AD134">
        <v>1.7180200000000001</v>
      </c>
      <c r="AE134">
        <v>21.9697</v>
      </c>
      <c r="AF134">
        <v>0</v>
      </c>
      <c r="AG134">
        <v>76.905500000000004</v>
      </c>
      <c r="AH134">
        <v>15.3285</v>
      </c>
      <c r="AI134">
        <v>1.5298099999999999</v>
      </c>
      <c r="AJ134">
        <v>6.2361199999999997</v>
      </c>
      <c r="AK134">
        <v>0</v>
      </c>
      <c r="AL134">
        <v>9.8779099999999995E-2</v>
      </c>
      <c r="AM134">
        <v>18.383500000000002</v>
      </c>
      <c r="AN134">
        <v>54.196800000000003</v>
      </c>
      <c r="AO134">
        <v>21.276</v>
      </c>
      <c r="AP134">
        <v>4.7986399999999998</v>
      </c>
      <c r="AQ134">
        <v>0.99922900000000003</v>
      </c>
      <c r="AR134">
        <v>0.34593200000000002</v>
      </c>
      <c r="AS134">
        <v>0.253909</v>
      </c>
      <c r="AT134">
        <v>1.1792100000000001</v>
      </c>
      <c r="AU134">
        <v>5.9579700000000004</v>
      </c>
      <c r="AV134">
        <v>27.458300000000001</v>
      </c>
      <c r="AW134">
        <v>49.213500000000003</v>
      </c>
      <c r="AX134">
        <v>13.2658</v>
      </c>
      <c r="AY134">
        <v>2.92523</v>
      </c>
      <c r="AZ134">
        <v>438.66300000000001</v>
      </c>
      <c r="BA134">
        <v>476.4</v>
      </c>
      <c r="BB134">
        <v>22828.1</v>
      </c>
      <c r="BC134">
        <v>0.29226799999999997</v>
      </c>
      <c r="BD134">
        <v>0.57966899999999999</v>
      </c>
      <c r="BE134">
        <v>0.65563400000000005</v>
      </c>
      <c r="BF134">
        <v>1.17103</v>
      </c>
      <c r="BG134">
        <v>4.7308500000000002</v>
      </c>
      <c r="BH134">
        <v>16.686499999999999</v>
      </c>
      <c r="BI134">
        <v>76.176299999999998</v>
      </c>
      <c r="BJ134">
        <v>30.125299999999999</v>
      </c>
      <c r="BK134">
        <v>0</v>
      </c>
      <c r="BL134">
        <v>40.758000000000003</v>
      </c>
      <c r="BM134">
        <v>50.647500000000001</v>
      </c>
      <c r="BN134">
        <v>5.8189000000000002</v>
      </c>
      <c r="BO134">
        <v>1.3989199999999999</v>
      </c>
      <c r="BP134">
        <v>1.3767199999999999</v>
      </c>
      <c r="BQ134">
        <v>35.6312</v>
      </c>
      <c r="BR134">
        <v>85566</v>
      </c>
    </row>
    <row r="135" spans="1:70" x14ac:dyDescent="0.25">
      <c r="A135">
        <v>36</v>
      </c>
      <c r="B135" s="7">
        <v>46013.604143518518</v>
      </c>
      <c r="C135" t="s">
        <v>135</v>
      </c>
      <c r="D135" s="6" t="s">
        <v>265</v>
      </c>
      <c r="E135" s="6" t="str">
        <f>VLOOKUP(F135,Germplasm!$A$1:$B$21,2,FALSE)</f>
        <v>Tiril</v>
      </c>
      <c r="F135" t="s">
        <v>64</v>
      </c>
      <c r="G135" s="6" t="s">
        <v>113</v>
      </c>
      <c r="H135">
        <v>37770.400000000001</v>
      </c>
      <c r="I135">
        <v>311.47500000000002</v>
      </c>
      <c r="J135">
        <v>115041</v>
      </c>
      <c r="K135">
        <v>19.1815</v>
      </c>
      <c r="L135">
        <v>81.395499999999998</v>
      </c>
      <c r="M135">
        <v>1277.77</v>
      </c>
      <c r="N135">
        <v>456.77</v>
      </c>
      <c r="O135">
        <v>12680500</v>
      </c>
      <c r="P135">
        <v>1.7959499999999999E-3</v>
      </c>
      <c r="Q135">
        <v>1.1726000000000001</v>
      </c>
      <c r="R135">
        <v>42.561399999999999</v>
      </c>
      <c r="S135">
        <v>54.859299999999998</v>
      </c>
      <c r="T135">
        <v>1.2026300000000001</v>
      </c>
      <c r="U135">
        <v>0.16894400000000001</v>
      </c>
      <c r="V135">
        <v>3.5040300000000003E-2</v>
      </c>
      <c r="W135">
        <v>34.970199999999998</v>
      </c>
      <c r="X135">
        <v>22.941400000000002</v>
      </c>
      <c r="Y135">
        <v>56.034399999999998</v>
      </c>
      <c r="Z135">
        <v>7.4836099999999997</v>
      </c>
      <c r="AA135">
        <v>3.2399800000000001</v>
      </c>
      <c r="AB135">
        <v>1.6418900000000001</v>
      </c>
      <c r="AC135">
        <v>8.6587099999999992</v>
      </c>
      <c r="AD135">
        <v>1.71166</v>
      </c>
      <c r="AE135">
        <v>23.924800000000001</v>
      </c>
      <c r="AF135">
        <v>0</v>
      </c>
      <c r="AG135">
        <v>71.617400000000004</v>
      </c>
      <c r="AH135">
        <v>20.096900000000002</v>
      </c>
      <c r="AI135">
        <v>1.5743100000000001</v>
      </c>
      <c r="AJ135">
        <v>6.7114700000000003</v>
      </c>
      <c r="AK135">
        <v>0</v>
      </c>
      <c r="AL135">
        <v>7.8099699999999994E-2</v>
      </c>
      <c r="AM135">
        <v>20.770099999999999</v>
      </c>
      <c r="AN135">
        <v>59.329500000000003</v>
      </c>
      <c r="AO135">
        <v>16.412600000000001</v>
      </c>
      <c r="AP135">
        <v>2.4540700000000002</v>
      </c>
      <c r="AQ135">
        <v>0.65575399999999995</v>
      </c>
      <c r="AR135">
        <v>0.37793500000000002</v>
      </c>
      <c r="AS135">
        <v>0.26057999999999998</v>
      </c>
      <c r="AT135">
        <v>1.2952399999999999</v>
      </c>
      <c r="AU135">
        <v>5.4237399999999996</v>
      </c>
      <c r="AV135">
        <v>24.998699999999999</v>
      </c>
      <c r="AW135">
        <v>51.771999999999998</v>
      </c>
      <c r="AX135">
        <v>13.3428</v>
      </c>
      <c r="AY135">
        <v>3.1673900000000001</v>
      </c>
      <c r="AZ135">
        <v>335.72699999999998</v>
      </c>
      <c r="BA135">
        <v>349.79899999999998</v>
      </c>
      <c r="BB135">
        <v>22066.6</v>
      </c>
      <c r="BC135">
        <v>0.30806699999999998</v>
      </c>
      <c r="BD135">
        <v>0.819693</v>
      </c>
      <c r="BE135">
        <v>0.707063</v>
      </c>
      <c r="BF135">
        <v>1.0925100000000001</v>
      </c>
      <c r="BG135">
        <v>4.09971</v>
      </c>
      <c r="BH135">
        <v>13.934799999999999</v>
      </c>
      <c r="BI135">
        <v>79.346199999999996</v>
      </c>
      <c r="BJ135">
        <v>30.411200000000001</v>
      </c>
      <c r="BK135">
        <v>0</v>
      </c>
      <c r="BL135">
        <v>39.341500000000003</v>
      </c>
      <c r="BM135">
        <v>52.542900000000003</v>
      </c>
      <c r="BN135">
        <v>5.0120100000000001</v>
      </c>
      <c r="BO135">
        <v>1.61185</v>
      </c>
      <c r="BP135">
        <v>1.4917199999999999</v>
      </c>
      <c r="BQ135">
        <v>35.782200000000003</v>
      </c>
      <c r="BR135">
        <v>79908</v>
      </c>
    </row>
    <row r="136" spans="1:70" x14ac:dyDescent="0.25">
      <c r="A136">
        <v>36</v>
      </c>
      <c r="B136" s="7">
        <v>46024.530115740738</v>
      </c>
      <c r="C136" t="s">
        <v>135</v>
      </c>
      <c r="D136" s="6" t="s">
        <v>266</v>
      </c>
      <c r="E136" s="6" t="str">
        <f>VLOOKUP(F136,Germplasm!$A$1:$B$21,2,FALSE)</f>
        <v>Tiril</v>
      </c>
      <c r="F136" t="s">
        <v>64</v>
      </c>
      <c r="G136" s="6" t="s">
        <v>113</v>
      </c>
      <c r="H136">
        <v>35118.9</v>
      </c>
      <c r="I136">
        <v>315.94200000000001</v>
      </c>
      <c r="J136">
        <v>139810</v>
      </c>
      <c r="K136">
        <v>14.630699999999999</v>
      </c>
      <c r="L136">
        <v>70.722499999999997</v>
      </c>
      <c r="M136">
        <v>1447.24</v>
      </c>
      <c r="N136">
        <v>522.91399999999999</v>
      </c>
      <c r="O136">
        <v>12033000</v>
      </c>
      <c r="P136">
        <v>6.1343999999999999E-3</v>
      </c>
      <c r="Q136">
        <v>1.0586899999999999</v>
      </c>
      <c r="R136">
        <v>39.658999999999999</v>
      </c>
      <c r="S136">
        <v>57.703800000000001</v>
      </c>
      <c r="T136">
        <v>1.3374999999999999</v>
      </c>
      <c r="U136">
        <v>0.21146799999999999</v>
      </c>
      <c r="V136">
        <v>2.96324E-2</v>
      </c>
      <c r="W136">
        <v>36.408000000000001</v>
      </c>
      <c r="X136">
        <v>20.800599999999999</v>
      </c>
      <c r="Y136">
        <v>56.591200000000001</v>
      </c>
      <c r="Z136">
        <v>8.1219800000000006</v>
      </c>
      <c r="AA136">
        <v>3.5033599999999998</v>
      </c>
      <c r="AB136">
        <v>1.9072499999999999</v>
      </c>
      <c r="AC136">
        <v>9.0755999999999997</v>
      </c>
      <c r="AD136">
        <v>1.7168699999999999</v>
      </c>
      <c r="AE136">
        <v>24.404399999999999</v>
      </c>
      <c r="AF136">
        <v>0</v>
      </c>
      <c r="AG136">
        <v>69.974299999999999</v>
      </c>
      <c r="AH136">
        <v>21.298999999999999</v>
      </c>
      <c r="AI136">
        <v>1.5624400000000001</v>
      </c>
      <c r="AJ136">
        <v>7.1643100000000004</v>
      </c>
      <c r="AK136">
        <v>0</v>
      </c>
      <c r="AL136">
        <v>7.9205999999999999E-2</v>
      </c>
      <c r="AM136">
        <v>20.3507</v>
      </c>
      <c r="AN136">
        <v>59.600200000000001</v>
      </c>
      <c r="AO136">
        <v>16.45</v>
      </c>
      <c r="AP136">
        <v>2.5739800000000002</v>
      </c>
      <c r="AQ136">
        <v>0.69366799999999995</v>
      </c>
      <c r="AR136">
        <v>0.33134400000000003</v>
      </c>
      <c r="AS136">
        <v>0.25758500000000001</v>
      </c>
      <c r="AT136">
        <v>1.2095400000000001</v>
      </c>
      <c r="AU136">
        <v>6.0301999999999998</v>
      </c>
      <c r="AV136">
        <v>25.786899999999999</v>
      </c>
      <c r="AW136">
        <v>50.4223</v>
      </c>
      <c r="AX136">
        <v>13.3413</v>
      </c>
      <c r="AY136">
        <v>3.20973</v>
      </c>
      <c r="AZ136">
        <v>342.63499999999999</v>
      </c>
      <c r="BA136">
        <v>511.19900000000001</v>
      </c>
      <c r="BB136">
        <v>20455.2</v>
      </c>
      <c r="BC136">
        <v>0.30394399999999999</v>
      </c>
      <c r="BD136">
        <v>0.70579000000000003</v>
      </c>
      <c r="BE136">
        <v>0.73946400000000001</v>
      </c>
      <c r="BF136">
        <v>1.3105599999999999</v>
      </c>
      <c r="BG136">
        <v>4.4839200000000003</v>
      </c>
      <c r="BH136">
        <v>14.4054</v>
      </c>
      <c r="BI136">
        <v>78.354900000000001</v>
      </c>
      <c r="BJ136">
        <v>30.373999999999999</v>
      </c>
      <c r="BK136">
        <v>0</v>
      </c>
      <c r="BL136">
        <v>40.1492</v>
      </c>
      <c r="BM136">
        <v>51.467500000000001</v>
      </c>
      <c r="BN136">
        <v>5.2247300000000001</v>
      </c>
      <c r="BO136">
        <v>1.69309</v>
      </c>
      <c r="BP136">
        <v>1.46546</v>
      </c>
      <c r="BQ136">
        <v>35.654699999999998</v>
      </c>
      <c r="BR136">
        <v>74243</v>
      </c>
    </row>
    <row r="137" spans="1:70" x14ac:dyDescent="0.25">
      <c r="A137">
        <v>36</v>
      </c>
      <c r="B137" s="7">
        <v>45952.557870370372</v>
      </c>
      <c r="C137" t="s">
        <v>137</v>
      </c>
      <c r="D137" s="6" t="s">
        <v>258</v>
      </c>
      <c r="E137" s="6" t="str">
        <f>VLOOKUP(F137,Germplasm!$A$1:$B$21,2,FALSE)</f>
        <v>Helium</v>
      </c>
      <c r="F137" t="s">
        <v>76</v>
      </c>
      <c r="G137" s="6" t="s">
        <v>113</v>
      </c>
      <c r="H137">
        <v>35842.9</v>
      </c>
      <c r="I137">
        <v>391.17700000000002</v>
      </c>
      <c r="J137">
        <v>159319</v>
      </c>
      <c r="K137">
        <v>12.606</v>
      </c>
      <c r="L137">
        <v>79.275800000000004</v>
      </c>
      <c r="M137">
        <v>1500.1</v>
      </c>
      <c r="N137">
        <v>537.93899999999996</v>
      </c>
      <c r="O137">
        <v>16154900</v>
      </c>
      <c r="P137">
        <v>0.219997</v>
      </c>
      <c r="Q137">
        <v>0.71010700000000004</v>
      </c>
      <c r="R137">
        <v>4.28939</v>
      </c>
      <c r="S137">
        <v>20.9726</v>
      </c>
      <c r="T137">
        <v>47.634700000000002</v>
      </c>
      <c r="U137">
        <v>26.023800000000001</v>
      </c>
      <c r="V137">
        <v>0.36942799999999998</v>
      </c>
      <c r="W137">
        <v>124.319</v>
      </c>
      <c r="X137">
        <v>0.98035000000000005</v>
      </c>
      <c r="Y137">
        <v>1.6918899999999999</v>
      </c>
      <c r="Z137">
        <v>2.7685499999999998</v>
      </c>
      <c r="AA137">
        <v>11.662100000000001</v>
      </c>
      <c r="AB137">
        <v>34.040599999999998</v>
      </c>
      <c r="AC137">
        <v>48.856499999999997</v>
      </c>
      <c r="AD137">
        <v>1.78468</v>
      </c>
      <c r="AE137">
        <v>6.3913200000000003</v>
      </c>
      <c r="AF137">
        <v>0</v>
      </c>
      <c r="AG137">
        <v>99.935299999999998</v>
      </c>
      <c r="AH137">
        <v>5.8936000000000002E-2</v>
      </c>
      <c r="AI137">
        <v>1.43746E-3</v>
      </c>
      <c r="AJ137">
        <v>4.3123900000000001E-3</v>
      </c>
      <c r="AK137">
        <v>0</v>
      </c>
      <c r="AL137">
        <v>0.52175199999999999</v>
      </c>
      <c r="AM137">
        <v>0.74748099999999995</v>
      </c>
      <c r="AN137">
        <v>3.1020500000000002</v>
      </c>
      <c r="AO137">
        <v>5.4997299999999996</v>
      </c>
      <c r="AP137">
        <v>15.153700000000001</v>
      </c>
      <c r="AQ137">
        <v>41.186199999999999</v>
      </c>
      <c r="AR137">
        <v>34.3108</v>
      </c>
      <c r="AS137">
        <v>-4.6112799999999997E-3</v>
      </c>
      <c r="AT137">
        <v>9.7201299999999993</v>
      </c>
      <c r="AU137">
        <v>45.163699999999999</v>
      </c>
      <c r="AV137">
        <v>35.404699999999998</v>
      </c>
      <c r="AW137">
        <v>7.0895700000000001</v>
      </c>
      <c r="AX137">
        <v>1.4964</v>
      </c>
      <c r="AY137">
        <v>1.1255299999999999</v>
      </c>
      <c r="AZ137">
        <v>450.714</v>
      </c>
      <c r="BA137">
        <v>508.2</v>
      </c>
      <c r="BB137">
        <v>20083.7</v>
      </c>
      <c r="BC137">
        <v>-1.49172E-2</v>
      </c>
      <c r="BD137">
        <v>0.10349700000000001</v>
      </c>
      <c r="BE137">
        <v>0.69142000000000003</v>
      </c>
      <c r="BF137">
        <v>4.2965799999999996</v>
      </c>
      <c r="BG137">
        <v>49.792299999999997</v>
      </c>
      <c r="BH137">
        <v>41.804299999999998</v>
      </c>
      <c r="BI137">
        <v>3.3119200000000002</v>
      </c>
      <c r="BJ137">
        <v>30.196100000000001</v>
      </c>
      <c r="BK137">
        <v>0</v>
      </c>
      <c r="BL137">
        <v>37.100900000000003</v>
      </c>
      <c r="BM137">
        <v>56.128599999999999</v>
      </c>
      <c r="BN137">
        <v>5.52705</v>
      </c>
      <c r="BO137">
        <v>0.57498499999999997</v>
      </c>
      <c r="BP137">
        <v>0.66842000000000001</v>
      </c>
      <c r="BQ137">
        <v>34.108499999999999</v>
      </c>
      <c r="BR137">
        <v>69567</v>
      </c>
    </row>
    <row r="138" spans="1:70" x14ac:dyDescent="0.25">
      <c r="A138">
        <v>36</v>
      </c>
      <c r="B138" s="7">
        <v>45959.520949074074</v>
      </c>
      <c r="C138" t="s">
        <v>137</v>
      </c>
      <c r="D138" s="6" t="s">
        <v>259</v>
      </c>
      <c r="E138" s="6" t="str">
        <f>VLOOKUP(F138,Germplasm!$A$1:$B$21,2,FALSE)</f>
        <v>Helium</v>
      </c>
      <c r="F138" t="s">
        <v>76</v>
      </c>
      <c r="G138" s="6" t="s">
        <v>113</v>
      </c>
      <c r="H138">
        <v>50753.2</v>
      </c>
      <c r="I138">
        <v>499.25400000000002</v>
      </c>
      <c r="J138">
        <v>154420</v>
      </c>
      <c r="K138">
        <v>18.749199999999998</v>
      </c>
      <c r="L138">
        <v>65.622799999999998</v>
      </c>
      <c r="M138">
        <v>1566.96</v>
      </c>
      <c r="N138">
        <v>577.49599999999998</v>
      </c>
      <c r="O138">
        <v>30470300</v>
      </c>
      <c r="P138">
        <v>0.20583099999999999</v>
      </c>
      <c r="Q138">
        <v>0.88283500000000004</v>
      </c>
      <c r="R138">
        <v>4.0255299999999998</v>
      </c>
      <c r="S138">
        <v>24.026900000000001</v>
      </c>
      <c r="T138">
        <v>50.202199999999998</v>
      </c>
      <c r="U138">
        <v>20.323899999999998</v>
      </c>
      <c r="V138">
        <v>0.538578</v>
      </c>
      <c r="W138">
        <v>125.505</v>
      </c>
      <c r="X138">
        <v>0.971611</v>
      </c>
      <c r="Y138">
        <v>1.4815799999999999</v>
      </c>
      <c r="Z138">
        <v>2.65245</v>
      </c>
      <c r="AA138">
        <v>10.959</v>
      </c>
      <c r="AB138">
        <v>32.817799999999998</v>
      </c>
      <c r="AC138">
        <v>51.117600000000003</v>
      </c>
      <c r="AD138">
        <v>1.75298</v>
      </c>
      <c r="AE138">
        <v>6.2938499999999999</v>
      </c>
      <c r="AF138">
        <v>0</v>
      </c>
      <c r="AG138">
        <v>99.888499999999993</v>
      </c>
      <c r="AH138">
        <v>0.107518</v>
      </c>
      <c r="AI138">
        <v>3.9456300000000003E-3</v>
      </c>
      <c r="AJ138">
        <v>0</v>
      </c>
      <c r="AK138">
        <v>0</v>
      </c>
      <c r="AL138">
        <v>0.51350200000000001</v>
      </c>
      <c r="AM138">
        <v>0.75361500000000003</v>
      </c>
      <c r="AN138">
        <v>2.8211200000000001</v>
      </c>
      <c r="AO138">
        <v>6.4629399999999997</v>
      </c>
      <c r="AP138">
        <v>17.757300000000001</v>
      </c>
      <c r="AQ138">
        <v>39.724600000000002</v>
      </c>
      <c r="AR138">
        <v>32.480400000000003</v>
      </c>
      <c r="AS138">
        <v>-4.7455400000000003E-3</v>
      </c>
      <c r="AT138">
        <v>7.7008799999999997</v>
      </c>
      <c r="AU138">
        <v>49.325299999999999</v>
      </c>
      <c r="AV138">
        <v>34.156300000000002</v>
      </c>
      <c r="AW138">
        <v>6.0969800000000003</v>
      </c>
      <c r="AX138">
        <v>1.3158700000000001</v>
      </c>
      <c r="AY138">
        <v>1.4046400000000001</v>
      </c>
      <c r="AZ138">
        <v>600.36300000000006</v>
      </c>
      <c r="BA138">
        <v>663.59900000000005</v>
      </c>
      <c r="BB138">
        <v>28952.5</v>
      </c>
      <c r="BC138">
        <v>-1.4789099999999999E-2</v>
      </c>
      <c r="BD138">
        <v>9.3708700000000006E-2</v>
      </c>
      <c r="BE138">
        <v>0.57803499999999997</v>
      </c>
      <c r="BF138">
        <v>3.6585800000000002</v>
      </c>
      <c r="BG138">
        <v>52.693899999999999</v>
      </c>
      <c r="BH138">
        <v>39.618099999999998</v>
      </c>
      <c r="BI138">
        <v>3.3577300000000001</v>
      </c>
      <c r="BJ138">
        <v>28.6875</v>
      </c>
      <c r="BK138">
        <v>0</v>
      </c>
      <c r="BL138">
        <v>43.688000000000002</v>
      </c>
      <c r="BM138">
        <v>50.012799999999999</v>
      </c>
      <c r="BN138">
        <v>4.5897500000000004</v>
      </c>
      <c r="BO138">
        <v>0.72402299999999997</v>
      </c>
      <c r="BP138">
        <v>0.98542099999999999</v>
      </c>
      <c r="BQ138">
        <v>34.824100000000001</v>
      </c>
      <c r="BR138">
        <v>101378</v>
      </c>
    </row>
    <row r="139" spans="1:70" x14ac:dyDescent="0.25">
      <c r="A139">
        <v>36</v>
      </c>
      <c r="B139" s="7">
        <v>45966.557581018518</v>
      </c>
      <c r="C139" t="s">
        <v>137</v>
      </c>
      <c r="D139" s="6" t="s">
        <v>260</v>
      </c>
      <c r="E139" s="6" t="str">
        <f>VLOOKUP(F139,Germplasm!$A$1:$B$21,2,FALSE)</f>
        <v>Helium</v>
      </c>
      <c r="F139" t="s">
        <v>76</v>
      </c>
      <c r="G139" s="6" t="s">
        <v>113</v>
      </c>
      <c r="H139">
        <v>63513.9</v>
      </c>
      <c r="I139">
        <v>604.75599999999997</v>
      </c>
      <c r="J139">
        <v>208089</v>
      </c>
      <c r="K139">
        <v>17.0534</v>
      </c>
      <c r="L139">
        <v>71.522199999999998</v>
      </c>
      <c r="M139">
        <v>1744.2</v>
      </c>
      <c r="N139">
        <v>644.53099999999995</v>
      </c>
      <c r="O139">
        <v>46511000</v>
      </c>
      <c r="P139">
        <v>0.20580499999999999</v>
      </c>
      <c r="Q139">
        <v>0.70312799999999998</v>
      </c>
      <c r="R139">
        <v>3.7046700000000001</v>
      </c>
      <c r="S139">
        <v>23.072700000000001</v>
      </c>
      <c r="T139">
        <v>53.4298</v>
      </c>
      <c r="U139">
        <v>18.683900000000001</v>
      </c>
      <c r="V139">
        <v>0.40574199999999999</v>
      </c>
      <c r="W139">
        <v>118.196</v>
      </c>
      <c r="X139">
        <v>1.2014100000000001</v>
      </c>
      <c r="Y139">
        <v>2.1070099999999998</v>
      </c>
      <c r="Z139">
        <v>4.1278100000000002</v>
      </c>
      <c r="AA139">
        <v>15.68</v>
      </c>
      <c r="AB139">
        <v>35.3992</v>
      </c>
      <c r="AC139">
        <v>41.4846</v>
      </c>
      <c r="AD139">
        <v>1.78982</v>
      </c>
      <c r="AE139">
        <v>6.2055999999999996</v>
      </c>
      <c r="AF139">
        <v>0</v>
      </c>
      <c r="AG139">
        <v>99.854500000000002</v>
      </c>
      <c r="AH139">
        <v>0.13920199999999999</v>
      </c>
      <c r="AI139">
        <v>4.7455199999999996E-3</v>
      </c>
      <c r="AJ139">
        <v>1.5818399999999999E-3</v>
      </c>
      <c r="AK139">
        <v>0</v>
      </c>
      <c r="AL139">
        <v>0.50847799999999999</v>
      </c>
      <c r="AM139">
        <v>0.71182800000000002</v>
      </c>
      <c r="AN139">
        <v>2.7452800000000002</v>
      </c>
      <c r="AO139">
        <v>6.7520899999999999</v>
      </c>
      <c r="AP139">
        <v>17.033300000000001</v>
      </c>
      <c r="AQ139">
        <v>43.071100000000001</v>
      </c>
      <c r="AR139">
        <v>29.686399999999999</v>
      </c>
      <c r="AS139">
        <v>3.1121599999999999E-2</v>
      </c>
      <c r="AT139">
        <v>4.3405699999999996</v>
      </c>
      <c r="AU139">
        <v>42.926400000000001</v>
      </c>
      <c r="AV139">
        <v>40.268099999999997</v>
      </c>
      <c r="AW139">
        <v>8.9998799999999992</v>
      </c>
      <c r="AX139">
        <v>2.0532300000000001</v>
      </c>
      <c r="AY139">
        <v>1.4117900000000001</v>
      </c>
      <c r="AZ139">
        <v>732.29499999999996</v>
      </c>
      <c r="BA139">
        <v>817.20100000000002</v>
      </c>
      <c r="BB139">
        <v>35486.199999999997</v>
      </c>
      <c r="BC139">
        <v>1.0330199999999999E-2</v>
      </c>
      <c r="BD139">
        <v>5.6946299999999998E-2</v>
      </c>
      <c r="BE139">
        <v>0.312413</v>
      </c>
      <c r="BF139">
        <v>2.1639599999999999</v>
      </c>
      <c r="BG139">
        <v>44.732900000000001</v>
      </c>
      <c r="BH139">
        <v>48.053899999999999</v>
      </c>
      <c r="BI139">
        <v>4.6798700000000002</v>
      </c>
      <c r="BJ139">
        <v>28.387899999999998</v>
      </c>
      <c r="BK139">
        <v>0</v>
      </c>
      <c r="BL139">
        <v>43.344000000000001</v>
      </c>
      <c r="BM139">
        <v>50.844299999999997</v>
      </c>
      <c r="BN139">
        <v>4.4117499999999996</v>
      </c>
      <c r="BO139">
        <v>0.63748199999999999</v>
      </c>
      <c r="BP139">
        <v>0.76244699999999999</v>
      </c>
      <c r="BQ139">
        <v>34.01</v>
      </c>
      <c r="BR139">
        <v>126435</v>
      </c>
    </row>
    <row r="140" spans="1:70" x14ac:dyDescent="0.25">
      <c r="A140">
        <v>36</v>
      </c>
      <c r="B140" s="7">
        <v>45973.55400462963</v>
      </c>
      <c r="C140" t="s">
        <v>137</v>
      </c>
      <c r="D140" s="6" t="s">
        <v>261</v>
      </c>
      <c r="E140" s="6" t="str">
        <f>VLOOKUP(F140,Germplasm!$A$1:$B$21,2,FALSE)</f>
        <v>Helium</v>
      </c>
      <c r="F140" t="s">
        <v>76</v>
      </c>
      <c r="G140" s="6" t="s">
        <v>113</v>
      </c>
      <c r="H140">
        <v>62458.6</v>
      </c>
      <c r="I140">
        <v>639.63900000000001</v>
      </c>
      <c r="J140">
        <v>206319</v>
      </c>
      <c r="K140">
        <v>16.490600000000001</v>
      </c>
      <c r="L140">
        <v>74.586200000000005</v>
      </c>
      <c r="M140">
        <v>1672.61</v>
      </c>
      <c r="N140">
        <v>605.15300000000002</v>
      </c>
      <c r="O140">
        <v>46185500</v>
      </c>
      <c r="P140">
        <v>0.18856999999999999</v>
      </c>
      <c r="Q140">
        <v>0.75337799999999999</v>
      </c>
      <c r="R140">
        <v>4.5367499999999996</v>
      </c>
      <c r="S140">
        <v>29.610099999999999</v>
      </c>
      <c r="T140">
        <v>48.854199999999999</v>
      </c>
      <c r="U140">
        <v>15.8131</v>
      </c>
      <c r="V140">
        <v>0.43240800000000001</v>
      </c>
      <c r="W140">
        <v>113.95099999999999</v>
      </c>
      <c r="X140">
        <v>1.54129</v>
      </c>
      <c r="Y140">
        <v>3.3682300000000001</v>
      </c>
      <c r="Z140">
        <v>6.1635799999999996</v>
      </c>
      <c r="AA140">
        <v>19.4011</v>
      </c>
      <c r="AB140">
        <v>32.156700000000001</v>
      </c>
      <c r="AC140">
        <v>37.369100000000003</v>
      </c>
      <c r="AD140">
        <v>1.8357699999999999</v>
      </c>
      <c r="AE140">
        <v>6.5819000000000001</v>
      </c>
      <c r="AF140">
        <v>0</v>
      </c>
      <c r="AG140">
        <v>99.686099999999996</v>
      </c>
      <c r="AH140">
        <v>0.309199</v>
      </c>
      <c r="AI140">
        <v>4.7086200000000002E-3</v>
      </c>
      <c r="AJ140">
        <v>0</v>
      </c>
      <c r="AK140">
        <v>0</v>
      </c>
      <c r="AL140">
        <v>0.46634500000000001</v>
      </c>
      <c r="AM140">
        <v>0.85618300000000003</v>
      </c>
      <c r="AN140">
        <v>4.3876400000000002</v>
      </c>
      <c r="AO140">
        <v>10.2232</v>
      </c>
      <c r="AP140">
        <v>22.266300000000001</v>
      </c>
      <c r="AQ140">
        <v>43.137999999999998</v>
      </c>
      <c r="AR140">
        <v>19.128699999999998</v>
      </c>
      <c r="AS140">
        <v>5.5213600000000002E-2</v>
      </c>
      <c r="AT140">
        <v>3.7849400000000002</v>
      </c>
      <c r="AU140">
        <v>37.887099999999997</v>
      </c>
      <c r="AV140">
        <v>41.376199999999997</v>
      </c>
      <c r="AW140">
        <v>11.915900000000001</v>
      </c>
      <c r="AX140">
        <v>3.3235000000000001</v>
      </c>
      <c r="AY140">
        <v>1.7123699999999999</v>
      </c>
      <c r="AZ140">
        <v>739.45699999999999</v>
      </c>
      <c r="BA140">
        <v>827.99900000000002</v>
      </c>
      <c r="BB140">
        <v>34023.1</v>
      </c>
      <c r="BC140">
        <v>2.77548E-2</v>
      </c>
      <c r="BD140">
        <v>7.3768299999999995E-2</v>
      </c>
      <c r="BE140">
        <v>0.40258699999999997</v>
      </c>
      <c r="BF140">
        <v>2.3346900000000002</v>
      </c>
      <c r="BG140">
        <v>38.857799999999997</v>
      </c>
      <c r="BH140">
        <v>50.175800000000002</v>
      </c>
      <c r="BI140">
        <v>8.1553199999999997</v>
      </c>
      <c r="BJ140">
        <v>27.7591</v>
      </c>
      <c r="BK140">
        <v>0</v>
      </c>
      <c r="BL140">
        <v>48.168399999999998</v>
      </c>
      <c r="BM140">
        <v>44.974299999999999</v>
      </c>
      <c r="BN140">
        <v>5.2273500000000004</v>
      </c>
      <c r="BO140">
        <v>0.80988199999999999</v>
      </c>
      <c r="BP140">
        <v>0.82008400000000004</v>
      </c>
      <c r="BQ140">
        <v>33.048200000000001</v>
      </c>
      <c r="BR140">
        <v>127426</v>
      </c>
    </row>
    <row r="141" spans="1:70" x14ac:dyDescent="0.25">
      <c r="A141">
        <v>36</v>
      </c>
      <c r="B141" s="7">
        <v>45988.537743055553</v>
      </c>
      <c r="C141" t="s">
        <v>137</v>
      </c>
      <c r="D141" s="6" t="s">
        <v>262</v>
      </c>
      <c r="E141" s="6" t="str">
        <f>VLOOKUP(F141,Germplasm!$A$1:$B$21,2,FALSE)</f>
        <v>Helium</v>
      </c>
      <c r="F141" t="s">
        <v>76</v>
      </c>
      <c r="G141" s="6" t="s">
        <v>113</v>
      </c>
      <c r="H141">
        <v>56690.1</v>
      </c>
      <c r="I141">
        <v>562.88699999999994</v>
      </c>
      <c r="J141">
        <v>207471</v>
      </c>
      <c r="K141">
        <v>14.777200000000001</v>
      </c>
      <c r="L141">
        <v>74.158500000000004</v>
      </c>
      <c r="M141">
        <v>1715.79</v>
      </c>
      <c r="N141">
        <v>594.36900000000003</v>
      </c>
      <c r="O141">
        <v>42404600</v>
      </c>
      <c r="P141">
        <v>0.17993999999999999</v>
      </c>
      <c r="Q141">
        <v>0.709368</v>
      </c>
      <c r="R141">
        <v>5.4699799999999996</v>
      </c>
      <c r="S141">
        <v>30.958400000000001</v>
      </c>
      <c r="T141">
        <v>49.831099999999999</v>
      </c>
      <c r="U141">
        <v>12.611700000000001</v>
      </c>
      <c r="V141">
        <v>0.41953600000000002</v>
      </c>
      <c r="W141">
        <v>93.793000000000006</v>
      </c>
      <c r="X141">
        <v>2.3194599999999999</v>
      </c>
      <c r="Y141">
        <v>8.30504</v>
      </c>
      <c r="Z141">
        <v>12.7334</v>
      </c>
      <c r="AA141">
        <v>32.0032</v>
      </c>
      <c r="AB141">
        <v>27.734999999999999</v>
      </c>
      <c r="AC141">
        <v>16.9039</v>
      </c>
      <c r="AD141">
        <v>1.8490899999999999</v>
      </c>
      <c r="AE141">
        <v>8.1983700000000006</v>
      </c>
      <c r="AF141">
        <v>0</v>
      </c>
      <c r="AG141">
        <v>99.578900000000004</v>
      </c>
      <c r="AH141">
        <v>0.42033599999999999</v>
      </c>
      <c r="AI141">
        <v>8.0064000000000003E-4</v>
      </c>
      <c r="AJ141">
        <v>0</v>
      </c>
      <c r="AK141">
        <v>0</v>
      </c>
      <c r="AL141">
        <v>0.38073499999999999</v>
      </c>
      <c r="AM141">
        <v>2.73339</v>
      </c>
      <c r="AN141">
        <v>8.9695800000000006</v>
      </c>
      <c r="AO141">
        <v>16.793399999999998</v>
      </c>
      <c r="AP141">
        <v>32.569299999999998</v>
      </c>
      <c r="AQ141">
        <v>32.0777</v>
      </c>
      <c r="AR141">
        <v>6.8566900000000004</v>
      </c>
      <c r="AS141">
        <v>0.15629299999999999</v>
      </c>
      <c r="AT141">
        <v>1.3738999999999999</v>
      </c>
      <c r="AU141">
        <v>17.121700000000001</v>
      </c>
      <c r="AV141">
        <v>46.076900000000002</v>
      </c>
      <c r="AW141">
        <v>24.341100000000001</v>
      </c>
      <c r="AX141">
        <v>9.2017600000000002</v>
      </c>
      <c r="AY141">
        <v>1.8847100000000001</v>
      </c>
      <c r="AZ141">
        <v>748.00599999999997</v>
      </c>
      <c r="BA141">
        <v>817.80100000000004</v>
      </c>
      <c r="BB141">
        <v>30658.5</v>
      </c>
      <c r="BC141">
        <v>0.11895</v>
      </c>
      <c r="BD141">
        <v>6.4051200000000003E-2</v>
      </c>
      <c r="BE141">
        <v>0.24739800000000001</v>
      </c>
      <c r="BF141">
        <v>1.0456399999999999</v>
      </c>
      <c r="BG141">
        <v>17.130500000000001</v>
      </c>
      <c r="BH141">
        <v>58.786999999999999</v>
      </c>
      <c r="BI141">
        <v>22.7254</v>
      </c>
      <c r="BJ141">
        <v>30.382200000000001</v>
      </c>
      <c r="BK141">
        <v>0</v>
      </c>
      <c r="BL141">
        <v>39.575699999999998</v>
      </c>
      <c r="BM141">
        <v>51.327500000000001</v>
      </c>
      <c r="BN141">
        <v>7.5340299999999996</v>
      </c>
      <c r="BO141">
        <v>0.82786199999999999</v>
      </c>
      <c r="BP141">
        <v>0.73498799999999997</v>
      </c>
      <c r="BQ141">
        <v>32.778500000000001</v>
      </c>
      <c r="BR141">
        <v>124900</v>
      </c>
    </row>
    <row r="142" spans="1:70" x14ac:dyDescent="0.25">
      <c r="A142">
        <v>36</v>
      </c>
      <c r="B142" s="7">
        <v>45994.549166666664</v>
      </c>
      <c r="C142" t="s">
        <v>137</v>
      </c>
      <c r="D142" s="6" t="s">
        <v>263</v>
      </c>
      <c r="E142" s="6" t="str">
        <f>VLOOKUP(F142,Germplasm!$A$1:$B$21,2,FALSE)</f>
        <v>Helium</v>
      </c>
      <c r="F142" t="s">
        <v>76</v>
      </c>
      <c r="G142" s="6" t="s">
        <v>113</v>
      </c>
      <c r="H142">
        <v>47660.6</v>
      </c>
      <c r="I142">
        <v>545.11599999999999</v>
      </c>
      <c r="J142">
        <v>198064</v>
      </c>
      <c r="K142">
        <v>12.3604</v>
      </c>
      <c r="L142">
        <v>55.200600000000001</v>
      </c>
      <c r="M142">
        <v>1715.03</v>
      </c>
      <c r="N142">
        <v>696.39400000000001</v>
      </c>
      <c r="O142">
        <v>35927100</v>
      </c>
      <c r="P142">
        <v>0.13203400000000001</v>
      </c>
      <c r="Q142">
        <v>1.3882000000000001</v>
      </c>
      <c r="R142">
        <v>12.1372</v>
      </c>
      <c r="S142">
        <v>40.681800000000003</v>
      </c>
      <c r="T142">
        <v>36.889800000000001</v>
      </c>
      <c r="U142">
        <v>8.3816199999999998</v>
      </c>
      <c r="V142">
        <v>0.52139400000000002</v>
      </c>
      <c r="W142">
        <v>71.733400000000003</v>
      </c>
      <c r="X142">
        <v>6.4973000000000001</v>
      </c>
      <c r="Y142">
        <v>24.0412</v>
      </c>
      <c r="Z142">
        <v>17.993200000000002</v>
      </c>
      <c r="AA142">
        <v>25.495899999999999</v>
      </c>
      <c r="AB142">
        <v>15.2636</v>
      </c>
      <c r="AC142">
        <v>10.7087</v>
      </c>
      <c r="AD142">
        <v>1.9468000000000001</v>
      </c>
      <c r="AE142">
        <v>9.7246900000000007</v>
      </c>
      <c r="AF142">
        <v>0</v>
      </c>
      <c r="AG142">
        <v>97.736599999999996</v>
      </c>
      <c r="AH142">
        <v>2.2578100000000001</v>
      </c>
      <c r="AI142">
        <v>5.6164500000000003E-3</v>
      </c>
      <c r="AJ142">
        <v>0</v>
      </c>
      <c r="AK142">
        <v>0</v>
      </c>
      <c r="AL142">
        <v>0.27438099999999999</v>
      </c>
      <c r="AM142">
        <v>4.9097200000000001</v>
      </c>
      <c r="AN142">
        <v>24.8706</v>
      </c>
      <c r="AO142">
        <v>26.0884</v>
      </c>
      <c r="AP142">
        <v>25.044699999999999</v>
      </c>
      <c r="AQ142">
        <v>14.950100000000001</v>
      </c>
      <c r="AR142">
        <v>4.13652</v>
      </c>
      <c r="AS142">
        <v>0.240539</v>
      </c>
      <c r="AT142">
        <v>1.2534000000000001</v>
      </c>
      <c r="AU142">
        <v>9.2063000000000006</v>
      </c>
      <c r="AV142">
        <v>33.308399999999999</v>
      </c>
      <c r="AW142">
        <v>34.342700000000001</v>
      </c>
      <c r="AX142">
        <v>18.5334</v>
      </c>
      <c r="AY142">
        <v>3.3558300000000001</v>
      </c>
      <c r="AZ142">
        <v>753.81100000000004</v>
      </c>
      <c r="BA142">
        <v>830.99900000000002</v>
      </c>
      <c r="BB142">
        <v>24481.5</v>
      </c>
      <c r="BC142">
        <v>0.22689400000000001</v>
      </c>
      <c r="BD142">
        <v>0.14041100000000001</v>
      </c>
      <c r="BE142">
        <v>0.35102800000000001</v>
      </c>
      <c r="BF142">
        <v>0.86867799999999995</v>
      </c>
      <c r="BG142">
        <v>9.0761900000000004</v>
      </c>
      <c r="BH142">
        <v>39.852499999999999</v>
      </c>
      <c r="BI142">
        <v>49.711199999999998</v>
      </c>
      <c r="BJ142">
        <v>33.619900000000001</v>
      </c>
      <c r="BK142">
        <v>0</v>
      </c>
      <c r="BL142">
        <v>31.540099999999999</v>
      </c>
      <c r="BM142">
        <v>56.357399999999998</v>
      </c>
      <c r="BN142">
        <v>9.6968099999999993</v>
      </c>
      <c r="BO142">
        <v>1.15605</v>
      </c>
      <c r="BP142">
        <v>1.24966</v>
      </c>
      <c r="BQ142">
        <v>30.9392</v>
      </c>
      <c r="BR142">
        <v>106829</v>
      </c>
    </row>
    <row r="143" spans="1:70" x14ac:dyDescent="0.25">
      <c r="A143">
        <v>36</v>
      </c>
      <c r="B143" s="7">
        <v>46002.567372685182</v>
      </c>
      <c r="C143" t="s">
        <v>137</v>
      </c>
      <c r="D143" s="6" t="s">
        <v>264</v>
      </c>
      <c r="E143" s="6" t="str">
        <f>VLOOKUP(F143,Germplasm!$A$1:$B$21,2,FALSE)</f>
        <v>Helium</v>
      </c>
      <c r="F143" t="s">
        <v>76</v>
      </c>
      <c r="G143" s="6" t="s">
        <v>113</v>
      </c>
      <c r="H143">
        <v>38102.300000000003</v>
      </c>
      <c r="I143">
        <v>559.58699999999999</v>
      </c>
      <c r="J143">
        <v>167463</v>
      </c>
      <c r="K143">
        <v>11.9725</v>
      </c>
      <c r="L143">
        <v>51.868200000000002</v>
      </c>
      <c r="M143">
        <v>1623.86</v>
      </c>
      <c r="N143">
        <v>669.76800000000003</v>
      </c>
      <c r="O143">
        <v>28589100</v>
      </c>
      <c r="P143">
        <v>7.18641E-2</v>
      </c>
      <c r="Q143">
        <v>1.47244</v>
      </c>
      <c r="R143">
        <v>22.4954</v>
      </c>
      <c r="S143">
        <v>53.521000000000001</v>
      </c>
      <c r="T143">
        <v>18.239799999999999</v>
      </c>
      <c r="U143">
        <v>4.0736299999999996</v>
      </c>
      <c r="V143">
        <v>0.19767299999999999</v>
      </c>
      <c r="W143">
        <v>51.7408</v>
      </c>
      <c r="X143">
        <v>12.3736</v>
      </c>
      <c r="Y143">
        <v>41.387799999999999</v>
      </c>
      <c r="Z143">
        <v>16.372</v>
      </c>
      <c r="AA143">
        <v>14.408799999999999</v>
      </c>
      <c r="AB143">
        <v>6.9016999999999999</v>
      </c>
      <c r="AC143">
        <v>8.5560899999999993</v>
      </c>
      <c r="AD143">
        <v>1.9004099999999999</v>
      </c>
      <c r="AE143">
        <v>11.149900000000001</v>
      </c>
      <c r="AF143">
        <v>0</v>
      </c>
      <c r="AG143">
        <v>95.648899999999998</v>
      </c>
      <c r="AH143">
        <v>4.3072499999999998</v>
      </c>
      <c r="AI143">
        <v>4.3802500000000001E-2</v>
      </c>
      <c r="AJ143">
        <v>0</v>
      </c>
      <c r="AK143">
        <v>0</v>
      </c>
      <c r="AL143">
        <v>0.17924100000000001</v>
      </c>
      <c r="AM143">
        <v>11.2179</v>
      </c>
      <c r="AN143">
        <v>39.506500000000003</v>
      </c>
      <c r="AO143">
        <v>27.200199999999999</v>
      </c>
      <c r="AP143">
        <v>13.9079</v>
      </c>
      <c r="AQ143">
        <v>5.9391699999999998</v>
      </c>
      <c r="AR143">
        <v>2.22831</v>
      </c>
      <c r="AS143">
        <v>0.26608799999999999</v>
      </c>
      <c r="AT143">
        <v>0.88952799999999999</v>
      </c>
      <c r="AU143">
        <v>5.6909599999999996</v>
      </c>
      <c r="AV143">
        <v>26.097300000000001</v>
      </c>
      <c r="AW143">
        <v>48.316400000000002</v>
      </c>
      <c r="AX143">
        <v>16.127199999999998</v>
      </c>
      <c r="AY143">
        <v>2.8786100000000001</v>
      </c>
      <c r="AZ143">
        <v>750.32500000000005</v>
      </c>
      <c r="BA143">
        <v>827.4</v>
      </c>
      <c r="BB143">
        <v>20049.5</v>
      </c>
      <c r="BC143">
        <v>0.29178700000000002</v>
      </c>
      <c r="BD143">
        <v>0.16622500000000001</v>
      </c>
      <c r="BE143">
        <v>0.31111</v>
      </c>
      <c r="BF143">
        <v>0.77946000000000004</v>
      </c>
      <c r="BG143">
        <v>5.3147000000000002</v>
      </c>
      <c r="BH143">
        <v>24.725999999999999</v>
      </c>
      <c r="BI143">
        <v>68.702500000000001</v>
      </c>
      <c r="BJ143">
        <v>31.7834</v>
      </c>
      <c r="BK143">
        <v>0</v>
      </c>
      <c r="BL143">
        <v>32.846299999999999</v>
      </c>
      <c r="BM143">
        <v>58.966000000000001</v>
      </c>
      <c r="BN143">
        <v>6.266</v>
      </c>
      <c r="BO143">
        <v>1.08832</v>
      </c>
      <c r="BP143">
        <v>0.83337099999999997</v>
      </c>
      <c r="BQ143">
        <v>31.776700000000002</v>
      </c>
      <c r="BR143">
        <v>89036</v>
      </c>
    </row>
    <row r="144" spans="1:70" x14ac:dyDescent="0.25">
      <c r="A144">
        <v>36</v>
      </c>
      <c r="B144" s="7">
        <v>46013.604143518518</v>
      </c>
      <c r="C144" t="s">
        <v>137</v>
      </c>
      <c r="D144" s="6" t="s">
        <v>265</v>
      </c>
      <c r="E144" s="6" t="str">
        <f>VLOOKUP(F144,Germplasm!$A$1:$B$21,2,FALSE)</f>
        <v>Helium</v>
      </c>
      <c r="F144" t="s">
        <v>76</v>
      </c>
      <c r="G144" s="6" t="s">
        <v>113</v>
      </c>
      <c r="H144">
        <v>35167.199999999997</v>
      </c>
      <c r="I144">
        <v>532.99599999999998</v>
      </c>
      <c r="J144">
        <v>122349</v>
      </c>
      <c r="K144">
        <v>15.3927</v>
      </c>
      <c r="L144">
        <v>66.497500000000002</v>
      </c>
      <c r="M144">
        <v>1342.95</v>
      </c>
      <c r="N144">
        <v>497.59199999999998</v>
      </c>
      <c r="O144">
        <v>25196500</v>
      </c>
      <c r="P144">
        <v>1.5918700000000001E-2</v>
      </c>
      <c r="Q144">
        <v>1.56755</v>
      </c>
      <c r="R144">
        <v>37.279499999999999</v>
      </c>
      <c r="S144">
        <v>55.375399999999999</v>
      </c>
      <c r="T144">
        <v>4.4179500000000003</v>
      </c>
      <c r="U144">
        <v>1.2956399999999999</v>
      </c>
      <c r="V144">
        <v>6.3910400000000006E-2</v>
      </c>
      <c r="W144">
        <v>35.381700000000002</v>
      </c>
      <c r="X144">
        <v>19.813400000000001</v>
      </c>
      <c r="Y144">
        <v>54.255299999999998</v>
      </c>
      <c r="Z144">
        <v>11.994199999999999</v>
      </c>
      <c r="AA144">
        <v>4.4330600000000002</v>
      </c>
      <c r="AB144">
        <v>1.0911200000000001</v>
      </c>
      <c r="AC144">
        <v>8.4129299999999994</v>
      </c>
      <c r="AD144">
        <v>1.8673299999999999</v>
      </c>
      <c r="AE144">
        <v>13.1731</v>
      </c>
      <c r="AF144">
        <v>0</v>
      </c>
      <c r="AG144">
        <v>90.835300000000004</v>
      </c>
      <c r="AH144">
        <v>8.9056200000000008</v>
      </c>
      <c r="AI144">
        <v>0.25796599999999997</v>
      </c>
      <c r="AJ144">
        <v>1.16201E-3</v>
      </c>
      <c r="AK144">
        <v>0</v>
      </c>
      <c r="AL144">
        <v>9.7949499999999995E-2</v>
      </c>
      <c r="AM144">
        <v>21.035799999999998</v>
      </c>
      <c r="AN144">
        <v>50.683300000000003</v>
      </c>
      <c r="AO144">
        <v>19.917999999999999</v>
      </c>
      <c r="AP144">
        <v>5.9006699999999999</v>
      </c>
      <c r="AQ144">
        <v>1.68259</v>
      </c>
      <c r="AR144">
        <v>0.77970700000000004</v>
      </c>
      <c r="AS144">
        <v>0.26951399999999998</v>
      </c>
      <c r="AT144">
        <v>0.56938299999999997</v>
      </c>
      <c r="AU144">
        <v>4.0042799999999996</v>
      </c>
      <c r="AV144">
        <v>24.6996</v>
      </c>
      <c r="AW144">
        <v>56.073799999999999</v>
      </c>
      <c r="AX144">
        <v>12</v>
      </c>
      <c r="AY144">
        <v>2.65286</v>
      </c>
      <c r="AZ144">
        <v>716.476</v>
      </c>
      <c r="BA144">
        <v>762.59900000000005</v>
      </c>
      <c r="BB144">
        <v>18832.900000000001</v>
      </c>
      <c r="BC144">
        <v>0.34015200000000001</v>
      </c>
      <c r="BD144">
        <v>6.3910400000000006E-2</v>
      </c>
      <c r="BE144">
        <v>0.25331799999999999</v>
      </c>
      <c r="BF144">
        <v>0.66699200000000003</v>
      </c>
      <c r="BG144">
        <v>3.5871200000000001</v>
      </c>
      <c r="BH144">
        <v>13.3131</v>
      </c>
      <c r="BI144">
        <v>82.115499999999997</v>
      </c>
      <c r="BJ144">
        <v>29.0321</v>
      </c>
      <c r="BK144">
        <v>0</v>
      </c>
      <c r="BL144">
        <v>41.474400000000003</v>
      </c>
      <c r="BM144">
        <v>52.413499999999999</v>
      </c>
      <c r="BN144">
        <v>4.4795400000000001</v>
      </c>
      <c r="BO144">
        <v>0.88893500000000003</v>
      </c>
      <c r="BP144">
        <v>0.74368400000000001</v>
      </c>
      <c r="BQ144">
        <v>32.404499999999999</v>
      </c>
      <c r="BR144">
        <v>86058</v>
      </c>
    </row>
    <row r="145" spans="1:70" x14ac:dyDescent="0.25">
      <c r="A145">
        <v>36</v>
      </c>
      <c r="B145" s="7">
        <v>46024.530115740738</v>
      </c>
      <c r="C145" t="s">
        <v>137</v>
      </c>
      <c r="D145" s="6" t="s">
        <v>266</v>
      </c>
      <c r="E145" s="6" t="str">
        <f>VLOOKUP(F145,Germplasm!$A$1:$B$21,2,FALSE)</f>
        <v>Helium</v>
      </c>
      <c r="F145" t="s">
        <v>76</v>
      </c>
      <c r="G145" s="6" t="s">
        <v>113</v>
      </c>
      <c r="H145">
        <v>46404</v>
      </c>
      <c r="I145">
        <v>450.09699999999998</v>
      </c>
      <c r="J145">
        <v>210689</v>
      </c>
      <c r="K145">
        <v>12.267099999999999</v>
      </c>
      <c r="L145">
        <v>52.703200000000002</v>
      </c>
      <c r="M145">
        <v>1864.99</v>
      </c>
      <c r="N145">
        <v>752.625</v>
      </c>
      <c r="O145">
        <v>31742800</v>
      </c>
      <c r="P145">
        <v>8.27197E-3</v>
      </c>
      <c r="Q145">
        <v>1.5349900000000001</v>
      </c>
      <c r="R145">
        <v>36.883200000000002</v>
      </c>
      <c r="S145">
        <v>59.702500000000001</v>
      </c>
      <c r="T145">
        <v>1.7465999999999999</v>
      </c>
      <c r="U145">
        <v>0.113607</v>
      </c>
      <c r="V145">
        <v>1.9078999999999999E-2</v>
      </c>
      <c r="W145">
        <v>35.412599999999998</v>
      </c>
      <c r="X145">
        <v>18.377400000000002</v>
      </c>
      <c r="Y145">
        <v>52.155099999999997</v>
      </c>
      <c r="Z145">
        <v>12.452500000000001</v>
      </c>
      <c r="AA145">
        <v>4.0265399999999998</v>
      </c>
      <c r="AB145">
        <v>1.4404600000000001</v>
      </c>
      <c r="AC145">
        <v>11.548</v>
      </c>
      <c r="AD145">
        <v>1.79545</v>
      </c>
      <c r="AE145">
        <v>16.508800000000001</v>
      </c>
      <c r="AF145">
        <v>0</v>
      </c>
      <c r="AG145">
        <v>81.827200000000005</v>
      </c>
      <c r="AH145">
        <v>17.321999999999999</v>
      </c>
      <c r="AI145">
        <v>0.84988300000000006</v>
      </c>
      <c r="AJ145">
        <v>8.6722700000000004E-4</v>
      </c>
      <c r="AK145">
        <v>0</v>
      </c>
      <c r="AL145">
        <v>6.5042500000000003E-2</v>
      </c>
      <c r="AM145">
        <v>28.462399999999999</v>
      </c>
      <c r="AN145">
        <v>51.311199999999999</v>
      </c>
      <c r="AO145">
        <v>15.434900000000001</v>
      </c>
      <c r="AP145">
        <v>3.6900499999999998</v>
      </c>
      <c r="AQ145">
        <v>0.83774199999999999</v>
      </c>
      <c r="AR145">
        <v>0.26363700000000001</v>
      </c>
      <c r="AS145">
        <v>0.222501</v>
      </c>
      <c r="AT145">
        <v>0.69031299999999995</v>
      </c>
      <c r="AU145">
        <v>6.0411099999999998</v>
      </c>
      <c r="AV145">
        <v>35.497399999999999</v>
      </c>
      <c r="AW145">
        <v>49.494399999999999</v>
      </c>
      <c r="AX145">
        <v>6.76004</v>
      </c>
      <c r="AY145">
        <v>1.51678</v>
      </c>
      <c r="AZ145">
        <v>684.05399999999997</v>
      </c>
      <c r="BA145">
        <v>764.99900000000002</v>
      </c>
      <c r="BB145">
        <v>25845.4</v>
      </c>
      <c r="BC145">
        <v>0.309392</v>
      </c>
      <c r="BD145">
        <v>8.84572E-2</v>
      </c>
      <c r="BE145">
        <v>0.35469600000000001</v>
      </c>
      <c r="BF145">
        <v>1.2531399999999999</v>
      </c>
      <c r="BG145">
        <v>5.03512</v>
      </c>
      <c r="BH145">
        <v>15.396800000000001</v>
      </c>
      <c r="BI145">
        <v>77.871799999999993</v>
      </c>
      <c r="BJ145">
        <v>24.653099999999998</v>
      </c>
      <c r="BK145">
        <v>0</v>
      </c>
      <c r="BL145">
        <v>57.252600000000001</v>
      </c>
      <c r="BM145">
        <v>39.793599999999998</v>
      </c>
      <c r="BN145">
        <v>1.9842200000000001</v>
      </c>
      <c r="BO145">
        <v>0.55936200000000003</v>
      </c>
      <c r="BP145">
        <v>0.41019899999999998</v>
      </c>
      <c r="BQ145">
        <v>33.8825</v>
      </c>
      <c r="BR145">
        <v>115310</v>
      </c>
    </row>
    <row r="146" spans="1:70" x14ac:dyDescent="0.25">
      <c r="A146">
        <v>36</v>
      </c>
      <c r="B146" s="7">
        <v>45952.557870370372</v>
      </c>
      <c r="C146" t="s">
        <v>136</v>
      </c>
      <c r="D146" s="6" t="s">
        <v>258</v>
      </c>
      <c r="E146" s="6" t="str">
        <f>VLOOKUP(F146,Germplasm!$A$1:$B$21,2,FALSE)</f>
        <v>Kinnan</v>
      </c>
      <c r="F146" t="s">
        <v>71</v>
      </c>
      <c r="G146" s="6" t="s">
        <v>113</v>
      </c>
      <c r="H146">
        <v>29820.7</v>
      </c>
      <c r="I146">
        <v>293.59699999999998</v>
      </c>
      <c r="J146">
        <v>129421</v>
      </c>
      <c r="K146">
        <v>13.6997</v>
      </c>
      <c r="L146">
        <v>76.975999999999999</v>
      </c>
      <c r="M146">
        <v>1384.47</v>
      </c>
      <c r="N146">
        <v>516.71</v>
      </c>
      <c r="O146">
        <v>10264200</v>
      </c>
      <c r="P146">
        <v>0.239566</v>
      </c>
      <c r="Q146">
        <v>0.53069999999999995</v>
      </c>
      <c r="R146">
        <v>3.8282699999999998</v>
      </c>
      <c r="S146">
        <v>17.552499999999998</v>
      </c>
      <c r="T146">
        <v>45.3658</v>
      </c>
      <c r="U146">
        <v>32.338200000000001</v>
      </c>
      <c r="V146">
        <v>0.38446999999999998</v>
      </c>
      <c r="W146">
        <v>117.41200000000001</v>
      </c>
      <c r="X146">
        <v>1.06962</v>
      </c>
      <c r="Y146">
        <v>1.78434</v>
      </c>
      <c r="Z146">
        <v>3.4947300000000001</v>
      </c>
      <c r="AA146">
        <v>16.011399999999998</v>
      </c>
      <c r="AB146">
        <v>39.700600000000001</v>
      </c>
      <c r="AC146">
        <v>37.939300000000003</v>
      </c>
      <c r="AD146">
        <v>1.6819</v>
      </c>
      <c r="AE146">
        <v>6.4674800000000001</v>
      </c>
      <c r="AF146">
        <v>0</v>
      </c>
      <c r="AG146">
        <v>99.940799999999996</v>
      </c>
      <c r="AH146">
        <v>5.42201E-2</v>
      </c>
      <c r="AI146">
        <v>4.9290999999999996E-3</v>
      </c>
      <c r="AJ146">
        <v>0</v>
      </c>
      <c r="AK146">
        <v>0</v>
      </c>
      <c r="AL146">
        <v>0.53353399999999995</v>
      </c>
      <c r="AM146">
        <v>0.54384399999999999</v>
      </c>
      <c r="AN146">
        <v>2.5171299999999999</v>
      </c>
      <c r="AO146">
        <v>4.9668900000000002</v>
      </c>
      <c r="AP146">
        <v>13.417</v>
      </c>
      <c r="AQ146">
        <v>41.519500000000001</v>
      </c>
      <c r="AR146">
        <v>37.035600000000002</v>
      </c>
      <c r="AS146">
        <v>3.2954600000000001E-2</v>
      </c>
      <c r="AT146">
        <v>6.7824499999999999</v>
      </c>
      <c r="AU146">
        <v>37.466099999999997</v>
      </c>
      <c r="AV146">
        <v>41.872700000000002</v>
      </c>
      <c r="AW146">
        <v>10.5581</v>
      </c>
      <c r="AX146">
        <v>1.9453499999999999</v>
      </c>
      <c r="AY146">
        <v>1.3752200000000001</v>
      </c>
      <c r="AZ146">
        <v>344.19799999999998</v>
      </c>
      <c r="BA146">
        <v>358.2</v>
      </c>
      <c r="BB146">
        <v>17730.3</v>
      </c>
      <c r="BC146">
        <v>1.13872E-2</v>
      </c>
      <c r="BD146">
        <v>1.9716399999999999E-2</v>
      </c>
      <c r="BE146">
        <v>0.28095900000000001</v>
      </c>
      <c r="BF146">
        <v>2.60914</v>
      </c>
      <c r="BG146">
        <v>41.3371</v>
      </c>
      <c r="BH146">
        <v>51.698099999999997</v>
      </c>
      <c r="BI146">
        <v>4.0550100000000002</v>
      </c>
      <c r="BJ146">
        <v>32.000500000000002</v>
      </c>
      <c r="BK146">
        <v>0</v>
      </c>
      <c r="BL146">
        <v>31.781199999999998</v>
      </c>
      <c r="BM146">
        <v>59.33</v>
      </c>
      <c r="BN146">
        <v>7.6138199999999996</v>
      </c>
      <c r="BO146">
        <v>0.887239</v>
      </c>
      <c r="BP146">
        <v>0.38775599999999999</v>
      </c>
      <c r="BQ146">
        <v>36.510300000000001</v>
      </c>
      <c r="BR146">
        <v>60863</v>
      </c>
    </row>
    <row r="147" spans="1:70" x14ac:dyDescent="0.25">
      <c r="A147">
        <v>36</v>
      </c>
      <c r="B147" s="7">
        <v>45959.520949074074</v>
      </c>
      <c r="C147" t="s">
        <v>136</v>
      </c>
      <c r="D147" s="6" t="s">
        <v>259</v>
      </c>
      <c r="E147" s="6" t="str">
        <f>VLOOKUP(F147,Germplasm!$A$1:$B$21,2,FALSE)</f>
        <v>Kinnan</v>
      </c>
      <c r="F147" t="s">
        <v>71</v>
      </c>
      <c r="G147" s="6" t="s">
        <v>113</v>
      </c>
      <c r="H147">
        <v>44343.4</v>
      </c>
      <c r="I147">
        <v>323.22000000000003</v>
      </c>
      <c r="J147">
        <v>200603</v>
      </c>
      <c r="K147">
        <v>12.7408</v>
      </c>
      <c r="L147">
        <v>74.228399999999993</v>
      </c>
      <c r="M147">
        <v>1719.75</v>
      </c>
      <c r="N147">
        <v>610.71799999999996</v>
      </c>
      <c r="O147">
        <v>17816400</v>
      </c>
      <c r="P147">
        <v>0.224907</v>
      </c>
      <c r="Q147">
        <v>0.692658</v>
      </c>
      <c r="R147">
        <v>3.60249</v>
      </c>
      <c r="S147">
        <v>20.506900000000002</v>
      </c>
      <c r="T147">
        <v>48.282299999999999</v>
      </c>
      <c r="U147">
        <v>26.2776</v>
      </c>
      <c r="V147">
        <v>0.63809199999999999</v>
      </c>
      <c r="W147">
        <v>121.634</v>
      </c>
      <c r="X147">
        <v>1.0078100000000001</v>
      </c>
      <c r="Y147">
        <v>1.80626</v>
      </c>
      <c r="Z147">
        <v>2.9042599999999998</v>
      </c>
      <c r="AA147">
        <v>13.1204</v>
      </c>
      <c r="AB147">
        <v>36.043799999999997</v>
      </c>
      <c r="AC147">
        <v>45.117400000000004</v>
      </c>
      <c r="AD147">
        <v>1.73499</v>
      </c>
      <c r="AE147">
        <v>6.6162900000000002</v>
      </c>
      <c r="AF147">
        <v>0</v>
      </c>
      <c r="AG147">
        <v>99.815100000000001</v>
      </c>
      <c r="AH147">
        <v>0.18040300000000001</v>
      </c>
      <c r="AI147">
        <v>4.4543899999999999E-3</v>
      </c>
      <c r="AJ147">
        <v>0</v>
      </c>
      <c r="AK147">
        <v>0</v>
      </c>
      <c r="AL147">
        <v>0.52397300000000002</v>
      </c>
      <c r="AM147">
        <v>0.85635700000000003</v>
      </c>
      <c r="AN147">
        <v>2.9577200000000001</v>
      </c>
      <c r="AO147">
        <v>5.59138</v>
      </c>
      <c r="AP147">
        <v>14.4534</v>
      </c>
      <c r="AQ147">
        <v>41.951500000000003</v>
      </c>
      <c r="AR147">
        <v>34.189700000000002</v>
      </c>
      <c r="AS147">
        <v>7.1639E-3</v>
      </c>
      <c r="AT147">
        <v>8.6615699999999993</v>
      </c>
      <c r="AU147">
        <v>42.419199999999996</v>
      </c>
      <c r="AV147">
        <v>38.449199999999998</v>
      </c>
      <c r="AW147">
        <v>7.5301499999999999</v>
      </c>
      <c r="AX147">
        <v>1.57908</v>
      </c>
      <c r="AY147">
        <v>1.3608199999999999</v>
      </c>
      <c r="AZ147">
        <v>401.78300000000002</v>
      </c>
      <c r="BA147">
        <v>415.387</v>
      </c>
      <c r="BB147">
        <v>25558.400000000001</v>
      </c>
      <c r="BC147">
        <v>-3.3093900000000002E-3</v>
      </c>
      <c r="BD147">
        <v>7.7951900000000005E-2</v>
      </c>
      <c r="BE147">
        <v>0.56570799999999999</v>
      </c>
      <c r="BF147">
        <v>3.4911300000000001</v>
      </c>
      <c r="BG147">
        <v>46.945999999999998</v>
      </c>
      <c r="BH147">
        <v>44.953699999999998</v>
      </c>
      <c r="BI147">
        <v>3.9655200000000002</v>
      </c>
      <c r="BJ147">
        <v>30.628699999999998</v>
      </c>
      <c r="BK147">
        <v>0</v>
      </c>
      <c r="BL147">
        <v>37.069499999999998</v>
      </c>
      <c r="BM147">
        <v>54.878100000000003</v>
      </c>
      <c r="BN147">
        <v>6.3931699999999996</v>
      </c>
      <c r="BO147">
        <v>0.91315000000000002</v>
      </c>
      <c r="BP147">
        <v>0.74611099999999997</v>
      </c>
      <c r="BQ147">
        <v>35.235300000000002</v>
      </c>
      <c r="BR147">
        <v>89799</v>
      </c>
    </row>
    <row r="148" spans="1:70" x14ac:dyDescent="0.25">
      <c r="A148">
        <v>36</v>
      </c>
      <c r="B148" s="7">
        <v>45966.557581018518</v>
      </c>
      <c r="C148" t="s">
        <v>136</v>
      </c>
      <c r="D148" s="6" t="s">
        <v>260</v>
      </c>
      <c r="E148" s="6" t="str">
        <f>VLOOKUP(F148,Germplasm!$A$1:$B$21,2,FALSE)</f>
        <v>Kinnan</v>
      </c>
      <c r="F148" t="s">
        <v>71</v>
      </c>
      <c r="G148" s="6" t="s">
        <v>113</v>
      </c>
      <c r="H148">
        <v>69905.100000000006</v>
      </c>
      <c r="I148">
        <v>412.81</v>
      </c>
      <c r="J148">
        <v>253782</v>
      </c>
      <c r="K148">
        <v>15.166</v>
      </c>
      <c r="L148">
        <v>94.860399999999998</v>
      </c>
      <c r="M148">
        <v>1869.54</v>
      </c>
      <c r="N148">
        <v>632.22199999999998</v>
      </c>
      <c r="O148">
        <v>39194800</v>
      </c>
      <c r="P148">
        <v>0.24082999999999999</v>
      </c>
      <c r="Q148">
        <v>0.48361599999999999</v>
      </c>
      <c r="R148">
        <v>2.89514</v>
      </c>
      <c r="S148">
        <v>17.516500000000001</v>
      </c>
      <c r="T148">
        <v>47.235599999999998</v>
      </c>
      <c r="U148">
        <v>31.325099999999999</v>
      </c>
      <c r="V148">
        <v>0.544068</v>
      </c>
      <c r="W148">
        <v>114.87</v>
      </c>
      <c r="X148">
        <v>0.81282500000000002</v>
      </c>
      <c r="Y148">
        <v>1.84998</v>
      </c>
      <c r="Z148">
        <v>3.8805800000000001</v>
      </c>
      <c r="AA148">
        <v>17.839200000000002</v>
      </c>
      <c r="AB148">
        <v>42.598300000000002</v>
      </c>
      <c r="AC148">
        <v>33.019199999999998</v>
      </c>
      <c r="AD148">
        <v>1.81626</v>
      </c>
      <c r="AE148">
        <v>6.39072</v>
      </c>
      <c r="AF148">
        <v>0</v>
      </c>
      <c r="AG148">
        <v>99.923500000000004</v>
      </c>
      <c r="AH148">
        <v>7.4290400000000006E-2</v>
      </c>
      <c r="AI148">
        <v>2.1850099999999998E-3</v>
      </c>
      <c r="AJ148">
        <v>0</v>
      </c>
      <c r="AK148">
        <v>0</v>
      </c>
      <c r="AL148">
        <v>0.51732299999999998</v>
      </c>
      <c r="AM148">
        <v>0.648949</v>
      </c>
      <c r="AN148">
        <v>3.0881500000000002</v>
      </c>
      <c r="AO148">
        <v>6.3627599999999997</v>
      </c>
      <c r="AP148">
        <v>15.156000000000001</v>
      </c>
      <c r="AQ148">
        <v>42.009799999999998</v>
      </c>
      <c r="AR148">
        <v>32.734400000000001</v>
      </c>
      <c r="AS148">
        <v>5.1132299999999999E-2</v>
      </c>
      <c r="AT148">
        <v>4.48583</v>
      </c>
      <c r="AU148">
        <v>34.966000000000001</v>
      </c>
      <c r="AV148">
        <v>45.405999999999999</v>
      </c>
      <c r="AW148">
        <v>11.4436</v>
      </c>
      <c r="AX148">
        <v>2.3081</v>
      </c>
      <c r="AY148">
        <v>1.3904000000000001</v>
      </c>
      <c r="AZ148">
        <v>560.68700000000001</v>
      </c>
      <c r="BA148">
        <v>598.80100000000004</v>
      </c>
      <c r="BB148">
        <v>38488.5</v>
      </c>
      <c r="BC148">
        <v>2.21219E-2</v>
      </c>
      <c r="BD148">
        <v>3.9330200000000003E-2</v>
      </c>
      <c r="BE148">
        <v>0.31609799999999999</v>
      </c>
      <c r="BF148">
        <v>2.0597400000000001</v>
      </c>
      <c r="BG148">
        <v>37.036000000000001</v>
      </c>
      <c r="BH148">
        <v>55.4818</v>
      </c>
      <c r="BI148">
        <v>5.0670400000000004</v>
      </c>
      <c r="BJ148">
        <v>31.8447</v>
      </c>
      <c r="BK148">
        <v>0</v>
      </c>
      <c r="BL148">
        <v>31.7774</v>
      </c>
      <c r="BM148">
        <v>59.838700000000003</v>
      </c>
      <c r="BN148">
        <v>6.87988</v>
      </c>
      <c r="BO148">
        <v>0.78296299999999996</v>
      </c>
      <c r="BP148">
        <v>0.72105399999999997</v>
      </c>
      <c r="BQ148">
        <v>33.452800000000003</v>
      </c>
      <c r="BR148">
        <v>137299</v>
      </c>
    </row>
    <row r="149" spans="1:70" x14ac:dyDescent="0.25">
      <c r="A149">
        <v>36</v>
      </c>
      <c r="B149" s="7">
        <v>45973.55400462963</v>
      </c>
      <c r="C149" t="s">
        <v>136</v>
      </c>
      <c r="D149" s="6" t="s">
        <v>261</v>
      </c>
      <c r="E149" s="6" t="str">
        <f>VLOOKUP(F149,Germplasm!$A$1:$B$21,2,FALSE)</f>
        <v>Kinnan</v>
      </c>
      <c r="F149" t="s">
        <v>71</v>
      </c>
      <c r="G149" s="6" t="s">
        <v>113</v>
      </c>
      <c r="H149">
        <v>81994.5</v>
      </c>
      <c r="I149">
        <v>379.202</v>
      </c>
      <c r="J149">
        <v>209202</v>
      </c>
      <c r="K149">
        <v>22.733699999999999</v>
      </c>
      <c r="L149">
        <v>75.240499999999997</v>
      </c>
      <c r="M149">
        <v>1682.14</v>
      </c>
      <c r="N149">
        <v>591.274</v>
      </c>
      <c r="O149">
        <v>44184300</v>
      </c>
      <c r="P149">
        <v>0.22894999999999999</v>
      </c>
      <c r="Q149">
        <v>0.65874900000000003</v>
      </c>
      <c r="R149">
        <v>4.9570699999999999</v>
      </c>
      <c r="S149">
        <v>19.410699999999999</v>
      </c>
      <c r="T149">
        <v>44.246299999999998</v>
      </c>
      <c r="U149">
        <v>30.1403</v>
      </c>
      <c r="V149">
        <v>0.586951</v>
      </c>
      <c r="W149">
        <v>110.437</v>
      </c>
      <c r="X149">
        <v>2.1707000000000001</v>
      </c>
      <c r="Y149">
        <v>4.4825999999999997</v>
      </c>
      <c r="Z149">
        <v>4.7117599999999999</v>
      </c>
      <c r="AA149">
        <v>19.200600000000001</v>
      </c>
      <c r="AB149">
        <v>38.852400000000003</v>
      </c>
      <c r="AC149">
        <v>30.581900000000001</v>
      </c>
      <c r="AD149">
        <v>1.72404</v>
      </c>
      <c r="AE149">
        <v>6.9695799999999997</v>
      </c>
      <c r="AF149">
        <v>0</v>
      </c>
      <c r="AG149">
        <v>99.665499999999994</v>
      </c>
      <c r="AH149">
        <v>0.32967400000000002</v>
      </c>
      <c r="AI149">
        <v>4.7865499999999997E-3</v>
      </c>
      <c r="AJ149">
        <v>0</v>
      </c>
      <c r="AK149">
        <v>0</v>
      </c>
      <c r="AL149">
        <v>0.49617099999999997</v>
      </c>
      <c r="AM149">
        <v>1.0542400000000001</v>
      </c>
      <c r="AN149">
        <v>5.5194900000000002</v>
      </c>
      <c r="AO149">
        <v>9.2924900000000008</v>
      </c>
      <c r="AP149">
        <v>14.413500000000001</v>
      </c>
      <c r="AQ149">
        <v>37.0533</v>
      </c>
      <c r="AR149">
        <v>32.667000000000002</v>
      </c>
      <c r="AS149">
        <v>7.6460200000000006E-2</v>
      </c>
      <c r="AT149">
        <v>3.9584800000000002</v>
      </c>
      <c r="AU149">
        <v>32.137500000000003</v>
      </c>
      <c r="AV149">
        <v>42.619399999999999</v>
      </c>
      <c r="AW149">
        <v>15.7196</v>
      </c>
      <c r="AX149">
        <v>3.9177900000000001</v>
      </c>
      <c r="AY149">
        <v>1.64717</v>
      </c>
      <c r="AZ149">
        <v>538.86900000000003</v>
      </c>
      <c r="BA149">
        <v>605.99900000000002</v>
      </c>
      <c r="BB149">
        <v>47559.5</v>
      </c>
      <c r="BC149">
        <v>4.4537800000000002E-2</v>
      </c>
      <c r="BD149">
        <v>5.1455399999999998E-2</v>
      </c>
      <c r="BE149">
        <v>0.31411699999999998</v>
      </c>
      <c r="BF149">
        <v>1.8984700000000001</v>
      </c>
      <c r="BG149">
        <v>33.831299999999999</v>
      </c>
      <c r="BH149">
        <v>53.866</v>
      </c>
      <c r="BI149">
        <v>10.038600000000001</v>
      </c>
      <c r="BJ149">
        <v>32.441400000000002</v>
      </c>
      <c r="BK149">
        <v>0</v>
      </c>
      <c r="BL149">
        <v>30.5914</v>
      </c>
      <c r="BM149">
        <v>59.982100000000003</v>
      </c>
      <c r="BN149">
        <v>7.8146399999999998</v>
      </c>
      <c r="BO149">
        <v>0.89688000000000001</v>
      </c>
      <c r="BP149">
        <v>0.71499100000000004</v>
      </c>
      <c r="BQ149">
        <v>35.506999999999998</v>
      </c>
      <c r="BR149">
        <v>167135</v>
      </c>
    </row>
    <row r="150" spans="1:70" x14ac:dyDescent="0.25">
      <c r="A150">
        <v>36</v>
      </c>
      <c r="B150" s="7">
        <v>45988.537743055553</v>
      </c>
      <c r="C150" t="s">
        <v>136</v>
      </c>
      <c r="D150" s="6" t="s">
        <v>262</v>
      </c>
      <c r="E150" s="6" t="str">
        <f>VLOOKUP(F150,Germplasm!$A$1:$B$21,2,FALSE)</f>
        <v>Kinnan</v>
      </c>
      <c r="F150" t="s">
        <v>71</v>
      </c>
      <c r="G150" s="6" t="s">
        <v>113</v>
      </c>
      <c r="H150">
        <v>68302.399999999994</v>
      </c>
      <c r="I150">
        <v>467.32299999999998</v>
      </c>
      <c r="J150">
        <v>199933</v>
      </c>
      <c r="K150">
        <v>19.947800000000001</v>
      </c>
      <c r="L150">
        <v>80.6785</v>
      </c>
      <c r="M150">
        <v>1736.54</v>
      </c>
      <c r="N150">
        <v>620.99900000000002</v>
      </c>
      <c r="O150">
        <v>41981900</v>
      </c>
      <c r="P150">
        <v>0.19051399999999999</v>
      </c>
      <c r="Q150">
        <v>0.70385799999999998</v>
      </c>
      <c r="R150">
        <v>6.6142000000000003</v>
      </c>
      <c r="S150">
        <v>28.074000000000002</v>
      </c>
      <c r="T150">
        <v>44.630099999999999</v>
      </c>
      <c r="U150">
        <v>19.700500000000002</v>
      </c>
      <c r="V150">
        <v>0.27742299999999998</v>
      </c>
      <c r="W150">
        <v>98.205399999999997</v>
      </c>
      <c r="X150">
        <v>3.0969699999999998</v>
      </c>
      <c r="Y150">
        <v>8.8329000000000004</v>
      </c>
      <c r="Z150">
        <v>10.020899999999999</v>
      </c>
      <c r="AA150">
        <v>27.1023</v>
      </c>
      <c r="AB150">
        <v>28.099399999999999</v>
      </c>
      <c r="AC150">
        <v>22.8476</v>
      </c>
      <c r="AD150">
        <v>1.71261</v>
      </c>
      <c r="AE150">
        <v>7.90435</v>
      </c>
      <c r="AF150">
        <v>0</v>
      </c>
      <c r="AG150">
        <v>99.684100000000001</v>
      </c>
      <c r="AH150">
        <v>0.30832399999999999</v>
      </c>
      <c r="AI150">
        <v>7.5535999999999997E-3</v>
      </c>
      <c r="AJ150">
        <v>0</v>
      </c>
      <c r="AK150">
        <v>0</v>
      </c>
      <c r="AL150">
        <v>0.41153699999999999</v>
      </c>
      <c r="AM150">
        <v>2.1150099999999998</v>
      </c>
      <c r="AN150">
        <v>10.516</v>
      </c>
      <c r="AO150">
        <v>14.2392</v>
      </c>
      <c r="AP150">
        <v>21.2744</v>
      </c>
      <c r="AQ150">
        <v>38.149099999999997</v>
      </c>
      <c r="AR150">
        <v>13.706300000000001</v>
      </c>
      <c r="AS150">
        <v>0.14316599999999999</v>
      </c>
      <c r="AT150">
        <v>2.2502800000000001</v>
      </c>
      <c r="AU150">
        <v>23.364599999999999</v>
      </c>
      <c r="AV150">
        <v>38.234200000000001</v>
      </c>
      <c r="AW150">
        <v>25.6355</v>
      </c>
      <c r="AX150">
        <v>8.2732500000000009</v>
      </c>
      <c r="AY150">
        <v>2.2420399999999998</v>
      </c>
      <c r="AZ150">
        <v>614.64800000000002</v>
      </c>
      <c r="BA150">
        <v>652.80100000000004</v>
      </c>
      <c r="BB150">
        <v>39882.199999999997</v>
      </c>
      <c r="BC150">
        <v>0.10038900000000001</v>
      </c>
      <c r="BD150">
        <v>8.0342800000000006E-2</v>
      </c>
      <c r="BE150">
        <v>0.46489000000000003</v>
      </c>
      <c r="BF150">
        <v>1.5292600000000001</v>
      </c>
      <c r="BG150">
        <v>23.539100000000001</v>
      </c>
      <c r="BH150">
        <v>52.366300000000003</v>
      </c>
      <c r="BI150">
        <v>22.020099999999999</v>
      </c>
      <c r="BJ150">
        <v>31.786999999999999</v>
      </c>
      <c r="BK150">
        <v>0</v>
      </c>
      <c r="BL150">
        <v>34.719799999999999</v>
      </c>
      <c r="BM150">
        <v>54.612499999999997</v>
      </c>
      <c r="BN150">
        <v>9.0162499999999994</v>
      </c>
      <c r="BO150">
        <v>0.93321200000000004</v>
      </c>
      <c r="BP150">
        <v>0.71827799999999997</v>
      </c>
      <c r="BQ150">
        <v>35.775599999999997</v>
      </c>
      <c r="BR150">
        <v>145626</v>
      </c>
    </row>
    <row r="151" spans="1:70" x14ac:dyDescent="0.25">
      <c r="A151">
        <v>36</v>
      </c>
      <c r="B151" s="7">
        <v>45994.549166666664</v>
      </c>
      <c r="C151" t="s">
        <v>136</v>
      </c>
      <c r="D151" s="6" t="s">
        <v>263</v>
      </c>
      <c r="E151" s="6" t="str">
        <f>VLOOKUP(F151,Germplasm!$A$1:$B$21,2,FALSE)</f>
        <v>Kinnan</v>
      </c>
      <c r="F151" t="s">
        <v>71</v>
      </c>
      <c r="G151" s="6" t="s">
        <v>113</v>
      </c>
      <c r="H151">
        <v>61085.599999999999</v>
      </c>
      <c r="I151">
        <v>464.52800000000002</v>
      </c>
      <c r="J151">
        <v>217554</v>
      </c>
      <c r="K151">
        <v>15.785299999999999</v>
      </c>
      <c r="L151">
        <v>92.382599999999996</v>
      </c>
      <c r="M151">
        <v>1766.03</v>
      </c>
      <c r="N151">
        <v>601.01499999999999</v>
      </c>
      <c r="O151">
        <v>38049700</v>
      </c>
      <c r="P151">
        <v>0.18176700000000001</v>
      </c>
      <c r="Q151">
        <v>0.71752300000000002</v>
      </c>
      <c r="R151">
        <v>7.6938000000000004</v>
      </c>
      <c r="S151">
        <v>29.5154</v>
      </c>
      <c r="T151">
        <v>44.134500000000003</v>
      </c>
      <c r="U151">
        <v>17.5732</v>
      </c>
      <c r="V151">
        <v>0.36558499999999999</v>
      </c>
      <c r="W151">
        <v>91.441199999999995</v>
      </c>
      <c r="X151">
        <v>3.7319800000000001</v>
      </c>
      <c r="Y151">
        <v>11.017099999999999</v>
      </c>
      <c r="Z151">
        <v>13.7895</v>
      </c>
      <c r="AA151">
        <v>29.214500000000001</v>
      </c>
      <c r="AB151">
        <v>22.560700000000001</v>
      </c>
      <c r="AC151">
        <v>19.686299999999999</v>
      </c>
      <c r="AD151">
        <v>1.7787599999999999</v>
      </c>
      <c r="AE151">
        <v>8.2604699999999998</v>
      </c>
      <c r="AF151">
        <v>0</v>
      </c>
      <c r="AG151">
        <v>99.454099999999997</v>
      </c>
      <c r="AH151">
        <v>0.53652599999999995</v>
      </c>
      <c r="AI151">
        <v>9.3371400000000007E-3</v>
      </c>
      <c r="AJ151">
        <v>0</v>
      </c>
      <c r="AK151">
        <v>0</v>
      </c>
      <c r="AL151">
        <v>0.37727500000000003</v>
      </c>
      <c r="AM151">
        <v>2.335</v>
      </c>
      <c r="AN151">
        <v>13.4397</v>
      </c>
      <c r="AO151">
        <v>17.197600000000001</v>
      </c>
      <c r="AP151">
        <v>25.1858</v>
      </c>
      <c r="AQ151">
        <v>31.652200000000001</v>
      </c>
      <c r="AR151">
        <v>10.1897</v>
      </c>
      <c r="AS151">
        <v>0.17882899999999999</v>
      </c>
      <c r="AT151">
        <v>1.82361</v>
      </c>
      <c r="AU151">
        <v>19.671199999999999</v>
      </c>
      <c r="AV151">
        <v>33.447800000000001</v>
      </c>
      <c r="AW151">
        <v>30.7285</v>
      </c>
      <c r="AX151">
        <v>11.9551</v>
      </c>
      <c r="AY151">
        <v>2.3737900000000001</v>
      </c>
      <c r="AZ151">
        <v>622.89300000000003</v>
      </c>
      <c r="BA151">
        <v>660.59900000000005</v>
      </c>
      <c r="BB151">
        <v>34341.699999999997</v>
      </c>
      <c r="BC151">
        <v>0.133435</v>
      </c>
      <c r="BD151">
        <v>5.4586299999999997E-2</v>
      </c>
      <c r="BE151">
        <v>0.28873300000000002</v>
      </c>
      <c r="BF151">
        <v>1.56074</v>
      </c>
      <c r="BG151">
        <v>19.59</v>
      </c>
      <c r="BH151">
        <v>48.1143</v>
      </c>
      <c r="BI151">
        <v>30.3917</v>
      </c>
      <c r="BJ151">
        <v>32.898600000000002</v>
      </c>
      <c r="BK151">
        <v>0</v>
      </c>
      <c r="BL151">
        <v>32.137700000000002</v>
      </c>
      <c r="BM151">
        <v>55.776499999999999</v>
      </c>
      <c r="BN151">
        <v>10.419499999999999</v>
      </c>
      <c r="BO151">
        <v>0.99979200000000001</v>
      </c>
      <c r="BP151">
        <v>0.66652800000000001</v>
      </c>
      <c r="BQ151">
        <v>34.250500000000002</v>
      </c>
      <c r="BR151">
        <v>139229</v>
      </c>
    </row>
    <row r="152" spans="1:70" x14ac:dyDescent="0.25">
      <c r="A152">
        <v>36</v>
      </c>
      <c r="B152" s="7">
        <v>46002.567372685182</v>
      </c>
      <c r="C152" t="s">
        <v>136</v>
      </c>
      <c r="D152" s="6" t="s">
        <v>264</v>
      </c>
      <c r="E152" s="6" t="str">
        <f>VLOOKUP(F152,Germplasm!$A$1:$B$21,2,FALSE)</f>
        <v>Kinnan</v>
      </c>
      <c r="F152" t="s">
        <v>71</v>
      </c>
      <c r="G152" s="6" t="s">
        <v>113</v>
      </c>
      <c r="H152">
        <v>58036.2</v>
      </c>
      <c r="I152">
        <v>486.608</v>
      </c>
      <c r="J152">
        <v>198810</v>
      </c>
      <c r="K152">
        <v>16.1646</v>
      </c>
      <c r="L152">
        <v>81.354299999999995</v>
      </c>
      <c r="M152">
        <v>1673.25</v>
      </c>
      <c r="N152">
        <v>576.13900000000001</v>
      </c>
      <c r="O152">
        <v>35892000</v>
      </c>
      <c r="P152">
        <v>0.15482399999999999</v>
      </c>
      <c r="Q152">
        <v>0.81245699999999998</v>
      </c>
      <c r="R152">
        <v>11.143000000000001</v>
      </c>
      <c r="S152">
        <v>34.753399999999999</v>
      </c>
      <c r="T152">
        <v>39.985700000000001</v>
      </c>
      <c r="U152">
        <v>13.0063</v>
      </c>
      <c r="V152">
        <v>0.29912100000000003</v>
      </c>
      <c r="W152">
        <v>87.142499999999998</v>
      </c>
      <c r="X152">
        <v>5.4161200000000003</v>
      </c>
      <c r="Y152">
        <v>15.492000000000001</v>
      </c>
      <c r="Z152">
        <v>13.1021</v>
      </c>
      <c r="AA152">
        <v>25.340399999999999</v>
      </c>
      <c r="AB152">
        <v>19.699200000000001</v>
      </c>
      <c r="AC152">
        <v>20.950199999999999</v>
      </c>
      <c r="AD152">
        <v>1.8059099999999999</v>
      </c>
      <c r="AE152">
        <v>8.7084299999999999</v>
      </c>
      <c r="AF152">
        <v>0</v>
      </c>
      <c r="AG152">
        <v>99.256100000000004</v>
      </c>
      <c r="AH152">
        <v>0.73923499999999998</v>
      </c>
      <c r="AI152">
        <v>4.6737699999999998E-3</v>
      </c>
      <c r="AJ152">
        <v>0</v>
      </c>
      <c r="AK152">
        <v>0</v>
      </c>
      <c r="AL152">
        <v>0.33652300000000002</v>
      </c>
      <c r="AM152">
        <v>3.5022099999999998</v>
      </c>
      <c r="AN152">
        <v>18.0852</v>
      </c>
      <c r="AO152">
        <v>19.933599999999998</v>
      </c>
      <c r="AP152">
        <v>25.209499999999998</v>
      </c>
      <c r="AQ152">
        <v>25.765699999999999</v>
      </c>
      <c r="AR152">
        <v>7.5037399999999996</v>
      </c>
      <c r="AS152">
        <v>0.17386499999999999</v>
      </c>
      <c r="AT152">
        <v>1.99726</v>
      </c>
      <c r="AU152">
        <v>20.0489</v>
      </c>
      <c r="AV152">
        <v>33.416699999999999</v>
      </c>
      <c r="AW152">
        <v>31.262899999999998</v>
      </c>
      <c r="AX152">
        <v>10.847799999999999</v>
      </c>
      <c r="AY152">
        <v>2.4264700000000001</v>
      </c>
      <c r="AZ152">
        <v>618.44100000000003</v>
      </c>
      <c r="BA152">
        <v>672.6</v>
      </c>
      <c r="BB152">
        <v>32136.9</v>
      </c>
      <c r="BC152">
        <v>0.14527999999999999</v>
      </c>
      <c r="BD152">
        <v>5.6085299999999998E-2</v>
      </c>
      <c r="BE152">
        <v>0.402723</v>
      </c>
      <c r="BF152">
        <v>1.91001</v>
      </c>
      <c r="BG152">
        <v>19.675000000000001</v>
      </c>
      <c r="BH152">
        <v>42.928600000000003</v>
      </c>
      <c r="BI152">
        <v>35.0276</v>
      </c>
      <c r="BJ152">
        <v>31.209900000000001</v>
      </c>
      <c r="BK152">
        <v>0</v>
      </c>
      <c r="BL152">
        <v>36.804400000000001</v>
      </c>
      <c r="BM152">
        <v>53.296599999999998</v>
      </c>
      <c r="BN152">
        <v>8.2671200000000002</v>
      </c>
      <c r="BO152">
        <v>0.97370199999999996</v>
      </c>
      <c r="BP152">
        <v>0.658223</v>
      </c>
      <c r="BQ152">
        <v>33.665599999999998</v>
      </c>
      <c r="BR152">
        <v>128376</v>
      </c>
    </row>
    <row r="153" spans="1:70" x14ac:dyDescent="0.25">
      <c r="A153">
        <v>36</v>
      </c>
      <c r="B153" s="7">
        <v>46013.604143518518</v>
      </c>
      <c r="C153" t="s">
        <v>136</v>
      </c>
      <c r="D153" s="6" t="s">
        <v>265</v>
      </c>
      <c r="E153" s="6" t="str">
        <f>VLOOKUP(F153,Germplasm!$A$1:$B$21,2,FALSE)</f>
        <v>Kinnan</v>
      </c>
      <c r="F153" t="s">
        <v>71</v>
      </c>
      <c r="G153" s="6" t="s">
        <v>113</v>
      </c>
      <c r="H153">
        <v>49390.400000000001</v>
      </c>
      <c r="I153">
        <v>489.56</v>
      </c>
      <c r="J153">
        <v>205676</v>
      </c>
      <c r="K153">
        <v>12.6562</v>
      </c>
      <c r="L153">
        <v>82.715299999999999</v>
      </c>
      <c r="M153">
        <v>1684.74</v>
      </c>
      <c r="N153">
        <v>583.6</v>
      </c>
      <c r="O153">
        <v>31124000</v>
      </c>
      <c r="P153">
        <v>0.124461</v>
      </c>
      <c r="Q153">
        <v>1.07019</v>
      </c>
      <c r="R153">
        <v>14.931699999999999</v>
      </c>
      <c r="S153">
        <v>42.711100000000002</v>
      </c>
      <c r="T153">
        <v>31.1556</v>
      </c>
      <c r="U153">
        <v>9.8246400000000005</v>
      </c>
      <c r="V153">
        <v>0.30667899999999998</v>
      </c>
      <c r="W153">
        <v>74.439099999999996</v>
      </c>
      <c r="X153">
        <v>7.6160100000000002</v>
      </c>
      <c r="Y153">
        <v>23.755299999999998</v>
      </c>
      <c r="Z153">
        <v>16.272200000000002</v>
      </c>
      <c r="AA153">
        <v>19.998699999999999</v>
      </c>
      <c r="AB153">
        <v>15.213800000000001</v>
      </c>
      <c r="AC153">
        <v>17.143999999999998</v>
      </c>
      <c r="AD153">
        <v>1.8974</v>
      </c>
      <c r="AE153">
        <v>10.3696</v>
      </c>
      <c r="AF153">
        <v>0</v>
      </c>
      <c r="AG153">
        <v>96.546499999999995</v>
      </c>
      <c r="AH153">
        <v>3.4180600000000001</v>
      </c>
      <c r="AI153">
        <v>3.5491000000000002E-2</v>
      </c>
      <c r="AJ153">
        <v>0</v>
      </c>
      <c r="AK153">
        <v>0</v>
      </c>
      <c r="AL153">
        <v>0.26565100000000003</v>
      </c>
      <c r="AM153">
        <v>6.1827100000000002</v>
      </c>
      <c r="AN153">
        <v>27.652000000000001</v>
      </c>
      <c r="AO153">
        <v>24.517900000000001</v>
      </c>
      <c r="AP153">
        <v>20.854199999999999</v>
      </c>
      <c r="AQ153">
        <v>16.1111</v>
      </c>
      <c r="AR153">
        <v>4.68208</v>
      </c>
      <c r="AS153">
        <v>0.2072</v>
      </c>
      <c r="AT153">
        <v>1.55159</v>
      </c>
      <c r="AU153">
        <v>15.556900000000001</v>
      </c>
      <c r="AV153">
        <v>30.782499999999999</v>
      </c>
      <c r="AW153">
        <v>35.381799999999998</v>
      </c>
      <c r="AX153">
        <v>14.0144</v>
      </c>
      <c r="AY153">
        <v>2.71279</v>
      </c>
      <c r="AZ153">
        <v>630.16200000000003</v>
      </c>
      <c r="BA153">
        <v>665.99900000000002</v>
      </c>
      <c r="BB153">
        <v>26030.6</v>
      </c>
      <c r="BC153">
        <v>0.19978699999999999</v>
      </c>
      <c r="BD153">
        <v>9.2822600000000005E-2</v>
      </c>
      <c r="BE153">
        <v>0.34671999999999997</v>
      </c>
      <c r="BF153">
        <v>1.4523999999999999</v>
      </c>
      <c r="BG153">
        <v>15.2165</v>
      </c>
      <c r="BH153">
        <v>34.756599999999999</v>
      </c>
      <c r="BI153">
        <v>48.134900000000002</v>
      </c>
      <c r="BJ153">
        <v>31.229700000000001</v>
      </c>
      <c r="BK153">
        <v>0</v>
      </c>
      <c r="BL153">
        <v>37.543999999999997</v>
      </c>
      <c r="BM153">
        <v>52.435699999999997</v>
      </c>
      <c r="BN153">
        <v>8.2047899999999991</v>
      </c>
      <c r="BO153">
        <v>1.1029500000000001</v>
      </c>
      <c r="BP153">
        <v>0.71255000000000002</v>
      </c>
      <c r="BQ153">
        <v>31.840499999999999</v>
      </c>
      <c r="BR153">
        <v>109887</v>
      </c>
    </row>
    <row r="154" spans="1:70" x14ac:dyDescent="0.25">
      <c r="A154">
        <v>36</v>
      </c>
      <c r="B154" s="7">
        <v>46024.530115740738</v>
      </c>
      <c r="C154" t="s">
        <v>136</v>
      </c>
      <c r="D154" s="6" t="s">
        <v>266</v>
      </c>
      <c r="E154" s="6" t="str">
        <f>VLOOKUP(F154,Germplasm!$A$1:$B$21,2,FALSE)</f>
        <v>Kinnan</v>
      </c>
      <c r="F154" t="s">
        <v>71</v>
      </c>
      <c r="G154" s="6" t="s">
        <v>113</v>
      </c>
      <c r="H154">
        <v>38344.9</v>
      </c>
      <c r="I154">
        <v>477.72</v>
      </c>
      <c r="J154">
        <v>148470</v>
      </c>
      <c r="K154">
        <v>13.295400000000001</v>
      </c>
      <c r="L154">
        <v>80.846900000000005</v>
      </c>
      <c r="M154">
        <v>1455.6</v>
      </c>
      <c r="N154">
        <v>513.14</v>
      </c>
      <c r="O154">
        <v>23381800</v>
      </c>
      <c r="P154">
        <v>7.0191199999999995E-2</v>
      </c>
      <c r="Q154">
        <v>1.28363</v>
      </c>
      <c r="R154">
        <v>23.653099999999998</v>
      </c>
      <c r="S154">
        <v>53.180999999999997</v>
      </c>
      <c r="T154">
        <v>17.451699999999999</v>
      </c>
      <c r="U154">
        <v>4.2171700000000003</v>
      </c>
      <c r="V154">
        <v>0.21338799999999999</v>
      </c>
      <c r="W154">
        <v>55.242699999999999</v>
      </c>
      <c r="X154">
        <v>12.246700000000001</v>
      </c>
      <c r="Y154">
        <v>38.546300000000002</v>
      </c>
      <c r="Z154">
        <v>15.0428</v>
      </c>
      <c r="AA154">
        <v>12.1433</v>
      </c>
      <c r="AB154">
        <v>7.7215800000000003</v>
      </c>
      <c r="AC154">
        <v>14.299200000000001</v>
      </c>
      <c r="AD154">
        <v>1.94252</v>
      </c>
      <c r="AE154">
        <v>11.491099999999999</v>
      </c>
      <c r="AF154">
        <v>0</v>
      </c>
      <c r="AG154">
        <v>97.153400000000005</v>
      </c>
      <c r="AH154">
        <v>2.8422499999999999</v>
      </c>
      <c r="AI154">
        <v>4.39976E-3</v>
      </c>
      <c r="AJ154">
        <v>0</v>
      </c>
      <c r="AK154">
        <v>0</v>
      </c>
      <c r="AL154">
        <v>0.187448</v>
      </c>
      <c r="AM154">
        <v>10.048</v>
      </c>
      <c r="AN154">
        <v>42.105699999999999</v>
      </c>
      <c r="AO154">
        <v>23.942399999999999</v>
      </c>
      <c r="AP154">
        <v>12.8407</v>
      </c>
      <c r="AQ154">
        <v>8.0735600000000005</v>
      </c>
      <c r="AR154">
        <v>2.9896400000000001</v>
      </c>
      <c r="AS154">
        <v>0.23563300000000001</v>
      </c>
      <c r="AT154">
        <v>1.18354</v>
      </c>
      <c r="AU154">
        <v>11.4724</v>
      </c>
      <c r="AV154">
        <v>28.021000000000001</v>
      </c>
      <c r="AW154">
        <v>41.251100000000001</v>
      </c>
      <c r="AX154">
        <v>15.364000000000001</v>
      </c>
      <c r="AY154">
        <v>2.7080500000000001</v>
      </c>
      <c r="AZ154">
        <v>609.774</v>
      </c>
      <c r="BA154">
        <v>655.19899999999996</v>
      </c>
      <c r="BB154">
        <v>19739.8</v>
      </c>
      <c r="BC154">
        <v>0.26318599999999998</v>
      </c>
      <c r="BD154">
        <v>4.0697799999999999E-2</v>
      </c>
      <c r="BE154">
        <v>0.26178600000000002</v>
      </c>
      <c r="BF154">
        <v>1.03284</v>
      </c>
      <c r="BG154">
        <v>11.3184</v>
      </c>
      <c r="BH154">
        <v>25.398700000000002</v>
      </c>
      <c r="BI154">
        <v>61.947600000000001</v>
      </c>
      <c r="BJ154">
        <v>29.932700000000001</v>
      </c>
      <c r="BK154">
        <v>0</v>
      </c>
      <c r="BL154">
        <v>40.253399999999999</v>
      </c>
      <c r="BM154">
        <v>51.059199999999997</v>
      </c>
      <c r="BN154">
        <v>7.0033200000000004</v>
      </c>
      <c r="BO154">
        <v>0.96134799999999998</v>
      </c>
      <c r="BP154">
        <v>0.722661</v>
      </c>
      <c r="BQ154">
        <v>31.009899999999998</v>
      </c>
      <c r="BR154">
        <v>90914</v>
      </c>
    </row>
    <row r="155" spans="1:70" x14ac:dyDescent="0.25">
      <c r="A155">
        <v>36</v>
      </c>
      <c r="B155" s="7">
        <v>45952.557870370372</v>
      </c>
      <c r="C155" t="s">
        <v>134</v>
      </c>
      <c r="D155" s="6" t="s">
        <v>258</v>
      </c>
      <c r="E155" s="6" t="str">
        <f>VLOOKUP(F155,Germplasm!$A$1:$B$21,2,FALSE)</f>
        <v>Tore</v>
      </c>
      <c r="F155" t="s">
        <v>72</v>
      </c>
      <c r="G155" s="6" t="s">
        <v>113</v>
      </c>
      <c r="H155">
        <v>37169.800000000003</v>
      </c>
      <c r="I155">
        <v>270.60000000000002</v>
      </c>
      <c r="J155">
        <v>111343</v>
      </c>
      <c r="K155">
        <v>19.017700000000001</v>
      </c>
      <c r="L155">
        <v>80.930899999999994</v>
      </c>
      <c r="M155">
        <v>1250.82</v>
      </c>
      <c r="N155">
        <v>424.71199999999999</v>
      </c>
      <c r="O155">
        <v>11681000</v>
      </c>
      <c r="P155">
        <v>0.25016899999999997</v>
      </c>
      <c r="Q155">
        <v>0.665219</v>
      </c>
      <c r="R155">
        <v>3.2642500000000001</v>
      </c>
      <c r="S155">
        <v>16.949300000000001</v>
      </c>
      <c r="T155">
        <v>42.487400000000001</v>
      </c>
      <c r="U155">
        <v>36.084000000000003</v>
      </c>
      <c r="V155">
        <v>0.54976800000000003</v>
      </c>
      <c r="W155">
        <v>118.244</v>
      </c>
      <c r="X155">
        <v>0.86588399999999999</v>
      </c>
      <c r="Y155">
        <v>1.5970800000000001</v>
      </c>
      <c r="Z155">
        <v>3.5308799999999998</v>
      </c>
      <c r="AA155">
        <v>16.696400000000001</v>
      </c>
      <c r="AB155">
        <v>38.775100000000002</v>
      </c>
      <c r="AC155">
        <v>38.534599999999998</v>
      </c>
      <c r="AD155">
        <v>1.7553700000000001</v>
      </c>
      <c r="AE155">
        <v>6.5134299999999996</v>
      </c>
      <c r="AF155">
        <v>0</v>
      </c>
      <c r="AG155">
        <v>99.8887</v>
      </c>
      <c r="AH155">
        <v>0.111328</v>
      </c>
      <c r="AI155">
        <v>0</v>
      </c>
      <c r="AJ155">
        <v>0</v>
      </c>
      <c r="AK155">
        <v>0</v>
      </c>
      <c r="AL155">
        <v>0.54302300000000003</v>
      </c>
      <c r="AM155">
        <v>0.50028899999999998</v>
      </c>
      <c r="AN155">
        <v>1.8912</v>
      </c>
      <c r="AO155">
        <v>4.0353000000000003</v>
      </c>
      <c r="AP155">
        <v>13.9559</v>
      </c>
      <c r="AQ155">
        <v>41.110300000000002</v>
      </c>
      <c r="AR155">
        <v>38.507100000000001</v>
      </c>
      <c r="AS155">
        <v>3.5673200000000002E-2</v>
      </c>
      <c r="AT155">
        <v>8.6835799999999992</v>
      </c>
      <c r="AU155">
        <v>35.820099999999996</v>
      </c>
      <c r="AV155">
        <v>38.8658</v>
      </c>
      <c r="AW155">
        <v>12.471500000000001</v>
      </c>
      <c r="AX155">
        <v>2.6485099999999999</v>
      </c>
      <c r="AY155">
        <v>1.5104900000000001</v>
      </c>
      <c r="AZ155">
        <v>314.26100000000002</v>
      </c>
      <c r="BA155">
        <v>321.60000000000002</v>
      </c>
      <c r="BB155">
        <v>21174.9</v>
      </c>
      <c r="BC155">
        <v>9.0226899999999999E-3</v>
      </c>
      <c r="BD155">
        <v>3.7109299999999998E-2</v>
      </c>
      <c r="BE155">
        <v>0.45630700000000002</v>
      </c>
      <c r="BF155">
        <v>3.3632</v>
      </c>
      <c r="BG155">
        <v>40.647100000000002</v>
      </c>
      <c r="BH155">
        <v>50.9786</v>
      </c>
      <c r="BI155">
        <v>4.5177199999999997</v>
      </c>
      <c r="BJ155">
        <v>33.784700000000001</v>
      </c>
      <c r="BK155">
        <v>0</v>
      </c>
      <c r="BL155">
        <v>28.460100000000001</v>
      </c>
      <c r="BM155">
        <v>59.550800000000002</v>
      </c>
      <c r="BN155">
        <v>10.489599999999999</v>
      </c>
      <c r="BO155">
        <v>0.97583799999999998</v>
      </c>
      <c r="BP155">
        <v>0.52365399999999995</v>
      </c>
      <c r="BQ155">
        <v>34.761400000000002</v>
      </c>
      <c r="BR155">
        <v>72758</v>
      </c>
    </row>
    <row r="156" spans="1:70" x14ac:dyDescent="0.25">
      <c r="A156">
        <v>36</v>
      </c>
      <c r="B156" s="7">
        <v>45959.520949074074</v>
      </c>
      <c r="C156" t="s">
        <v>134</v>
      </c>
      <c r="D156" s="6" t="s">
        <v>259</v>
      </c>
      <c r="E156" s="6" t="str">
        <f>VLOOKUP(F156,Germplasm!$A$1:$B$21,2,FALSE)</f>
        <v>Tore</v>
      </c>
      <c r="F156" t="s">
        <v>72</v>
      </c>
      <c r="G156" s="6" t="s">
        <v>113</v>
      </c>
      <c r="H156">
        <v>49827.3</v>
      </c>
      <c r="I156">
        <v>371.32400000000001</v>
      </c>
      <c r="J156">
        <v>142945</v>
      </c>
      <c r="K156">
        <v>20.496200000000002</v>
      </c>
      <c r="L156">
        <v>71.459800000000001</v>
      </c>
      <c r="M156">
        <v>1426.18</v>
      </c>
      <c r="N156">
        <v>520.73400000000004</v>
      </c>
      <c r="O156">
        <v>21944300</v>
      </c>
      <c r="P156">
        <v>0.23868600000000001</v>
      </c>
      <c r="Q156">
        <v>0.57678099999999999</v>
      </c>
      <c r="R156">
        <v>2.9768699999999999</v>
      </c>
      <c r="S156">
        <v>18.1691</v>
      </c>
      <c r="T156">
        <v>47.751899999999999</v>
      </c>
      <c r="U156">
        <v>29.752700000000001</v>
      </c>
      <c r="V156">
        <v>0.772706</v>
      </c>
      <c r="W156">
        <v>121.087</v>
      </c>
      <c r="X156">
        <v>0.64075599999999999</v>
      </c>
      <c r="Y156">
        <v>1.46444</v>
      </c>
      <c r="Z156">
        <v>2.9978600000000002</v>
      </c>
      <c r="AA156">
        <v>14.9213</v>
      </c>
      <c r="AB156">
        <v>37.118899999999996</v>
      </c>
      <c r="AC156">
        <v>42.856699999999996</v>
      </c>
      <c r="AD156">
        <v>1.7007000000000001</v>
      </c>
      <c r="AE156">
        <v>6.8410000000000002</v>
      </c>
      <c r="AF156">
        <v>0</v>
      </c>
      <c r="AG156">
        <v>99.891999999999996</v>
      </c>
      <c r="AH156">
        <v>0.10496</v>
      </c>
      <c r="AI156">
        <v>2.9988599999999999E-3</v>
      </c>
      <c r="AJ156">
        <v>0</v>
      </c>
      <c r="AK156">
        <v>0</v>
      </c>
      <c r="AL156">
        <v>0.53391699999999997</v>
      </c>
      <c r="AM156">
        <v>0.37285800000000002</v>
      </c>
      <c r="AN156">
        <v>2.0632199999999998</v>
      </c>
      <c r="AO156">
        <v>4.37934</v>
      </c>
      <c r="AP156">
        <v>15.084300000000001</v>
      </c>
      <c r="AQ156">
        <v>43.574399999999997</v>
      </c>
      <c r="AR156">
        <v>34.5259</v>
      </c>
      <c r="AS156">
        <v>1.7935300000000001E-2</v>
      </c>
      <c r="AT156">
        <v>9.0245700000000006</v>
      </c>
      <c r="AU156">
        <v>39.904800000000002</v>
      </c>
      <c r="AV156">
        <v>37.502800000000001</v>
      </c>
      <c r="AW156">
        <v>9.8462599999999991</v>
      </c>
      <c r="AX156">
        <v>2.3041200000000002</v>
      </c>
      <c r="AY156">
        <v>1.4174599999999999</v>
      </c>
      <c r="AZ156">
        <v>440.40600000000001</v>
      </c>
      <c r="BA156">
        <v>488.399</v>
      </c>
      <c r="BB156">
        <v>29298.2</v>
      </c>
      <c r="BC156">
        <v>-6.2538999999999997E-4</v>
      </c>
      <c r="BD156">
        <v>7.0972999999999994E-2</v>
      </c>
      <c r="BE156">
        <v>0.61476600000000003</v>
      </c>
      <c r="BF156">
        <v>3.7165900000000001</v>
      </c>
      <c r="BG156">
        <v>44.527099999999997</v>
      </c>
      <c r="BH156">
        <v>46.648299999999999</v>
      </c>
      <c r="BI156">
        <v>4.42232</v>
      </c>
      <c r="BJ156">
        <v>32.264299999999999</v>
      </c>
      <c r="BK156">
        <v>0</v>
      </c>
      <c r="BL156">
        <v>32.8095</v>
      </c>
      <c r="BM156">
        <v>57.160299999999999</v>
      </c>
      <c r="BN156">
        <v>8.2588600000000003</v>
      </c>
      <c r="BO156">
        <v>1.16856</v>
      </c>
      <c r="BP156">
        <v>0.60277099999999995</v>
      </c>
      <c r="BQ156">
        <v>36.058300000000003</v>
      </c>
      <c r="BR156">
        <v>100038</v>
      </c>
    </row>
    <row r="157" spans="1:70" x14ac:dyDescent="0.25">
      <c r="A157">
        <v>36</v>
      </c>
      <c r="B157" s="7">
        <v>45966.557581018518</v>
      </c>
      <c r="C157" t="s">
        <v>134</v>
      </c>
      <c r="D157" s="6" t="s">
        <v>260</v>
      </c>
      <c r="E157" s="6" t="str">
        <f>VLOOKUP(F157,Germplasm!$A$1:$B$21,2,FALSE)</f>
        <v>Tore</v>
      </c>
      <c r="F157" t="s">
        <v>72</v>
      </c>
      <c r="G157" s="6" t="s">
        <v>113</v>
      </c>
      <c r="H157">
        <v>67232.600000000006</v>
      </c>
      <c r="I157">
        <v>484.92099999999999</v>
      </c>
      <c r="J157">
        <v>152728</v>
      </c>
      <c r="K157">
        <v>24.805700000000002</v>
      </c>
      <c r="L157">
        <v>86.639499999999998</v>
      </c>
      <c r="M157">
        <v>1486.41</v>
      </c>
      <c r="N157">
        <v>497.56</v>
      </c>
      <c r="O157">
        <v>39046700</v>
      </c>
      <c r="P157">
        <v>0.25034800000000001</v>
      </c>
      <c r="Q157">
        <v>0.38927899999999999</v>
      </c>
      <c r="R157">
        <v>2.37738</v>
      </c>
      <c r="S157">
        <v>15.6469</v>
      </c>
      <c r="T157">
        <v>47.504399999999997</v>
      </c>
      <c r="U157">
        <v>33.475700000000003</v>
      </c>
      <c r="V157">
        <v>0.60631800000000002</v>
      </c>
      <c r="W157">
        <v>118.87</v>
      </c>
      <c r="X157">
        <v>0.73298799999999997</v>
      </c>
      <c r="Y157">
        <v>1.73245</v>
      </c>
      <c r="Z157">
        <v>3.3544399999999999</v>
      </c>
      <c r="AA157">
        <v>13.9971</v>
      </c>
      <c r="AB157">
        <v>41.1053</v>
      </c>
      <c r="AC157">
        <v>39.077800000000003</v>
      </c>
      <c r="AD157">
        <v>1.77464</v>
      </c>
      <c r="AE157">
        <v>6.7900299999999998</v>
      </c>
      <c r="AF157">
        <v>0</v>
      </c>
      <c r="AG157">
        <v>99.786799999999999</v>
      </c>
      <c r="AH157">
        <v>0.20854300000000001</v>
      </c>
      <c r="AI157">
        <v>4.6342800000000002E-3</v>
      </c>
      <c r="AJ157">
        <v>0</v>
      </c>
      <c r="AK157">
        <v>0</v>
      </c>
      <c r="AL157">
        <v>0.53676500000000005</v>
      </c>
      <c r="AM157">
        <v>0.53371400000000002</v>
      </c>
      <c r="AN157">
        <v>2.6330399999999998</v>
      </c>
      <c r="AO157">
        <v>4.9957500000000001</v>
      </c>
      <c r="AP157">
        <v>12.913399999999999</v>
      </c>
      <c r="AQ157">
        <v>40.261099999999999</v>
      </c>
      <c r="AR157">
        <v>38.662999999999997</v>
      </c>
      <c r="AS157">
        <v>3.51922E-2</v>
      </c>
      <c r="AT157">
        <v>5.9079300000000003</v>
      </c>
      <c r="AU157">
        <v>40.3429</v>
      </c>
      <c r="AV157">
        <v>39.145000000000003</v>
      </c>
      <c r="AW157">
        <v>10.0556</v>
      </c>
      <c r="AX157">
        <v>2.9960599999999999</v>
      </c>
      <c r="AY157">
        <v>1.5524800000000001</v>
      </c>
      <c r="AZ157">
        <v>580.77</v>
      </c>
      <c r="BA157">
        <v>639.601</v>
      </c>
      <c r="BB157">
        <v>37885.300000000003</v>
      </c>
      <c r="BC157">
        <v>1.42352E-2</v>
      </c>
      <c r="BD157">
        <v>4.4025599999999998E-2</v>
      </c>
      <c r="BE157">
        <v>0.287325</v>
      </c>
      <c r="BF157">
        <v>2.4584800000000002</v>
      </c>
      <c r="BG157">
        <v>43.460299999999997</v>
      </c>
      <c r="BH157">
        <v>47.764000000000003</v>
      </c>
      <c r="BI157">
        <v>5.9859400000000003</v>
      </c>
      <c r="BJ157">
        <v>32.924599999999998</v>
      </c>
      <c r="BK157">
        <v>0</v>
      </c>
      <c r="BL157">
        <v>28.516999999999999</v>
      </c>
      <c r="BM157">
        <v>61.956400000000002</v>
      </c>
      <c r="BN157">
        <v>7.8813599999999999</v>
      </c>
      <c r="BO157">
        <v>1.0087299999999999</v>
      </c>
      <c r="BP157">
        <v>0.63644100000000003</v>
      </c>
      <c r="BQ157">
        <v>34.3429</v>
      </c>
      <c r="BR157">
        <v>129470</v>
      </c>
    </row>
    <row r="158" spans="1:70" x14ac:dyDescent="0.25">
      <c r="A158">
        <v>36</v>
      </c>
      <c r="B158" s="7">
        <v>45973.55400462963</v>
      </c>
      <c r="C158" t="s">
        <v>134</v>
      </c>
      <c r="D158" s="6" t="s">
        <v>261</v>
      </c>
      <c r="E158" s="6" t="str">
        <f>VLOOKUP(F158,Germplasm!$A$1:$B$21,2,FALSE)</f>
        <v>Tore</v>
      </c>
      <c r="F158" t="s">
        <v>72</v>
      </c>
      <c r="G158" s="6" t="s">
        <v>113</v>
      </c>
      <c r="H158">
        <v>70006.5</v>
      </c>
      <c r="I158">
        <v>505.46699999999998</v>
      </c>
      <c r="J158">
        <v>118418</v>
      </c>
      <c r="K158">
        <v>34.454099999999997</v>
      </c>
      <c r="L158">
        <v>72.967399999999998</v>
      </c>
      <c r="M158">
        <v>1287.22</v>
      </c>
      <c r="N158">
        <v>491.30900000000003</v>
      </c>
      <c r="O158">
        <v>44275100</v>
      </c>
      <c r="P158">
        <v>0.23130899999999999</v>
      </c>
      <c r="Q158">
        <v>0.50662600000000002</v>
      </c>
      <c r="R158">
        <v>3.21252</v>
      </c>
      <c r="S158">
        <v>19.417999999999999</v>
      </c>
      <c r="T158">
        <v>48.426900000000003</v>
      </c>
      <c r="U158">
        <v>27.884899999999998</v>
      </c>
      <c r="V158">
        <v>0.55109300000000006</v>
      </c>
      <c r="W158">
        <v>117.40900000000001</v>
      </c>
      <c r="X158">
        <v>1.3959600000000001</v>
      </c>
      <c r="Y158">
        <v>3.2948900000000001</v>
      </c>
      <c r="Z158">
        <v>3.74831</v>
      </c>
      <c r="AA158">
        <v>14.0609</v>
      </c>
      <c r="AB158">
        <v>37.657299999999999</v>
      </c>
      <c r="AC158">
        <v>39.842700000000001</v>
      </c>
      <c r="AD158">
        <v>1.7158500000000001</v>
      </c>
      <c r="AE158">
        <v>6.8748300000000002</v>
      </c>
      <c r="AF158">
        <v>0</v>
      </c>
      <c r="AG158">
        <v>99.525499999999994</v>
      </c>
      <c r="AH158">
        <v>0.47455199999999997</v>
      </c>
      <c r="AI158">
        <v>0</v>
      </c>
      <c r="AJ158">
        <v>0</v>
      </c>
      <c r="AK158">
        <v>0</v>
      </c>
      <c r="AL158">
        <v>0.51277300000000003</v>
      </c>
      <c r="AM158">
        <v>0.74936899999999995</v>
      </c>
      <c r="AN158">
        <v>4.5129799999999998</v>
      </c>
      <c r="AO158">
        <v>5.7259700000000002</v>
      </c>
      <c r="AP158">
        <v>13.555</v>
      </c>
      <c r="AQ158">
        <v>42.884599999999999</v>
      </c>
      <c r="AR158">
        <v>32.572099999999999</v>
      </c>
      <c r="AS158">
        <v>4.46948E-2</v>
      </c>
      <c r="AT158">
        <v>4.5858800000000004</v>
      </c>
      <c r="AU158">
        <v>41.517800000000001</v>
      </c>
      <c r="AV158">
        <v>37.189300000000003</v>
      </c>
      <c r="AW158">
        <v>11.811999999999999</v>
      </c>
      <c r="AX158">
        <v>3.2671899999999998</v>
      </c>
      <c r="AY158">
        <v>1.6277600000000001</v>
      </c>
      <c r="AZ158">
        <v>632.44200000000001</v>
      </c>
      <c r="BA158">
        <v>686.99900000000002</v>
      </c>
      <c r="BB158">
        <v>40799.800000000003</v>
      </c>
      <c r="BC158">
        <v>2.56457E-2</v>
      </c>
      <c r="BD158">
        <v>3.7905800000000003E-2</v>
      </c>
      <c r="BE158">
        <v>0.26534099999999999</v>
      </c>
      <c r="BF158">
        <v>2.07972</v>
      </c>
      <c r="BG158">
        <v>43.72</v>
      </c>
      <c r="BH158">
        <v>45.447699999999998</v>
      </c>
      <c r="BI158">
        <v>8.4493600000000004</v>
      </c>
      <c r="BJ158">
        <v>31.6677</v>
      </c>
      <c r="BK158">
        <v>0</v>
      </c>
      <c r="BL158">
        <v>33.361499999999999</v>
      </c>
      <c r="BM158">
        <v>58.089300000000001</v>
      </c>
      <c r="BN158">
        <v>7.0191400000000002</v>
      </c>
      <c r="BO158">
        <v>0.89734800000000003</v>
      </c>
      <c r="BP158">
        <v>0.63273599999999997</v>
      </c>
      <c r="BQ158">
        <v>35.698700000000002</v>
      </c>
      <c r="BR158">
        <v>137182</v>
      </c>
    </row>
    <row r="159" spans="1:70" x14ac:dyDescent="0.25">
      <c r="A159">
        <v>36</v>
      </c>
      <c r="B159" s="7">
        <v>45988.537743055553</v>
      </c>
      <c r="C159" t="s">
        <v>134</v>
      </c>
      <c r="D159" s="6" t="s">
        <v>262</v>
      </c>
      <c r="E159" s="6" t="str">
        <f>VLOOKUP(F159,Germplasm!$A$1:$B$21,2,FALSE)</f>
        <v>Tore</v>
      </c>
      <c r="F159" t="s">
        <v>72</v>
      </c>
      <c r="G159" s="6" t="s">
        <v>113</v>
      </c>
      <c r="H159">
        <v>55685.5</v>
      </c>
      <c r="I159">
        <v>538.32299999999998</v>
      </c>
      <c r="J159">
        <v>113778</v>
      </c>
      <c r="K159">
        <v>28.0016</v>
      </c>
      <c r="L159">
        <v>89.413399999999996</v>
      </c>
      <c r="M159">
        <v>1286.22</v>
      </c>
      <c r="N159">
        <v>454.84</v>
      </c>
      <c r="O159">
        <v>38826700</v>
      </c>
      <c r="P159">
        <v>0.166159</v>
      </c>
      <c r="Q159">
        <v>0.88709899999999997</v>
      </c>
      <c r="R159">
        <v>12.6608</v>
      </c>
      <c r="S159">
        <v>27.944500000000001</v>
      </c>
      <c r="T159">
        <v>43.005899999999997</v>
      </c>
      <c r="U159">
        <v>14.9612</v>
      </c>
      <c r="V159">
        <v>0.54044599999999998</v>
      </c>
      <c r="W159">
        <v>88.574100000000001</v>
      </c>
      <c r="X159">
        <v>7.6405799999999999</v>
      </c>
      <c r="Y159">
        <v>14.153499999999999</v>
      </c>
      <c r="Z159">
        <v>9.1207499999999992</v>
      </c>
      <c r="AA159">
        <v>23.7746</v>
      </c>
      <c r="AB159">
        <v>26.416699999999999</v>
      </c>
      <c r="AC159">
        <v>18.893899999999999</v>
      </c>
      <c r="AD159">
        <v>1.7478400000000001</v>
      </c>
      <c r="AE159">
        <v>8.8217400000000001</v>
      </c>
      <c r="AF159">
        <v>0</v>
      </c>
      <c r="AG159">
        <v>97.836500000000001</v>
      </c>
      <c r="AH159">
        <v>2.1617799999999998</v>
      </c>
      <c r="AI159">
        <v>1.67062E-3</v>
      </c>
      <c r="AJ159">
        <v>0</v>
      </c>
      <c r="AK159">
        <v>0</v>
      </c>
      <c r="AL159">
        <v>0.37057400000000001</v>
      </c>
      <c r="AM159">
        <v>3.3303799999999999</v>
      </c>
      <c r="AN159">
        <v>19.625599999999999</v>
      </c>
      <c r="AO159">
        <v>12.6416</v>
      </c>
      <c r="AP159">
        <v>20.042400000000001</v>
      </c>
      <c r="AQ159">
        <v>30.7745</v>
      </c>
      <c r="AR159">
        <v>13.5855</v>
      </c>
      <c r="AS159">
        <v>0.167183</v>
      </c>
      <c r="AT159">
        <v>1.11514</v>
      </c>
      <c r="AU159">
        <v>19.760899999999999</v>
      </c>
      <c r="AV159">
        <v>37.654899999999998</v>
      </c>
      <c r="AW159">
        <v>30.366900000000001</v>
      </c>
      <c r="AX159">
        <v>8.9110899999999997</v>
      </c>
      <c r="AY159">
        <v>2.19102</v>
      </c>
      <c r="AZ159">
        <v>697.24900000000002</v>
      </c>
      <c r="BA159">
        <v>738.00099999999998</v>
      </c>
      <c r="BB159">
        <v>31859.7</v>
      </c>
      <c r="BC159">
        <v>0.149261</v>
      </c>
      <c r="BD159">
        <v>5.2624499999999998E-2</v>
      </c>
      <c r="BE159">
        <v>0.18209800000000001</v>
      </c>
      <c r="BF159">
        <v>0.73173200000000005</v>
      </c>
      <c r="BG159">
        <v>19.907900000000001</v>
      </c>
      <c r="BH159">
        <v>46.724699999999999</v>
      </c>
      <c r="BI159">
        <v>32.400799999999997</v>
      </c>
      <c r="BJ159">
        <v>31.666899999999998</v>
      </c>
      <c r="BK159">
        <v>0</v>
      </c>
      <c r="BL159">
        <v>34.763100000000001</v>
      </c>
      <c r="BM159">
        <v>55.569000000000003</v>
      </c>
      <c r="BN159">
        <v>7.8368799999999998</v>
      </c>
      <c r="BO159">
        <v>1.2362599999999999</v>
      </c>
      <c r="BP159">
        <v>0.59474099999999996</v>
      </c>
      <c r="BQ159">
        <v>34.943300000000001</v>
      </c>
      <c r="BR159">
        <v>119716</v>
      </c>
    </row>
    <row r="160" spans="1:70" x14ac:dyDescent="0.25">
      <c r="A160">
        <v>36</v>
      </c>
      <c r="B160" s="7">
        <v>45994.549166666664</v>
      </c>
      <c r="C160" t="s">
        <v>134</v>
      </c>
      <c r="D160" s="6" t="s">
        <v>263</v>
      </c>
      <c r="E160" s="6" t="str">
        <f>VLOOKUP(F160,Germplasm!$A$1:$B$21,2,FALSE)</f>
        <v>Tore</v>
      </c>
      <c r="F160" t="s">
        <v>72</v>
      </c>
      <c r="G160" s="6" t="s">
        <v>113</v>
      </c>
      <c r="H160">
        <v>50841.9</v>
      </c>
      <c r="I160">
        <v>487.74599999999998</v>
      </c>
      <c r="J160">
        <v>136154</v>
      </c>
      <c r="K160">
        <v>20.860299999999999</v>
      </c>
      <c r="L160">
        <v>63.137500000000003</v>
      </c>
      <c r="M160">
        <v>1462.14</v>
      </c>
      <c r="N160">
        <v>559.471</v>
      </c>
      <c r="O160">
        <v>32534300</v>
      </c>
      <c r="P160">
        <v>0.12909100000000001</v>
      </c>
      <c r="Q160">
        <v>0.81819799999999998</v>
      </c>
      <c r="R160">
        <v>16.588100000000001</v>
      </c>
      <c r="S160">
        <v>42.055399999999999</v>
      </c>
      <c r="T160">
        <v>27.991800000000001</v>
      </c>
      <c r="U160">
        <v>12.0036</v>
      </c>
      <c r="V160">
        <v>0.54290899999999997</v>
      </c>
      <c r="W160">
        <v>65.022000000000006</v>
      </c>
      <c r="X160">
        <v>9.55246</v>
      </c>
      <c r="Y160">
        <v>32.561700000000002</v>
      </c>
      <c r="Z160">
        <v>13.163600000000001</v>
      </c>
      <c r="AA160">
        <v>21.203299999999999</v>
      </c>
      <c r="AB160">
        <v>15.020799999999999</v>
      </c>
      <c r="AC160">
        <v>8.4981799999999996</v>
      </c>
      <c r="AD160">
        <v>1.7900700000000001</v>
      </c>
      <c r="AE160">
        <v>11.4398</v>
      </c>
      <c r="AF160">
        <v>0</v>
      </c>
      <c r="AG160">
        <v>95.568899999999999</v>
      </c>
      <c r="AH160">
        <v>4.42509</v>
      </c>
      <c r="AI160">
        <v>5.9660299999999998E-3</v>
      </c>
      <c r="AJ160">
        <v>0</v>
      </c>
      <c r="AK160">
        <v>0</v>
      </c>
      <c r="AL160">
        <v>0.25348100000000001</v>
      </c>
      <c r="AM160">
        <v>5.8714199999999996</v>
      </c>
      <c r="AN160">
        <v>38.324100000000001</v>
      </c>
      <c r="AO160">
        <v>16.4696</v>
      </c>
      <c r="AP160">
        <v>15.8688</v>
      </c>
      <c r="AQ160">
        <v>16.996400000000001</v>
      </c>
      <c r="AR160">
        <v>6.4697300000000002</v>
      </c>
      <c r="AS160">
        <v>0.26261299999999999</v>
      </c>
      <c r="AT160">
        <v>0.53864699999999999</v>
      </c>
      <c r="AU160">
        <v>7.6339600000000001</v>
      </c>
      <c r="AV160">
        <v>28.264500000000002</v>
      </c>
      <c r="AW160">
        <v>40.047400000000003</v>
      </c>
      <c r="AX160">
        <v>20.800999999999998</v>
      </c>
      <c r="AY160">
        <v>2.71454</v>
      </c>
      <c r="AZ160">
        <v>639.91099999999994</v>
      </c>
      <c r="BA160">
        <v>695.399</v>
      </c>
      <c r="BB160">
        <v>28402.1</v>
      </c>
      <c r="BC160">
        <v>0.26321600000000001</v>
      </c>
      <c r="BD160">
        <v>3.2386999999999999E-2</v>
      </c>
      <c r="BE160">
        <v>0.164492</v>
      </c>
      <c r="BF160">
        <v>0.57188600000000001</v>
      </c>
      <c r="BG160">
        <v>7.40299</v>
      </c>
      <c r="BH160">
        <v>35.362400000000001</v>
      </c>
      <c r="BI160">
        <v>56.465899999999998</v>
      </c>
      <c r="BJ160">
        <v>34.764000000000003</v>
      </c>
      <c r="BK160">
        <v>0</v>
      </c>
      <c r="BL160">
        <v>26.674099999999999</v>
      </c>
      <c r="BM160">
        <v>59.991799999999998</v>
      </c>
      <c r="BN160">
        <v>11.5008</v>
      </c>
      <c r="BO160">
        <v>1.3636600000000001</v>
      </c>
      <c r="BP160">
        <v>0.46961199999999997</v>
      </c>
      <c r="BQ160">
        <v>33.999299999999998</v>
      </c>
      <c r="BR160">
        <v>117331</v>
      </c>
    </row>
    <row r="161" spans="1:70" x14ac:dyDescent="0.25">
      <c r="A161">
        <v>36</v>
      </c>
      <c r="B161" s="7">
        <v>46002.567372685182</v>
      </c>
      <c r="C161" t="s">
        <v>134</v>
      </c>
      <c r="D161" s="6" t="s">
        <v>264</v>
      </c>
      <c r="E161" s="6" t="str">
        <f>VLOOKUP(F161,Germplasm!$A$1:$B$21,2,FALSE)</f>
        <v>Tore</v>
      </c>
      <c r="F161" t="s">
        <v>72</v>
      </c>
      <c r="G161" s="6" t="s">
        <v>113</v>
      </c>
      <c r="H161">
        <v>42199.8</v>
      </c>
      <c r="I161">
        <v>547.875</v>
      </c>
      <c r="J161">
        <v>122041</v>
      </c>
      <c r="K161">
        <v>18.930900000000001</v>
      </c>
      <c r="L161">
        <v>53.752200000000002</v>
      </c>
      <c r="M161">
        <v>1400.28</v>
      </c>
      <c r="N161">
        <v>541.95500000000004</v>
      </c>
      <c r="O161">
        <v>27043900</v>
      </c>
      <c r="P161">
        <v>6.8519700000000003E-2</v>
      </c>
      <c r="Q161">
        <v>1.30341</v>
      </c>
      <c r="R161">
        <v>29.078600000000002</v>
      </c>
      <c r="S161">
        <v>46.415900000000001</v>
      </c>
      <c r="T161">
        <v>17.317299999999999</v>
      </c>
      <c r="U161">
        <v>5.6719900000000001</v>
      </c>
      <c r="V161">
        <v>0.21284400000000001</v>
      </c>
      <c r="W161">
        <v>48.233400000000003</v>
      </c>
      <c r="X161">
        <v>16.9907</v>
      </c>
      <c r="Y161">
        <v>40.451999999999998</v>
      </c>
      <c r="Z161">
        <v>16.386900000000001</v>
      </c>
      <c r="AA161">
        <v>14.008699999999999</v>
      </c>
      <c r="AB161">
        <v>5.1788600000000002</v>
      </c>
      <c r="AC161">
        <v>6.9827700000000004</v>
      </c>
      <c r="AD161">
        <v>1.8265499999999999</v>
      </c>
      <c r="AE161">
        <v>12.789300000000001</v>
      </c>
      <c r="AF161">
        <v>0</v>
      </c>
      <c r="AG161">
        <v>93.586200000000005</v>
      </c>
      <c r="AH161">
        <v>6.41378</v>
      </c>
      <c r="AI161">
        <v>0</v>
      </c>
      <c r="AJ161">
        <v>0</v>
      </c>
      <c r="AK161">
        <v>0</v>
      </c>
      <c r="AL161">
        <v>0.16431499999999999</v>
      </c>
      <c r="AM161">
        <v>9.6675599999999999</v>
      </c>
      <c r="AN161">
        <v>47.528599999999997</v>
      </c>
      <c r="AO161">
        <v>23.7027</v>
      </c>
      <c r="AP161">
        <v>11.826599999999999</v>
      </c>
      <c r="AQ161">
        <v>5.4106699999999996</v>
      </c>
      <c r="AR161">
        <v>1.8639699999999999</v>
      </c>
      <c r="AS161">
        <v>0.28922799999999999</v>
      </c>
      <c r="AT161">
        <v>0.85137799999999997</v>
      </c>
      <c r="AU161">
        <v>4.32538</v>
      </c>
      <c r="AV161">
        <v>21.339200000000002</v>
      </c>
      <c r="AW161">
        <v>50.618000000000002</v>
      </c>
      <c r="AX161">
        <v>19.516400000000001</v>
      </c>
      <c r="AY161">
        <v>3.3496700000000001</v>
      </c>
      <c r="AZ161">
        <v>640.85299999999995</v>
      </c>
      <c r="BA161">
        <v>690.6</v>
      </c>
      <c r="BB161">
        <v>23103.5</v>
      </c>
      <c r="BC161">
        <v>0.31555299999999997</v>
      </c>
      <c r="BD161">
        <v>0.16332099999999999</v>
      </c>
      <c r="BE161">
        <v>0.35298499999999999</v>
      </c>
      <c r="BF161">
        <v>0.77867299999999995</v>
      </c>
      <c r="BG161">
        <v>3.8775599999999999</v>
      </c>
      <c r="BH161">
        <v>19.4373</v>
      </c>
      <c r="BI161">
        <v>75.390100000000004</v>
      </c>
      <c r="BJ161">
        <v>33.455599999999997</v>
      </c>
      <c r="BK161">
        <v>0</v>
      </c>
      <c r="BL161">
        <v>29.0596</v>
      </c>
      <c r="BM161">
        <v>59.849299999999999</v>
      </c>
      <c r="BN161">
        <v>9.1702200000000005</v>
      </c>
      <c r="BO161">
        <v>1.28444</v>
      </c>
      <c r="BP161">
        <v>0.63642600000000005</v>
      </c>
      <c r="BQ161">
        <v>33.227600000000002</v>
      </c>
      <c r="BR161">
        <v>94905</v>
      </c>
    </row>
    <row r="162" spans="1:70" x14ac:dyDescent="0.25">
      <c r="A162">
        <v>36</v>
      </c>
      <c r="B162" s="7">
        <v>46013.604143518518</v>
      </c>
      <c r="C162" t="s">
        <v>134</v>
      </c>
      <c r="D162" s="6" t="s">
        <v>265</v>
      </c>
      <c r="E162" s="6" t="str">
        <f>VLOOKUP(F162,Germplasm!$A$1:$B$21,2,FALSE)</f>
        <v>Tore</v>
      </c>
      <c r="F162" t="s">
        <v>72</v>
      </c>
      <c r="G162" s="6" t="s">
        <v>113</v>
      </c>
      <c r="H162">
        <v>41136.199999999997</v>
      </c>
      <c r="I162">
        <v>542.68899999999996</v>
      </c>
      <c r="J162">
        <v>152590</v>
      </c>
      <c r="K162">
        <v>14.405900000000001</v>
      </c>
      <c r="L162">
        <v>64.838399999999993</v>
      </c>
      <c r="M162">
        <v>1565.66</v>
      </c>
      <c r="N162">
        <v>571.47799999999995</v>
      </c>
      <c r="O162">
        <v>25924600</v>
      </c>
      <c r="P162">
        <v>5.4511300000000002E-3</v>
      </c>
      <c r="Q162">
        <v>1.1325000000000001</v>
      </c>
      <c r="R162">
        <v>42.4574</v>
      </c>
      <c r="S162">
        <v>54.037999999999997</v>
      </c>
      <c r="T162">
        <v>2.0171000000000001</v>
      </c>
      <c r="U162">
        <v>0.33199699999999999</v>
      </c>
      <c r="V162">
        <v>2.2934E-2</v>
      </c>
      <c r="W162">
        <v>33.830500000000001</v>
      </c>
      <c r="X162">
        <v>23.4648</v>
      </c>
      <c r="Y162">
        <v>55.304900000000004</v>
      </c>
      <c r="Z162">
        <v>10.2592</v>
      </c>
      <c r="AA162">
        <v>3.0469499999999998</v>
      </c>
      <c r="AB162">
        <v>0.99599199999999999</v>
      </c>
      <c r="AC162">
        <v>6.9282599999999999</v>
      </c>
      <c r="AD162">
        <v>1.87137</v>
      </c>
      <c r="AE162">
        <v>17.4482</v>
      </c>
      <c r="AF162">
        <v>0</v>
      </c>
      <c r="AG162">
        <v>80.557400000000001</v>
      </c>
      <c r="AH162">
        <v>18.9544</v>
      </c>
      <c r="AI162">
        <v>0.48707499999999998</v>
      </c>
      <c r="AJ162">
        <v>1.0920999999999999E-3</v>
      </c>
      <c r="AK162">
        <v>0</v>
      </c>
      <c r="AL162">
        <v>6.3647599999999999E-2</v>
      </c>
      <c r="AM162">
        <v>23.232199999999999</v>
      </c>
      <c r="AN162">
        <v>60.294600000000003</v>
      </c>
      <c r="AO162">
        <v>12.753500000000001</v>
      </c>
      <c r="AP162">
        <v>2.7728299999999999</v>
      </c>
      <c r="AQ162">
        <v>0.64542900000000003</v>
      </c>
      <c r="AR162">
        <v>0.30141899999999999</v>
      </c>
      <c r="AS162">
        <v>0.253056</v>
      </c>
      <c r="AT162">
        <v>0.58864000000000005</v>
      </c>
      <c r="AU162">
        <v>3.22933</v>
      </c>
      <c r="AV162">
        <v>29.178599999999999</v>
      </c>
      <c r="AW162">
        <v>56.301900000000003</v>
      </c>
      <c r="AX162">
        <v>8.7138399999999994</v>
      </c>
      <c r="AY162">
        <v>1.9876199999999999</v>
      </c>
      <c r="AZ162">
        <v>630.21500000000003</v>
      </c>
      <c r="BA162">
        <v>676.19899999999996</v>
      </c>
      <c r="BB162">
        <v>21981.9</v>
      </c>
      <c r="BC162">
        <v>0.341449</v>
      </c>
      <c r="BD162">
        <v>0.116854</v>
      </c>
      <c r="BE162">
        <v>0.324353</v>
      </c>
      <c r="BF162">
        <v>0.70440199999999997</v>
      </c>
      <c r="BG162">
        <v>2.6712699999999998</v>
      </c>
      <c r="BH162">
        <v>12.230399999999999</v>
      </c>
      <c r="BI162">
        <v>83.952699999999993</v>
      </c>
      <c r="BJ162">
        <v>26.8949</v>
      </c>
      <c r="BK162">
        <v>0</v>
      </c>
      <c r="BL162">
        <v>47.224400000000003</v>
      </c>
      <c r="BM162">
        <v>48.774099999999997</v>
      </c>
      <c r="BN162">
        <v>2.9082499999999998</v>
      </c>
      <c r="BO162">
        <v>0.75354699999999997</v>
      </c>
      <c r="BP162">
        <v>0.339642</v>
      </c>
      <c r="BQ162">
        <v>32.331600000000002</v>
      </c>
      <c r="BR162">
        <v>91567</v>
      </c>
    </row>
    <row r="163" spans="1:70" x14ac:dyDescent="0.25">
      <c r="A163">
        <v>36</v>
      </c>
      <c r="B163" s="7">
        <v>46024.530115740738</v>
      </c>
      <c r="C163" t="s">
        <v>134</v>
      </c>
      <c r="D163" s="6" t="s">
        <v>266</v>
      </c>
      <c r="E163" s="6" t="str">
        <f>VLOOKUP(F163,Germplasm!$A$1:$B$21,2,FALSE)</f>
        <v>Tore</v>
      </c>
      <c r="F163" t="s">
        <v>72</v>
      </c>
      <c r="G163" s="6" t="s">
        <v>113</v>
      </c>
      <c r="H163">
        <v>36748.699999999997</v>
      </c>
      <c r="I163">
        <v>506.21199999999999</v>
      </c>
      <c r="J163">
        <v>108019</v>
      </c>
      <c r="K163">
        <v>17.465499999999999</v>
      </c>
      <c r="L163">
        <v>75.902799999999999</v>
      </c>
      <c r="M163">
        <v>1237.24</v>
      </c>
      <c r="N163">
        <v>437.91</v>
      </c>
      <c r="O163">
        <v>19969000</v>
      </c>
      <c r="P163">
        <v>6.6400300000000003E-4</v>
      </c>
      <c r="Q163">
        <v>1.3527100000000001</v>
      </c>
      <c r="R163">
        <v>43.095799999999997</v>
      </c>
      <c r="S163">
        <v>54.078400000000002</v>
      </c>
      <c r="T163">
        <v>1.27945</v>
      </c>
      <c r="U163">
        <v>0.168762</v>
      </c>
      <c r="V163">
        <v>2.4856400000000001E-2</v>
      </c>
      <c r="W163">
        <v>33.267099999999999</v>
      </c>
      <c r="X163">
        <v>23.689499999999999</v>
      </c>
      <c r="Y163">
        <v>53.908299999999997</v>
      </c>
      <c r="Z163">
        <v>8.7089099999999995</v>
      </c>
      <c r="AA163">
        <v>2.8401700000000001</v>
      </c>
      <c r="AB163">
        <v>1.13947</v>
      </c>
      <c r="AC163">
        <v>9.7136300000000002</v>
      </c>
      <c r="AD163">
        <v>1.9478599999999999</v>
      </c>
      <c r="AE163">
        <v>18.689499999999999</v>
      </c>
      <c r="AF163">
        <v>0</v>
      </c>
      <c r="AG163">
        <v>77.002600000000001</v>
      </c>
      <c r="AH163">
        <v>22.782900000000001</v>
      </c>
      <c r="AI163">
        <v>0.21454999999999999</v>
      </c>
      <c r="AJ163">
        <v>0</v>
      </c>
      <c r="AK163">
        <v>0</v>
      </c>
      <c r="AL163">
        <v>7.3554099999999997E-2</v>
      </c>
      <c r="AM163">
        <v>17.6755</v>
      </c>
      <c r="AN163">
        <v>66.212299999999999</v>
      </c>
      <c r="AO163">
        <v>12.844200000000001</v>
      </c>
      <c r="AP163">
        <v>2.3587400000000001</v>
      </c>
      <c r="AQ163">
        <v>0.58608800000000005</v>
      </c>
      <c r="AR163">
        <v>0.323133</v>
      </c>
      <c r="AS163">
        <v>0.23133899999999999</v>
      </c>
      <c r="AT163">
        <v>0.93407799999999996</v>
      </c>
      <c r="AU163">
        <v>5.34544</v>
      </c>
      <c r="AV163">
        <v>33.7943</v>
      </c>
      <c r="AW163">
        <v>50.610300000000002</v>
      </c>
      <c r="AX163">
        <v>7.2279900000000001</v>
      </c>
      <c r="AY163">
        <v>2.0879400000000001</v>
      </c>
      <c r="AZ163">
        <v>543.39400000000001</v>
      </c>
      <c r="BA163">
        <v>565.79899999999998</v>
      </c>
      <c r="BB163">
        <v>18866.099999999999</v>
      </c>
      <c r="BC163">
        <v>0.30704900000000002</v>
      </c>
      <c r="BD163">
        <v>0.16352900000000001</v>
      </c>
      <c r="BE163">
        <v>0.48404599999999998</v>
      </c>
      <c r="BF163">
        <v>1.1918</v>
      </c>
      <c r="BG163">
        <v>4.4388300000000003</v>
      </c>
      <c r="BH163">
        <v>15.2645</v>
      </c>
      <c r="BI163">
        <v>78.457300000000004</v>
      </c>
      <c r="BJ163">
        <v>25.2973</v>
      </c>
      <c r="BK163">
        <v>0</v>
      </c>
      <c r="BL163">
        <v>54.183100000000003</v>
      </c>
      <c r="BM163">
        <v>41.8294</v>
      </c>
      <c r="BN163">
        <v>2.7616800000000001</v>
      </c>
      <c r="BO163">
        <v>0.80063799999999996</v>
      </c>
      <c r="BP163">
        <v>0.425176</v>
      </c>
      <c r="BQ163">
        <v>30.913799999999998</v>
      </c>
      <c r="BR163">
        <v>76439</v>
      </c>
    </row>
    <row r="164" spans="1:70" x14ac:dyDescent="0.25">
      <c r="A164">
        <v>37</v>
      </c>
      <c r="B164" s="7">
        <v>45952.559699074074</v>
      </c>
      <c r="C164" t="s">
        <v>140</v>
      </c>
      <c r="D164" s="6" t="s">
        <v>267</v>
      </c>
      <c r="E164" s="6" t="str">
        <f>VLOOKUP(F164,Germplasm!$A$1:$B$21,2,FALSE)</f>
        <v>Bredo</v>
      </c>
      <c r="F164" t="s">
        <v>79</v>
      </c>
      <c r="G164" s="6" t="s">
        <v>113</v>
      </c>
      <c r="H164">
        <v>46656.7</v>
      </c>
      <c r="I164">
        <v>283.59199999999998</v>
      </c>
      <c r="J164">
        <v>171020</v>
      </c>
      <c r="K164">
        <v>14.1652</v>
      </c>
      <c r="L164">
        <v>66.881100000000004</v>
      </c>
      <c r="M164">
        <v>1581.38</v>
      </c>
      <c r="N164">
        <v>583.47799999999995</v>
      </c>
      <c r="O164">
        <v>15792400</v>
      </c>
      <c r="P164">
        <v>0.21876799999999999</v>
      </c>
      <c r="Q164">
        <v>0.45929199999999998</v>
      </c>
      <c r="R164">
        <v>6.1904599999999999</v>
      </c>
      <c r="S164">
        <v>22.985800000000001</v>
      </c>
      <c r="T164">
        <v>41.124899999999997</v>
      </c>
      <c r="U164">
        <v>28.914300000000001</v>
      </c>
      <c r="V164">
        <v>0.32538099999999998</v>
      </c>
      <c r="W164">
        <v>108.94199999999999</v>
      </c>
      <c r="X164">
        <v>2.2107100000000002</v>
      </c>
      <c r="Y164">
        <v>5.2601300000000002</v>
      </c>
      <c r="Z164">
        <v>9.5088699999999999</v>
      </c>
      <c r="AA164">
        <v>16.372399999999999</v>
      </c>
      <c r="AB164">
        <v>33.578800000000001</v>
      </c>
      <c r="AC164">
        <v>33.069000000000003</v>
      </c>
      <c r="AD164">
        <v>1.92594</v>
      </c>
      <c r="AE164">
        <v>13.6052</v>
      </c>
      <c r="AF164">
        <v>0</v>
      </c>
      <c r="AG164">
        <v>90.689599999999999</v>
      </c>
      <c r="AH164">
        <v>1.77844</v>
      </c>
      <c r="AI164">
        <v>1.1958</v>
      </c>
      <c r="AJ164">
        <v>6.3361200000000002</v>
      </c>
      <c r="AK164">
        <v>0</v>
      </c>
      <c r="AL164">
        <v>0.436861</v>
      </c>
      <c r="AM164">
        <v>11.9604</v>
      </c>
      <c r="AN164">
        <v>6.3701800000000004</v>
      </c>
      <c r="AO164">
        <v>5.2589499999999996</v>
      </c>
      <c r="AP164">
        <v>12.7098</v>
      </c>
      <c r="AQ164">
        <v>34.454000000000001</v>
      </c>
      <c r="AR164">
        <v>29.246700000000001</v>
      </c>
      <c r="AS164">
        <v>9.7905699999999998E-2</v>
      </c>
      <c r="AT164">
        <v>6.3948499999999999</v>
      </c>
      <c r="AU164">
        <v>31.3857</v>
      </c>
      <c r="AV164">
        <v>40.895800000000001</v>
      </c>
      <c r="AW164">
        <v>11.562200000000001</v>
      </c>
      <c r="AX164">
        <v>2.7017199999999999</v>
      </c>
      <c r="AY164">
        <v>7.0597099999999999</v>
      </c>
      <c r="AZ164">
        <v>338.48099999999999</v>
      </c>
      <c r="BA164">
        <v>454.077</v>
      </c>
      <c r="BB164">
        <v>24225.4</v>
      </c>
      <c r="BC164">
        <v>7.63123E-2</v>
      </c>
      <c r="BD164">
        <v>0.48043599999999997</v>
      </c>
      <c r="BE164">
        <v>0.67660399999999998</v>
      </c>
      <c r="BF164">
        <v>2.5830799999999998</v>
      </c>
      <c r="BG164">
        <v>34.040500000000002</v>
      </c>
      <c r="BH164">
        <v>49.800899999999999</v>
      </c>
      <c r="BI164">
        <v>12.4185</v>
      </c>
      <c r="BJ164">
        <v>36.392899999999997</v>
      </c>
      <c r="BK164">
        <v>0</v>
      </c>
      <c r="BL164">
        <v>30.609300000000001</v>
      </c>
      <c r="BM164">
        <v>52.768099999999997</v>
      </c>
      <c r="BN164">
        <v>8.6854399999999998</v>
      </c>
      <c r="BO164">
        <v>5.9050200000000004</v>
      </c>
      <c r="BP164">
        <v>2.0321600000000002</v>
      </c>
      <c r="BQ164">
        <v>31.310600000000001</v>
      </c>
      <c r="BR164">
        <v>85131</v>
      </c>
    </row>
    <row r="165" spans="1:70" x14ac:dyDescent="0.25">
      <c r="A165">
        <v>37</v>
      </c>
      <c r="B165" s="7">
        <v>45952.560266203705</v>
      </c>
      <c r="C165" t="s">
        <v>140</v>
      </c>
      <c r="D165" s="6" t="s">
        <v>268</v>
      </c>
      <c r="E165" s="6" t="str">
        <f>VLOOKUP(F165,Germplasm!$A$1:$B$21,2,FALSE)</f>
        <v>Bredo</v>
      </c>
      <c r="F165" t="s">
        <v>79</v>
      </c>
      <c r="G165" s="6" t="s">
        <v>113</v>
      </c>
      <c r="H165">
        <v>41317.199999999997</v>
      </c>
      <c r="I165">
        <v>240.48699999999999</v>
      </c>
      <c r="J165">
        <v>158212</v>
      </c>
      <c r="K165">
        <v>15.0124</v>
      </c>
      <c r="L165">
        <v>66.660200000000003</v>
      </c>
      <c r="M165">
        <v>1534.54</v>
      </c>
      <c r="N165">
        <v>585.31500000000005</v>
      </c>
      <c r="O165">
        <v>12083400</v>
      </c>
      <c r="P165">
        <v>0.217669</v>
      </c>
      <c r="Q165">
        <v>0.63662099999999999</v>
      </c>
      <c r="R165">
        <v>6.8538399999999999</v>
      </c>
      <c r="S165">
        <v>23.221299999999999</v>
      </c>
      <c r="T165">
        <v>38.43</v>
      </c>
      <c r="U165">
        <v>30.458100000000002</v>
      </c>
      <c r="V165">
        <v>0.40019700000000002</v>
      </c>
      <c r="W165">
        <v>114.655</v>
      </c>
      <c r="X165">
        <v>2.3309899999999999</v>
      </c>
      <c r="Y165">
        <v>3.5402</v>
      </c>
      <c r="Z165">
        <v>4.7715800000000002</v>
      </c>
      <c r="AA165">
        <v>16.761500000000002</v>
      </c>
      <c r="AB165">
        <v>35.706200000000003</v>
      </c>
      <c r="AC165">
        <v>36.889499999999998</v>
      </c>
      <c r="AD165">
        <v>1.7395700000000001</v>
      </c>
      <c r="AE165">
        <v>13.2286</v>
      </c>
      <c r="AF165">
        <v>0</v>
      </c>
      <c r="AG165">
        <v>90.998599999999996</v>
      </c>
      <c r="AH165">
        <v>1.1390199999999999</v>
      </c>
      <c r="AI165">
        <v>1.5096700000000001</v>
      </c>
      <c r="AJ165">
        <v>6.3526699999999998</v>
      </c>
      <c r="AK165">
        <v>0</v>
      </c>
      <c r="AL165">
        <v>0.46832200000000002</v>
      </c>
      <c r="AM165">
        <v>8.0322600000000008</v>
      </c>
      <c r="AN165">
        <v>4.5683999999999996</v>
      </c>
      <c r="AO165">
        <v>5.8354900000000001</v>
      </c>
      <c r="AP165">
        <v>13.559900000000001</v>
      </c>
      <c r="AQ165">
        <v>36.743000000000002</v>
      </c>
      <c r="AR165">
        <v>31.260899999999999</v>
      </c>
      <c r="AS165">
        <v>4.0219600000000001E-2</v>
      </c>
      <c r="AT165">
        <v>7.5544900000000004</v>
      </c>
      <c r="AU165">
        <v>34.1128</v>
      </c>
      <c r="AV165">
        <v>42.5182</v>
      </c>
      <c r="AW165">
        <v>11.737500000000001</v>
      </c>
      <c r="AX165">
        <v>2.6560800000000002</v>
      </c>
      <c r="AY165">
        <v>1.4210100000000001</v>
      </c>
      <c r="AZ165">
        <v>292.45400000000001</v>
      </c>
      <c r="BA165">
        <v>311.44299999999998</v>
      </c>
      <c r="BB165">
        <v>23751.3</v>
      </c>
      <c r="BC165">
        <v>1.0784200000000001E-2</v>
      </c>
      <c r="BD165">
        <v>0.61199400000000004</v>
      </c>
      <c r="BE165">
        <v>0.73882499999999995</v>
      </c>
      <c r="BF165">
        <v>3.2151200000000002</v>
      </c>
      <c r="BG165">
        <v>37.101300000000002</v>
      </c>
      <c r="BH165">
        <v>52.0379</v>
      </c>
      <c r="BI165">
        <v>6.2947899999999999</v>
      </c>
      <c r="BJ165">
        <v>32.884300000000003</v>
      </c>
      <c r="BK165">
        <v>0</v>
      </c>
      <c r="BL165">
        <v>32.663499999999999</v>
      </c>
      <c r="BM165">
        <v>55.624899999999997</v>
      </c>
      <c r="BN165">
        <v>9.1823700000000006</v>
      </c>
      <c r="BO165">
        <v>1.37791</v>
      </c>
      <c r="BP165">
        <v>1.15134</v>
      </c>
      <c r="BQ165">
        <v>35.126300000000001</v>
      </c>
      <c r="BR165">
        <v>81210</v>
      </c>
    </row>
    <row r="166" spans="1:70" x14ac:dyDescent="0.25">
      <c r="A166">
        <v>37</v>
      </c>
      <c r="B166" s="7">
        <v>45952.560902777775</v>
      </c>
      <c r="C166" t="s">
        <v>140</v>
      </c>
      <c r="D166" s="6" t="s">
        <v>269</v>
      </c>
      <c r="E166" s="6" t="str">
        <f>VLOOKUP(F166,Germplasm!$A$1:$B$21,2,FALSE)</f>
        <v>Bredo</v>
      </c>
      <c r="F166" t="s">
        <v>79</v>
      </c>
      <c r="G166" s="6" t="s">
        <v>113</v>
      </c>
      <c r="H166">
        <v>40327.9</v>
      </c>
      <c r="I166">
        <v>241.01900000000001</v>
      </c>
      <c r="J166">
        <v>159261</v>
      </c>
      <c r="K166">
        <v>14.5862</v>
      </c>
      <c r="L166">
        <v>66.490300000000005</v>
      </c>
      <c r="M166">
        <v>1538.26</v>
      </c>
      <c r="N166">
        <v>587.67600000000004</v>
      </c>
      <c r="O166">
        <v>11791500</v>
      </c>
      <c r="P166">
        <v>0.22095699999999999</v>
      </c>
      <c r="Q166">
        <v>0.41056900000000002</v>
      </c>
      <c r="R166">
        <v>6.1144600000000002</v>
      </c>
      <c r="S166">
        <v>23.5322</v>
      </c>
      <c r="T166">
        <v>38.856699999999996</v>
      </c>
      <c r="U166">
        <v>30.700700000000001</v>
      </c>
      <c r="V166">
        <v>0.38538099999999997</v>
      </c>
      <c r="W166">
        <v>115.21599999999999</v>
      </c>
      <c r="X166">
        <v>2.0062500000000001</v>
      </c>
      <c r="Y166">
        <v>3.2694399999999999</v>
      </c>
      <c r="Z166">
        <v>4.6963600000000003</v>
      </c>
      <c r="AA166">
        <v>17.125499999999999</v>
      </c>
      <c r="AB166">
        <v>36.088500000000003</v>
      </c>
      <c r="AC166">
        <v>36.813899999999997</v>
      </c>
      <c r="AD166">
        <v>1.7360100000000001</v>
      </c>
      <c r="AE166">
        <v>13.303699999999999</v>
      </c>
      <c r="AF166">
        <v>0</v>
      </c>
      <c r="AG166">
        <v>91.021600000000007</v>
      </c>
      <c r="AH166">
        <v>1.00753</v>
      </c>
      <c r="AI166">
        <v>1.5579000000000001</v>
      </c>
      <c r="AJ166">
        <v>6.4129399999999999</v>
      </c>
      <c r="AK166">
        <v>0</v>
      </c>
      <c r="AL166">
        <v>0.47128900000000001</v>
      </c>
      <c r="AM166">
        <v>8.2378300000000007</v>
      </c>
      <c r="AN166">
        <v>4.4066900000000002</v>
      </c>
      <c r="AO166">
        <v>5.1094400000000002</v>
      </c>
      <c r="AP166">
        <v>13.2956</v>
      </c>
      <c r="AQ166">
        <v>36.942399999999999</v>
      </c>
      <c r="AR166">
        <v>32.008000000000003</v>
      </c>
      <c r="AS166">
        <v>3.8151499999999998E-2</v>
      </c>
      <c r="AT166">
        <v>7.3574999999999999</v>
      </c>
      <c r="AU166">
        <v>34.689300000000003</v>
      </c>
      <c r="AV166">
        <v>42.390599999999999</v>
      </c>
      <c r="AW166">
        <v>11.985799999999999</v>
      </c>
      <c r="AX166">
        <v>2.3500700000000001</v>
      </c>
      <c r="AY166">
        <v>1.2266699999999999</v>
      </c>
      <c r="AZ166">
        <v>292.39</v>
      </c>
      <c r="BA166">
        <v>311.71800000000002</v>
      </c>
      <c r="BB166">
        <v>23230.2</v>
      </c>
      <c r="BC166">
        <v>6.3211999999999999E-3</v>
      </c>
      <c r="BD166">
        <v>0.75942699999999996</v>
      </c>
      <c r="BE166">
        <v>0.83750999999999998</v>
      </c>
      <c r="BF166">
        <v>3.1724600000000001</v>
      </c>
      <c r="BG166">
        <v>37.2761</v>
      </c>
      <c r="BH166">
        <v>52.358899999999998</v>
      </c>
      <c r="BI166">
        <v>5.59558</v>
      </c>
      <c r="BJ166">
        <v>32.816899999999997</v>
      </c>
      <c r="BK166">
        <v>0</v>
      </c>
      <c r="BL166">
        <v>32.514299999999999</v>
      </c>
      <c r="BM166">
        <v>56.070399999999999</v>
      </c>
      <c r="BN166">
        <v>9.0312599999999996</v>
      </c>
      <c r="BO166">
        <v>1.2720100000000001</v>
      </c>
      <c r="BP166">
        <v>1.11206</v>
      </c>
      <c r="BQ166">
        <v>35.208399999999997</v>
      </c>
      <c r="BR166">
        <v>79402</v>
      </c>
    </row>
    <row r="167" spans="1:70" x14ac:dyDescent="0.25">
      <c r="A167">
        <v>37</v>
      </c>
      <c r="B167" s="7">
        <v>45959.522557870368</v>
      </c>
      <c r="C167" t="s">
        <v>140</v>
      </c>
      <c r="D167" s="6" t="s">
        <v>270</v>
      </c>
      <c r="E167" s="6" t="str">
        <f>VLOOKUP(F167,Germplasm!$A$1:$B$21,2,FALSE)</f>
        <v>Bredo</v>
      </c>
      <c r="F167" t="s">
        <v>79</v>
      </c>
      <c r="G167" s="6" t="s">
        <v>113</v>
      </c>
      <c r="H167">
        <v>67342.3</v>
      </c>
      <c r="I167">
        <v>306.517</v>
      </c>
      <c r="J167">
        <v>199543</v>
      </c>
      <c r="K167">
        <v>20.4602</v>
      </c>
      <c r="L167">
        <v>73.700299999999999</v>
      </c>
      <c r="M167">
        <v>1699.42</v>
      </c>
      <c r="N167">
        <v>616.78399999999999</v>
      </c>
      <c r="O167">
        <v>25162100</v>
      </c>
      <c r="P167">
        <v>0.232797</v>
      </c>
      <c r="Q167">
        <v>0.60262300000000002</v>
      </c>
      <c r="R167">
        <v>5.2460800000000001</v>
      </c>
      <c r="S167">
        <v>20.6189</v>
      </c>
      <c r="T167">
        <v>39.859099999999998</v>
      </c>
      <c r="U167">
        <v>32.903599999999997</v>
      </c>
      <c r="V167">
        <v>0.76974799999999999</v>
      </c>
      <c r="W167">
        <v>118.408</v>
      </c>
      <c r="X167">
        <v>1.51037</v>
      </c>
      <c r="Y167">
        <v>2.6039699999999999</v>
      </c>
      <c r="Z167">
        <v>4.0345899999999997</v>
      </c>
      <c r="AA167">
        <v>14.9498</v>
      </c>
      <c r="AB167">
        <v>36.242699999999999</v>
      </c>
      <c r="AC167">
        <v>40.658700000000003</v>
      </c>
      <c r="AD167">
        <v>1.6494599999999999</v>
      </c>
      <c r="AE167">
        <v>10.601900000000001</v>
      </c>
      <c r="AF167">
        <v>0</v>
      </c>
      <c r="AG167">
        <v>93.959199999999996</v>
      </c>
      <c r="AH167">
        <v>0.69346699999999994</v>
      </c>
      <c r="AI167">
        <v>1.2759799999999999</v>
      </c>
      <c r="AJ167">
        <v>4.0713400000000002</v>
      </c>
      <c r="AK167">
        <v>0</v>
      </c>
      <c r="AL167">
        <v>0.504606</v>
      </c>
      <c r="AM167">
        <v>5.2086300000000003</v>
      </c>
      <c r="AN167">
        <v>3.7870200000000001</v>
      </c>
      <c r="AO167">
        <v>4.8528799999999999</v>
      </c>
      <c r="AP167">
        <v>12.5434</v>
      </c>
      <c r="AQ167">
        <v>36.2836</v>
      </c>
      <c r="AR167">
        <v>37.3245</v>
      </c>
      <c r="AS167">
        <v>2.5463400000000001E-2</v>
      </c>
      <c r="AT167">
        <v>9.0608400000000007</v>
      </c>
      <c r="AU167">
        <v>37.111600000000003</v>
      </c>
      <c r="AV167">
        <v>39.618499999999997</v>
      </c>
      <c r="AW167">
        <v>10.153</v>
      </c>
      <c r="AX167">
        <v>2.4035600000000001</v>
      </c>
      <c r="AY167">
        <v>1.6525300000000001</v>
      </c>
      <c r="AZ167">
        <v>373.64499999999998</v>
      </c>
      <c r="BA167">
        <v>381.59899999999999</v>
      </c>
      <c r="BB167">
        <v>40826.9</v>
      </c>
      <c r="BC167">
        <v>-2.5074400000000001E-4</v>
      </c>
      <c r="BD167">
        <v>0.44312499999999999</v>
      </c>
      <c r="BE167">
        <v>1.0013700000000001</v>
      </c>
      <c r="BF167">
        <v>3.43682</v>
      </c>
      <c r="BG167">
        <v>41.2911</v>
      </c>
      <c r="BH167">
        <v>48.890799999999999</v>
      </c>
      <c r="BI167">
        <v>4.9367900000000002</v>
      </c>
      <c r="BJ167">
        <v>33.417700000000004</v>
      </c>
      <c r="BK167">
        <v>0</v>
      </c>
      <c r="BL167">
        <v>30.959800000000001</v>
      </c>
      <c r="BM167">
        <v>57.133299999999998</v>
      </c>
      <c r="BN167">
        <v>9.4186700000000005</v>
      </c>
      <c r="BO167">
        <v>1.40635</v>
      </c>
      <c r="BP167">
        <v>1.0818099999999999</v>
      </c>
      <c r="BQ167">
        <v>37.3718</v>
      </c>
      <c r="BR167">
        <v>144203</v>
      </c>
    </row>
    <row r="168" spans="1:70" x14ac:dyDescent="0.25">
      <c r="A168">
        <v>37</v>
      </c>
      <c r="B168" s="7">
        <v>45966.555752314816</v>
      </c>
      <c r="C168" t="s">
        <v>140</v>
      </c>
      <c r="D168" s="6" t="s">
        <v>271</v>
      </c>
      <c r="E168" s="6" t="str">
        <f>VLOOKUP(F168,Germplasm!$A$1:$B$21,2,FALSE)</f>
        <v>Bredo</v>
      </c>
      <c r="F168" t="s">
        <v>79</v>
      </c>
      <c r="G168" s="6" t="s">
        <v>113</v>
      </c>
      <c r="H168">
        <v>98466.9</v>
      </c>
      <c r="I168">
        <v>439.721</v>
      </c>
      <c r="J168">
        <v>244455</v>
      </c>
      <c r="K168">
        <v>24.094799999999999</v>
      </c>
      <c r="L168">
        <v>68.3155</v>
      </c>
      <c r="M168">
        <v>1894.6</v>
      </c>
      <c r="N168">
        <v>728.76700000000005</v>
      </c>
      <c r="O168">
        <v>51491300</v>
      </c>
      <c r="P168">
        <v>0.24767600000000001</v>
      </c>
      <c r="Q168">
        <v>0.35400799999999999</v>
      </c>
      <c r="R168">
        <v>3.7256900000000002</v>
      </c>
      <c r="S168">
        <v>17.373200000000001</v>
      </c>
      <c r="T168">
        <v>42.284300000000002</v>
      </c>
      <c r="U168">
        <v>35.571599999999997</v>
      </c>
      <c r="V168">
        <v>0.691272</v>
      </c>
      <c r="W168">
        <v>112.675</v>
      </c>
      <c r="X168">
        <v>1.3079099999999999</v>
      </c>
      <c r="Y168">
        <v>2.9043000000000001</v>
      </c>
      <c r="Z168">
        <v>5.2637099999999997</v>
      </c>
      <c r="AA168">
        <v>18.797799999999999</v>
      </c>
      <c r="AB168">
        <v>39.555599999999998</v>
      </c>
      <c r="AC168">
        <v>32.170699999999997</v>
      </c>
      <c r="AD168">
        <v>1.67174</v>
      </c>
      <c r="AE168">
        <v>9.7082099999999993</v>
      </c>
      <c r="AF168">
        <v>0</v>
      </c>
      <c r="AG168">
        <v>95.442899999999995</v>
      </c>
      <c r="AH168">
        <v>0.49752400000000002</v>
      </c>
      <c r="AI168">
        <v>0.74389499999999997</v>
      </c>
      <c r="AJ168">
        <v>3.3157100000000002</v>
      </c>
      <c r="AK168">
        <v>0</v>
      </c>
      <c r="AL168">
        <v>0.50328799999999996</v>
      </c>
      <c r="AM168">
        <v>3.9581900000000001</v>
      </c>
      <c r="AN168">
        <v>3.6788099999999999</v>
      </c>
      <c r="AO168">
        <v>5.27806</v>
      </c>
      <c r="AP168">
        <v>13.5982</v>
      </c>
      <c r="AQ168">
        <v>39.398699999999998</v>
      </c>
      <c r="AR168">
        <v>34.088099999999997</v>
      </c>
      <c r="AS168">
        <v>6.6547099999999998E-2</v>
      </c>
      <c r="AT168">
        <v>5.1618199999999996</v>
      </c>
      <c r="AU168">
        <v>32.983499999999999</v>
      </c>
      <c r="AV168">
        <v>41.705500000000001</v>
      </c>
      <c r="AW168">
        <v>14.296200000000001</v>
      </c>
      <c r="AX168">
        <v>4.0667799999999996</v>
      </c>
      <c r="AY168">
        <v>1.7863</v>
      </c>
      <c r="AZ168">
        <v>522.92999999999995</v>
      </c>
      <c r="BA168">
        <v>563.399</v>
      </c>
      <c r="BB168">
        <v>58900.9</v>
      </c>
      <c r="BC168">
        <v>3.0258899999999998E-2</v>
      </c>
      <c r="BD168">
        <v>0.19805300000000001</v>
      </c>
      <c r="BE168">
        <v>0.47695399999999999</v>
      </c>
      <c r="BF168">
        <v>2.06473</v>
      </c>
      <c r="BG168">
        <v>35.4056</v>
      </c>
      <c r="BH168">
        <v>53.9694</v>
      </c>
      <c r="BI168">
        <v>7.8852799999999998</v>
      </c>
      <c r="BJ168">
        <v>34.443100000000001</v>
      </c>
      <c r="BK168">
        <v>0</v>
      </c>
      <c r="BL168">
        <v>26.751999999999999</v>
      </c>
      <c r="BM168">
        <v>60.507599999999996</v>
      </c>
      <c r="BN168">
        <v>10.4786</v>
      </c>
      <c r="BO168">
        <v>1.4069400000000001</v>
      </c>
      <c r="BP168">
        <v>0.854881</v>
      </c>
      <c r="BQ168">
        <v>36.8035</v>
      </c>
      <c r="BR168">
        <v>209035</v>
      </c>
    </row>
    <row r="169" spans="1:70" x14ac:dyDescent="0.25">
      <c r="A169">
        <v>37</v>
      </c>
      <c r="B169" s="7">
        <v>45973.555115740739</v>
      </c>
      <c r="C169" t="s">
        <v>140</v>
      </c>
      <c r="D169" s="6" t="s">
        <v>272</v>
      </c>
      <c r="E169" s="6" t="str">
        <f>VLOOKUP(F169,Germplasm!$A$1:$B$21,2,FALSE)</f>
        <v>Bredo</v>
      </c>
      <c r="F169" t="s">
        <v>79</v>
      </c>
      <c r="G169" s="6" t="s">
        <v>113</v>
      </c>
      <c r="H169">
        <v>92763.199999999997</v>
      </c>
      <c r="I169">
        <v>440.68</v>
      </c>
      <c r="J169">
        <v>235631</v>
      </c>
      <c r="K169">
        <v>23.869499999999999</v>
      </c>
      <c r="L169">
        <v>75.498699999999999</v>
      </c>
      <c r="M169">
        <v>1805.82</v>
      </c>
      <c r="N169">
        <v>658.24599999999998</v>
      </c>
      <c r="O169">
        <v>51690300</v>
      </c>
      <c r="P169">
        <v>0.21052199999999999</v>
      </c>
      <c r="Q169">
        <v>0.60362099999999996</v>
      </c>
      <c r="R169">
        <v>8.3372899999999994</v>
      </c>
      <c r="S169">
        <v>21.929400000000001</v>
      </c>
      <c r="T169">
        <v>40.918500000000002</v>
      </c>
      <c r="U169">
        <v>27.746700000000001</v>
      </c>
      <c r="V169">
        <v>0.464476</v>
      </c>
      <c r="W169">
        <v>103.274</v>
      </c>
      <c r="X169">
        <v>4.20702</v>
      </c>
      <c r="Y169">
        <v>7.6603899999999996</v>
      </c>
      <c r="Z169">
        <v>6.5298999999999996</v>
      </c>
      <c r="AA169">
        <v>21.3307</v>
      </c>
      <c r="AB169">
        <v>33.504199999999997</v>
      </c>
      <c r="AC169">
        <v>26.767800000000001</v>
      </c>
      <c r="AD169">
        <v>1.6493</v>
      </c>
      <c r="AE169">
        <v>9.7087400000000006</v>
      </c>
      <c r="AF169">
        <v>0</v>
      </c>
      <c r="AG169">
        <v>96.081699999999998</v>
      </c>
      <c r="AH169">
        <v>1.0319499999999999</v>
      </c>
      <c r="AI169">
        <v>0.49171100000000001</v>
      </c>
      <c r="AJ169">
        <v>2.3946800000000001</v>
      </c>
      <c r="AK169">
        <v>0</v>
      </c>
      <c r="AL169">
        <v>0.44389000000000001</v>
      </c>
      <c r="AM169">
        <v>4.0391599999999999</v>
      </c>
      <c r="AN169">
        <v>8.5561600000000002</v>
      </c>
      <c r="AO169">
        <v>9.8168799999999994</v>
      </c>
      <c r="AP169">
        <v>16.712199999999999</v>
      </c>
      <c r="AQ169">
        <v>37.159599999999998</v>
      </c>
      <c r="AR169">
        <v>23.716000000000001</v>
      </c>
      <c r="AS169">
        <v>0.111261</v>
      </c>
      <c r="AT169">
        <v>3.7054100000000001</v>
      </c>
      <c r="AU169">
        <v>26.980699999999999</v>
      </c>
      <c r="AV169">
        <v>39.2438</v>
      </c>
      <c r="AW169">
        <v>21.404</v>
      </c>
      <c r="AX169">
        <v>6.7532199999999998</v>
      </c>
      <c r="AY169">
        <v>1.9128700000000001</v>
      </c>
      <c r="AZ169">
        <v>557.22900000000004</v>
      </c>
      <c r="BA169">
        <v>607.79999999999995</v>
      </c>
      <c r="BB169">
        <v>56243.9</v>
      </c>
      <c r="BC169">
        <v>7.5134300000000001E-2</v>
      </c>
      <c r="BD169">
        <v>0.21441199999999999</v>
      </c>
      <c r="BE169">
        <v>0.49468200000000001</v>
      </c>
      <c r="BF169">
        <v>1.9049499999999999</v>
      </c>
      <c r="BG169">
        <v>28.069600000000001</v>
      </c>
      <c r="BH169">
        <v>51.7089</v>
      </c>
      <c r="BI169">
        <v>17.607500000000002</v>
      </c>
      <c r="BJ169">
        <v>33.504100000000001</v>
      </c>
      <c r="BK169">
        <v>0</v>
      </c>
      <c r="BL169">
        <v>29.045100000000001</v>
      </c>
      <c r="BM169">
        <v>59.442</v>
      </c>
      <c r="BN169">
        <v>9.6519899999999996</v>
      </c>
      <c r="BO169">
        <v>1.181</v>
      </c>
      <c r="BP169">
        <v>0.67987799999999998</v>
      </c>
      <c r="BQ169">
        <v>37.386299999999999</v>
      </c>
      <c r="BR169">
        <v>201948</v>
      </c>
    </row>
    <row r="170" spans="1:70" x14ac:dyDescent="0.25">
      <c r="A170">
        <v>37</v>
      </c>
      <c r="B170" s="7">
        <v>45988.540462962963</v>
      </c>
      <c r="C170" t="s">
        <v>140</v>
      </c>
      <c r="D170" s="6" t="s">
        <v>273</v>
      </c>
      <c r="E170" s="6" t="str">
        <f>VLOOKUP(F170,Germplasm!$A$1:$B$21,2,FALSE)</f>
        <v>Bredo</v>
      </c>
      <c r="F170" t="s">
        <v>79</v>
      </c>
      <c r="G170" s="6" t="s">
        <v>113</v>
      </c>
      <c r="H170">
        <v>64796.5</v>
      </c>
      <c r="I170">
        <v>489.10300000000001</v>
      </c>
      <c r="J170">
        <v>193126</v>
      </c>
      <c r="K170">
        <v>19.199300000000001</v>
      </c>
      <c r="L170">
        <v>84.0501</v>
      </c>
      <c r="M170">
        <v>1630.02</v>
      </c>
      <c r="N170">
        <v>569.61699999999996</v>
      </c>
      <c r="O170">
        <v>37582500</v>
      </c>
      <c r="P170">
        <v>0.14523900000000001</v>
      </c>
      <c r="Q170">
        <v>0.92892200000000003</v>
      </c>
      <c r="R170">
        <v>14.9899</v>
      </c>
      <c r="S170">
        <v>34.265599999999999</v>
      </c>
      <c r="T170">
        <v>35.525500000000001</v>
      </c>
      <c r="U170">
        <v>13.917899999999999</v>
      </c>
      <c r="V170">
        <v>0.37223499999999998</v>
      </c>
      <c r="W170">
        <v>81.337000000000003</v>
      </c>
      <c r="X170">
        <v>8.2224599999999999</v>
      </c>
      <c r="Y170">
        <v>17.1694</v>
      </c>
      <c r="Z170">
        <v>10.8161</v>
      </c>
      <c r="AA170">
        <v>25.9499</v>
      </c>
      <c r="AB170">
        <v>22.633700000000001</v>
      </c>
      <c r="AC170">
        <v>15.208399999999999</v>
      </c>
      <c r="AD170">
        <v>1.7475400000000001</v>
      </c>
      <c r="AE170">
        <v>11.788399999999999</v>
      </c>
      <c r="AF170">
        <v>0</v>
      </c>
      <c r="AG170">
        <v>94.094800000000006</v>
      </c>
      <c r="AH170">
        <v>1.6174599999999999</v>
      </c>
      <c r="AI170">
        <v>0.70784599999999998</v>
      </c>
      <c r="AJ170">
        <v>3.57985</v>
      </c>
      <c r="AK170">
        <v>0</v>
      </c>
      <c r="AL170">
        <v>0.31832199999999999</v>
      </c>
      <c r="AM170">
        <v>7.4114000000000004</v>
      </c>
      <c r="AN170">
        <v>19.518699999999999</v>
      </c>
      <c r="AO170">
        <v>17.962499999999999</v>
      </c>
      <c r="AP170">
        <v>22.033100000000001</v>
      </c>
      <c r="AQ170">
        <v>25.3979</v>
      </c>
      <c r="AR170">
        <v>7.6764299999999999</v>
      </c>
      <c r="AS170">
        <v>0.18456700000000001</v>
      </c>
      <c r="AT170">
        <v>1.53555</v>
      </c>
      <c r="AU170">
        <v>14.101000000000001</v>
      </c>
      <c r="AV170">
        <v>41.047699999999999</v>
      </c>
      <c r="AW170">
        <v>30.164300000000001</v>
      </c>
      <c r="AX170">
        <v>10.327999999999999</v>
      </c>
      <c r="AY170">
        <v>2.8233899999999998</v>
      </c>
      <c r="AZ170">
        <v>580.00800000000004</v>
      </c>
      <c r="BA170">
        <v>631.79899999999998</v>
      </c>
      <c r="BB170">
        <v>37078.800000000003</v>
      </c>
      <c r="BC170">
        <v>0.15426500000000001</v>
      </c>
      <c r="BD170">
        <v>0.33694200000000002</v>
      </c>
      <c r="BE170">
        <v>0.37623000000000001</v>
      </c>
      <c r="BF170">
        <v>1.2652000000000001</v>
      </c>
      <c r="BG170">
        <v>13.658200000000001</v>
      </c>
      <c r="BH170">
        <v>50.918300000000002</v>
      </c>
      <c r="BI170">
        <v>33.4452</v>
      </c>
      <c r="BJ170">
        <v>32.111699999999999</v>
      </c>
      <c r="BK170">
        <v>0</v>
      </c>
      <c r="BL170">
        <v>35.111899999999999</v>
      </c>
      <c r="BM170">
        <v>53.660400000000003</v>
      </c>
      <c r="BN170">
        <v>8.7332000000000001</v>
      </c>
      <c r="BO170">
        <v>1.4050400000000001</v>
      </c>
      <c r="BP170">
        <v>1.0893999999999999</v>
      </c>
      <c r="BQ170">
        <v>34.952199999999998</v>
      </c>
      <c r="BR170">
        <v>150174</v>
      </c>
    </row>
    <row r="171" spans="1:70" x14ac:dyDescent="0.25">
      <c r="A171">
        <v>37</v>
      </c>
      <c r="B171" s="7">
        <v>45994.550462962965</v>
      </c>
      <c r="C171" t="s">
        <v>140</v>
      </c>
      <c r="D171" s="6" t="s">
        <v>274</v>
      </c>
      <c r="E171" s="6" t="str">
        <f>VLOOKUP(F171,Germplasm!$A$1:$B$21,2,FALSE)</f>
        <v>Bredo</v>
      </c>
      <c r="F171" t="s">
        <v>79</v>
      </c>
      <c r="G171" s="6" t="s">
        <v>113</v>
      </c>
      <c r="H171">
        <v>54811.4</v>
      </c>
      <c r="I171">
        <v>446.50900000000001</v>
      </c>
      <c r="J171">
        <v>172932</v>
      </c>
      <c r="K171">
        <v>17.2712</v>
      </c>
      <c r="L171">
        <v>81.544200000000004</v>
      </c>
      <c r="M171">
        <v>1550.11</v>
      </c>
      <c r="N171">
        <v>564.46400000000006</v>
      </c>
      <c r="O171">
        <v>28994100</v>
      </c>
      <c r="P171">
        <v>0.1162</v>
      </c>
      <c r="Q171">
        <v>1.0985100000000001</v>
      </c>
      <c r="R171">
        <v>19.246500000000001</v>
      </c>
      <c r="S171">
        <v>38.523600000000002</v>
      </c>
      <c r="T171">
        <v>32.120199999999997</v>
      </c>
      <c r="U171">
        <v>8.6866199999999996</v>
      </c>
      <c r="V171">
        <v>0.32456000000000002</v>
      </c>
      <c r="W171">
        <v>71.260499999999993</v>
      </c>
      <c r="X171">
        <v>10.503500000000001</v>
      </c>
      <c r="Y171">
        <v>22.231200000000001</v>
      </c>
      <c r="Z171">
        <v>12.8978</v>
      </c>
      <c r="AA171">
        <v>25.523499999999999</v>
      </c>
      <c r="AB171">
        <v>15.442</v>
      </c>
      <c r="AC171">
        <v>13.401999999999999</v>
      </c>
      <c r="AD171">
        <v>1.8351500000000001</v>
      </c>
      <c r="AE171">
        <v>13.626300000000001</v>
      </c>
      <c r="AF171">
        <v>0</v>
      </c>
      <c r="AG171">
        <v>92.321700000000007</v>
      </c>
      <c r="AH171">
        <v>2.20105</v>
      </c>
      <c r="AI171">
        <v>0.896366</v>
      </c>
      <c r="AJ171">
        <v>4.5808900000000001</v>
      </c>
      <c r="AK171">
        <v>0</v>
      </c>
      <c r="AL171">
        <v>0.268457</v>
      </c>
      <c r="AM171">
        <v>9.5660699999999999</v>
      </c>
      <c r="AN171">
        <v>24.3291</v>
      </c>
      <c r="AO171">
        <v>20.968399999999999</v>
      </c>
      <c r="AP171">
        <v>23.310400000000001</v>
      </c>
      <c r="AQ171">
        <v>17.250800000000002</v>
      </c>
      <c r="AR171">
        <v>4.5752499999999996</v>
      </c>
      <c r="AS171">
        <v>0.20995800000000001</v>
      </c>
      <c r="AT171">
        <v>1.47542</v>
      </c>
      <c r="AU171">
        <v>11.1349</v>
      </c>
      <c r="AV171">
        <v>36.843600000000002</v>
      </c>
      <c r="AW171">
        <v>35.303800000000003</v>
      </c>
      <c r="AX171">
        <v>12.126300000000001</v>
      </c>
      <c r="AY171">
        <v>3.1159400000000002</v>
      </c>
      <c r="AZ171">
        <v>528.97900000000004</v>
      </c>
      <c r="BA171">
        <v>619.19899999999996</v>
      </c>
      <c r="BB171">
        <v>29867.5</v>
      </c>
      <c r="BC171">
        <v>0.190382</v>
      </c>
      <c r="BD171">
        <v>0.19972899999999999</v>
      </c>
      <c r="BE171">
        <v>0.55006100000000002</v>
      </c>
      <c r="BF171">
        <v>1.42388</v>
      </c>
      <c r="BG171">
        <v>10.4359</v>
      </c>
      <c r="BH171">
        <v>44.761899999999997</v>
      </c>
      <c r="BI171">
        <v>42.628500000000003</v>
      </c>
      <c r="BJ171">
        <v>32.034599999999998</v>
      </c>
      <c r="BK171">
        <v>0</v>
      </c>
      <c r="BL171">
        <v>35.311</v>
      </c>
      <c r="BM171">
        <v>53.648299999999999</v>
      </c>
      <c r="BN171">
        <v>8.2670200000000005</v>
      </c>
      <c r="BO171">
        <v>1.5245500000000001</v>
      </c>
      <c r="BP171">
        <v>1.2491099999999999</v>
      </c>
      <c r="BQ171">
        <v>33.055799999999998</v>
      </c>
      <c r="BR171">
        <v>124168</v>
      </c>
    </row>
    <row r="172" spans="1:70" x14ac:dyDescent="0.25">
      <c r="A172">
        <v>37</v>
      </c>
      <c r="B172" s="7">
        <v>46002.568692129629</v>
      </c>
      <c r="C172" t="s">
        <v>140</v>
      </c>
      <c r="D172" s="6" t="s">
        <v>275</v>
      </c>
      <c r="E172" s="6" t="str">
        <f>VLOOKUP(F172,Germplasm!$A$1:$B$21,2,FALSE)</f>
        <v>Bredo</v>
      </c>
      <c r="F172" t="s">
        <v>79</v>
      </c>
      <c r="G172" s="6" t="s">
        <v>113</v>
      </c>
      <c r="H172">
        <v>51589.599999999999</v>
      </c>
      <c r="I172">
        <v>488.49700000000001</v>
      </c>
      <c r="J172">
        <v>159495</v>
      </c>
      <c r="K172">
        <v>18.116499999999998</v>
      </c>
      <c r="L172">
        <v>76.465400000000002</v>
      </c>
      <c r="M172">
        <v>1485.69</v>
      </c>
      <c r="N172">
        <v>546.029</v>
      </c>
      <c r="O172">
        <v>28424000</v>
      </c>
      <c r="P172">
        <v>7.43669E-2</v>
      </c>
      <c r="Q172">
        <v>1.0869599999999999</v>
      </c>
      <c r="R172">
        <v>27.7409</v>
      </c>
      <c r="S172">
        <v>45.820799999999998</v>
      </c>
      <c r="T172">
        <v>19.313500000000001</v>
      </c>
      <c r="U172">
        <v>5.7978899999999998</v>
      </c>
      <c r="V172">
        <v>0.239977</v>
      </c>
      <c r="W172">
        <v>57.220700000000001</v>
      </c>
      <c r="X172">
        <v>15.5899</v>
      </c>
      <c r="Y172">
        <v>31.645600000000002</v>
      </c>
      <c r="Z172">
        <v>12.761900000000001</v>
      </c>
      <c r="AA172">
        <v>17.9285</v>
      </c>
      <c r="AB172">
        <v>9.6296800000000005</v>
      </c>
      <c r="AC172">
        <v>12.4443</v>
      </c>
      <c r="AD172">
        <v>1.78542</v>
      </c>
      <c r="AE172">
        <v>15.5825</v>
      </c>
      <c r="AF172">
        <v>0</v>
      </c>
      <c r="AG172">
        <v>89.371200000000002</v>
      </c>
      <c r="AH172">
        <v>4.8222899999999997</v>
      </c>
      <c r="AI172">
        <v>1.55593</v>
      </c>
      <c r="AJ172">
        <v>4.2505800000000002</v>
      </c>
      <c r="AK172">
        <v>0</v>
      </c>
      <c r="AL172">
        <v>0.19808899999999999</v>
      </c>
      <c r="AM172">
        <v>11.616899999999999</v>
      </c>
      <c r="AN172">
        <v>36.833399999999997</v>
      </c>
      <c r="AO172">
        <v>24.4087</v>
      </c>
      <c r="AP172">
        <v>15.0174</v>
      </c>
      <c r="AQ172">
        <v>9.4814600000000002</v>
      </c>
      <c r="AR172">
        <v>2.6421000000000001</v>
      </c>
      <c r="AS172">
        <v>0.22647900000000001</v>
      </c>
      <c r="AT172">
        <v>1.54495</v>
      </c>
      <c r="AU172">
        <v>9.3308900000000001</v>
      </c>
      <c r="AV172">
        <v>32.458100000000002</v>
      </c>
      <c r="AW172">
        <v>41.296500000000002</v>
      </c>
      <c r="AX172">
        <v>12.0663</v>
      </c>
      <c r="AY172">
        <v>3.30322</v>
      </c>
      <c r="AZ172">
        <v>550.96400000000006</v>
      </c>
      <c r="BA172">
        <v>601.79899999999998</v>
      </c>
      <c r="BB172">
        <v>28894.9</v>
      </c>
      <c r="BC172">
        <v>0.229208</v>
      </c>
      <c r="BD172">
        <v>0.40937299999999999</v>
      </c>
      <c r="BE172">
        <v>0.636019</v>
      </c>
      <c r="BF172">
        <v>1.40222</v>
      </c>
      <c r="BG172">
        <v>8.4282299999999992</v>
      </c>
      <c r="BH172">
        <v>33.512900000000002</v>
      </c>
      <c r="BI172">
        <v>55.611199999999997</v>
      </c>
      <c r="BJ172">
        <v>30.5776</v>
      </c>
      <c r="BK172">
        <v>0</v>
      </c>
      <c r="BL172">
        <v>38.560299999999998</v>
      </c>
      <c r="BM172">
        <v>51.908099999999997</v>
      </c>
      <c r="BN172">
        <v>7.0785499999999999</v>
      </c>
      <c r="BO172">
        <v>1.5920099999999999</v>
      </c>
      <c r="BP172">
        <v>0.86109500000000005</v>
      </c>
      <c r="BQ172">
        <v>34.101100000000002</v>
      </c>
      <c r="BR172">
        <v>127512</v>
      </c>
    </row>
    <row r="173" spans="1:70" x14ac:dyDescent="0.25">
      <c r="A173">
        <v>37</v>
      </c>
      <c r="B173" s="7">
        <v>46013.605694444443</v>
      </c>
      <c r="C173" t="s">
        <v>140</v>
      </c>
      <c r="D173" s="6" t="s">
        <v>276</v>
      </c>
      <c r="E173" s="6" t="str">
        <f>VLOOKUP(F173,Germplasm!$A$1:$B$21,2,FALSE)</f>
        <v>Bredo</v>
      </c>
      <c r="F173" t="s">
        <v>79</v>
      </c>
      <c r="G173" s="6" t="s">
        <v>113</v>
      </c>
      <c r="H173">
        <v>39726.1</v>
      </c>
      <c r="I173">
        <v>484.66399999999999</v>
      </c>
      <c r="J173">
        <v>158788</v>
      </c>
      <c r="K173">
        <v>13.7874</v>
      </c>
      <c r="L173">
        <v>72.633099999999999</v>
      </c>
      <c r="M173">
        <v>1506.71</v>
      </c>
      <c r="N173">
        <v>558.572</v>
      </c>
      <c r="O173">
        <v>19913100</v>
      </c>
      <c r="P173">
        <v>5.78519E-3</v>
      </c>
      <c r="Q173">
        <v>1.0280899999999999</v>
      </c>
      <c r="R173">
        <v>42.356299999999997</v>
      </c>
      <c r="S173">
        <v>53.783999999999999</v>
      </c>
      <c r="T173">
        <v>2.4498000000000002</v>
      </c>
      <c r="U173">
        <v>0.35366399999999998</v>
      </c>
      <c r="V173">
        <v>2.8199100000000001E-2</v>
      </c>
      <c r="W173">
        <v>35.672899999999998</v>
      </c>
      <c r="X173">
        <v>24.223099999999999</v>
      </c>
      <c r="Y173">
        <v>52.296500000000002</v>
      </c>
      <c r="Z173">
        <v>9.3785600000000002</v>
      </c>
      <c r="AA173">
        <v>3.9960499999999999</v>
      </c>
      <c r="AB173">
        <v>1.6038300000000001</v>
      </c>
      <c r="AC173">
        <v>8.5020399999999992</v>
      </c>
      <c r="AD173">
        <v>1.81457</v>
      </c>
      <c r="AE173">
        <v>22.114799999999999</v>
      </c>
      <c r="AF173">
        <v>0</v>
      </c>
      <c r="AG173">
        <v>77.547600000000003</v>
      </c>
      <c r="AH173">
        <v>14.707000000000001</v>
      </c>
      <c r="AI173">
        <v>1.4087799999999999</v>
      </c>
      <c r="AJ173">
        <v>6.3365799999999997</v>
      </c>
      <c r="AK173">
        <v>0</v>
      </c>
      <c r="AL173">
        <v>8.5983699999999996E-2</v>
      </c>
      <c r="AM173">
        <v>20.1236</v>
      </c>
      <c r="AN173">
        <v>56.405299999999997</v>
      </c>
      <c r="AO173">
        <v>19.480899999999998</v>
      </c>
      <c r="AP173">
        <v>3.1770999999999998</v>
      </c>
      <c r="AQ173">
        <v>0.62743099999999996</v>
      </c>
      <c r="AR173">
        <v>0.185644</v>
      </c>
      <c r="AS173">
        <v>0.26456099999999999</v>
      </c>
      <c r="AT173">
        <v>1.13619</v>
      </c>
      <c r="AU173">
        <v>5.2462099999999996</v>
      </c>
      <c r="AV173">
        <v>26.401399999999999</v>
      </c>
      <c r="AW173">
        <v>49.172199999999997</v>
      </c>
      <c r="AX173">
        <v>14.4732</v>
      </c>
      <c r="AY173">
        <v>3.5707200000000001</v>
      </c>
      <c r="AZ173">
        <v>501.25900000000001</v>
      </c>
      <c r="BA173">
        <v>531.59900000000005</v>
      </c>
      <c r="BB173">
        <v>21892.799999999999</v>
      </c>
      <c r="BC173">
        <v>0.31167400000000001</v>
      </c>
      <c r="BD173">
        <v>0.65680499999999997</v>
      </c>
      <c r="BE173">
        <v>0.65327999999999997</v>
      </c>
      <c r="BF173">
        <v>1.16791</v>
      </c>
      <c r="BG173">
        <v>3.9043999999999999</v>
      </c>
      <c r="BH173">
        <v>15.309799999999999</v>
      </c>
      <c r="BI173">
        <v>78.3078</v>
      </c>
      <c r="BJ173">
        <v>30.677399999999999</v>
      </c>
      <c r="BK173">
        <v>0</v>
      </c>
      <c r="BL173">
        <v>39.475299999999997</v>
      </c>
      <c r="BM173">
        <v>51.316499999999998</v>
      </c>
      <c r="BN173">
        <v>6.1908799999999999</v>
      </c>
      <c r="BO173">
        <v>1.65317</v>
      </c>
      <c r="BP173">
        <v>1.3641300000000001</v>
      </c>
      <c r="BQ173">
        <v>33.473799999999997</v>
      </c>
      <c r="BR173">
        <v>85109</v>
      </c>
    </row>
    <row r="174" spans="1:70" x14ac:dyDescent="0.25">
      <c r="A174">
        <v>37</v>
      </c>
      <c r="B174" s="7">
        <v>46024.531608796293</v>
      </c>
      <c r="C174" t="s">
        <v>140</v>
      </c>
      <c r="D174" s="6" t="s">
        <v>277</v>
      </c>
      <c r="E174" s="6" t="str">
        <f>VLOOKUP(F174,Germplasm!$A$1:$B$21,2,FALSE)</f>
        <v>Bredo</v>
      </c>
      <c r="F174" t="s">
        <v>79</v>
      </c>
      <c r="G174" s="6" t="s">
        <v>113</v>
      </c>
      <c r="H174">
        <v>36593.9</v>
      </c>
      <c r="I174">
        <v>260.745</v>
      </c>
      <c r="J174">
        <v>143319</v>
      </c>
      <c r="K174">
        <v>14.139699999999999</v>
      </c>
      <c r="L174">
        <v>83.0822</v>
      </c>
      <c r="M174">
        <v>1458.16</v>
      </c>
      <c r="N174">
        <v>506.50299999999999</v>
      </c>
      <c r="O174">
        <v>10156100</v>
      </c>
      <c r="P174">
        <v>2.0889699999999999E-3</v>
      </c>
      <c r="Q174">
        <v>1.1152599999999999</v>
      </c>
      <c r="R174">
        <v>42.549900000000001</v>
      </c>
      <c r="S174">
        <v>54.758499999999998</v>
      </c>
      <c r="T174">
        <v>1.32775</v>
      </c>
      <c r="U174">
        <v>0.230522</v>
      </c>
      <c r="V174">
        <v>1.80296E-2</v>
      </c>
      <c r="W174">
        <v>34.8172</v>
      </c>
      <c r="X174">
        <v>23.866099999999999</v>
      </c>
      <c r="Y174">
        <v>55.605899999999998</v>
      </c>
      <c r="Z174">
        <v>7.8596300000000001</v>
      </c>
      <c r="AA174">
        <v>3.1526100000000001</v>
      </c>
      <c r="AB174">
        <v>1.5724400000000001</v>
      </c>
      <c r="AC174">
        <v>7.9433400000000001</v>
      </c>
      <c r="AD174">
        <v>1.8057799999999999</v>
      </c>
      <c r="AE174">
        <v>23.718399999999999</v>
      </c>
      <c r="AF174">
        <v>0</v>
      </c>
      <c r="AG174">
        <v>74.440399999999997</v>
      </c>
      <c r="AH174">
        <v>16.924700000000001</v>
      </c>
      <c r="AI174">
        <v>1.5737300000000001</v>
      </c>
      <c r="AJ174">
        <v>7.0611699999999997</v>
      </c>
      <c r="AK174">
        <v>0</v>
      </c>
      <c r="AL174">
        <v>8.6755499999999999E-2</v>
      </c>
      <c r="AM174">
        <v>18.982600000000001</v>
      </c>
      <c r="AN174">
        <v>58.607900000000001</v>
      </c>
      <c r="AO174">
        <v>18.594999999999999</v>
      </c>
      <c r="AP174">
        <v>2.8151999999999999</v>
      </c>
      <c r="AQ174">
        <v>0.78300099999999995</v>
      </c>
      <c r="AR174">
        <v>0.21635499999999999</v>
      </c>
      <c r="AS174">
        <v>0.27033099999999999</v>
      </c>
      <c r="AT174">
        <v>0.99806799999999996</v>
      </c>
      <c r="AU174">
        <v>4.8744399999999999</v>
      </c>
      <c r="AV174">
        <v>24.9556</v>
      </c>
      <c r="AW174">
        <v>50.859000000000002</v>
      </c>
      <c r="AX174">
        <v>14.3786</v>
      </c>
      <c r="AY174">
        <v>3.93432</v>
      </c>
      <c r="AZ174">
        <v>277.53399999999999</v>
      </c>
      <c r="BA174">
        <v>300</v>
      </c>
      <c r="BB174">
        <v>20264.8</v>
      </c>
      <c r="BC174">
        <v>0.31409399999999998</v>
      </c>
      <c r="BD174">
        <v>0.64906600000000003</v>
      </c>
      <c r="BE174">
        <v>0.54990300000000003</v>
      </c>
      <c r="BF174">
        <v>0.90148099999999998</v>
      </c>
      <c r="BG174">
        <v>3.7720500000000001</v>
      </c>
      <c r="BH174">
        <v>14.375999999999999</v>
      </c>
      <c r="BI174">
        <v>79.751400000000004</v>
      </c>
      <c r="BJ174">
        <v>31.085899999999999</v>
      </c>
      <c r="BK174">
        <v>0</v>
      </c>
      <c r="BL174">
        <v>38.518999999999998</v>
      </c>
      <c r="BM174">
        <v>51.9343</v>
      </c>
      <c r="BN174">
        <v>6.1506800000000004</v>
      </c>
      <c r="BO174">
        <v>1.8776600000000001</v>
      </c>
      <c r="BP174">
        <v>1.5183500000000001</v>
      </c>
      <c r="BQ174">
        <v>33.655099999999997</v>
      </c>
      <c r="BR174">
        <v>77650</v>
      </c>
    </row>
    <row r="175" spans="1:70" x14ac:dyDescent="0.25">
      <c r="A175">
        <v>37</v>
      </c>
      <c r="B175" s="7">
        <v>45952.559699074074</v>
      </c>
      <c r="C175" t="s">
        <v>138</v>
      </c>
      <c r="D175" s="6" t="s">
        <v>267</v>
      </c>
      <c r="E175" s="6" t="str">
        <f>VLOOKUP(F175,Germplasm!$A$1:$B$21,2,FALSE)</f>
        <v>Pernilla</v>
      </c>
      <c r="F175" t="s">
        <v>70</v>
      </c>
      <c r="G175" s="6" t="s">
        <v>113</v>
      </c>
      <c r="H175">
        <v>24168.9</v>
      </c>
      <c r="I175">
        <v>297.541</v>
      </c>
      <c r="J175">
        <v>58695.1</v>
      </c>
      <c r="K175">
        <v>21.866399999999999</v>
      </c>
      <c r="L175">
        <v>79.813500000000005</v>
      </c>
      <c r="M175">
        <v>921.77499999999998</v>
      </c>
      <c r="N175">
        <v>335.125</v>
      </c>
      <c r="O175">
        <v>8897830</v>
      </c>
      <c r="P175">
        <v>0.24041899999999999</v>
      </c>
      <c r="Q175">
        <v>0.67222800000000005</v>
      </c>
      <c r="R175">
        <v>3.6720799999999998</v>
      </c>
      <c r="S175">
        <v>17.230499999999999</v>
      </c>
      <c r="T175">
        <v>44.905700000000003</v>
      </c>
      <c r="U175">
        <v>33.123100000000001</v>
      </c>
      <c r="V175">
        <v>0.39633000000000002</v>
      </c>
      <c r="W175">
        <v>117.842</v>
      </c>
      <c r="X175">
        <v>0.93060900000000002</v>
      </c>
      <c r="Y175">
        <v>2.11741</v>
      </c>
      <c r="Z175">
        <v>3.3085900000000001</v>
      </c>
      <c r="AA175">
        <v>15.5707</v>
      </c>
      <c r="AB175">
        <v>40.226399999999998</v>
      </c>
      <c r="AC175">
        <v>37.846200000000003</v>
      </c>
      <c r="AD175">
        <v>1.8831199999999999</v>
      </c>
      <c r="AE175">
        <v>6.4272499999999999</v>
      </c>
      <c r="AF175">
        <v>0</v>
      </c>
      <c r="AG175">
        <v>99.870800000000003</v>
      </c>
      <c r="AH175">
        <v>0.107294</v>
      </c>
      <c r="AI175">
        <v>1.53277E-2</v>
      </c>
      <c r="AJ175">
        <v>6.5690100000000001E-3</v>
      </c>
      <c r="AK175">
        <v>0</v>
      </c>
      <c r="AL175">
        <v>0.54266499999999995</v>
      </c>
      <c r="AM175">
        <v>0.619676</v>
      </c>
      <c r="AN175">
        <v>1.7561100000000001</v>
      </c>
      <c r="AO175">
        <v>3.9786299999999999</v>
      </c>
      <c r="AP175">
        <v>13.2234</v>
      </c>
      <c r="AQ175">
        <v>41.855499999999999</v>
      </c>
      <c r="AR175">
        <v>38.566600000000001</v>
      </c>
      <c r="AS175">
        <v>3.4965599999999999E-2</v>
      </c>
      <c r="AT175">
        <v>7.3551000000000002</v>
      </c>
      <c r="AU175">
        <v>36.707599999999999</v>
      </c>
      <c r="AV175">
        <v>41.356299999999997</v>
      </c>
      <c r="AW175">
        <v>10.598000000000001</v>
      </c>
      <c r="AX175">
        <v>2.3911199999999999</v>
      </c>
      <c r="AY175">
        <v>1.59189</v>
      </c>
      <c r="AZ175">
        <v>368.15199999999999</v>
      </c>
      <c r="BA175">
        <v>377.69900000000001</v>
      </c>
      <c r="BB175">
        <v>12834.5</v>
      </c>
      <c r="BC175">
        <v>1.0230299999999999E-2</v>
      </c>
      <c r="BD175">
        <v>4.5983099999999999E-2</v>
      </c>
      <c r="BE175">
        <v>0.32626100000000002</v>
      </c>
      <c r="BF175">
        <v>3.1421800000000002</v>
      </c>
      <c r="BG175">
        <v>40.548299999999998</v>
      </c>
      <c r="BH175">
        <v>51.781300000000002</v>
      </c>
      <c r="BI175">
        <v>4.1559900000000001</v>
      </c>
      <c r="BJ175">
        <v>32.6629</v>
      </c>
      <c r="BK175">
        <v>0</v>
      </c>
      <c r="BL175">
        <v>30.081700000000001</v>
      </c>
      <c r="BM175">
        <v>60.423900000000003</v>
      </c>
      <c r="BN175">
        <v>8.0711200000000005</v>
      </c>
      <c r="BO175">
        <v>0.89557500000000001</v>
      </c>
      <c r="BP175">
        <v>0.52771000000000001</v>
      </c>
      <c r="BQ175">
        <v>32.084200000000003</v>
      </c>
      <c r="BR175">
        <v>45669</v>
      </c>
    </row>
    <row r="176" spans="1:70" x14ac:dyDescent="0.25">
      <c r="A176">
        <v>37</v>
      </c>
      <c r="B176" s="7">
        <v>45952.560266203705</v>
      </c>
      <c r="C176" t="s">
        <v>138</v>
      </c>
      <c r="D176" s="6" t="s">
        <v>268</v>
      </c>
      <c r="E176" s="6" t="str">
        <f>VLOOKUP(F176,Germplasm!$A$1:$B$21,2,FALSE)</f>
        <v>Pernilla</v>
      </c>
      <c r="F176" t="s">
        <v>70</v>
      </c>
      <c r="G176" s="6" t="s">
        <v>113</v>
      </c>
      <c r="H176">
        <v>23141.200000000001</v>
      </c>
      <c r="I176">
        <v>296.10500000000002</v>
      </c>
      <c r="J176">
        <v>58655.5</v>
      </c>
      <c r="K176">
        <v>22.506699999999999</v>
      </c>
      <c r="L176">
        <v>79.452100000000002</v>
      </c>
      <c r="M176">
        <v>922.68700000000001</v>
      </c>
      <c r="N176">
        <v>335.83</v>
      </c>
      <c r="O176">
        <v>8528140</v>
      </c>
      <c r="P176">
        <v>0.241176</v>
      </c>
      <c r="Q176">
        <v>0.80828</v>
      </c>
      <c r="R176">
        <v>3.6992699999999998</v>
      </c>
      <c r="S176">
        <v>16.922599999999999</v>
      </c>
      <c r="T176">
        <v>44.517400000000002</v>
      </c>
      <c r="U176">
        <v>33.601300000000002</v>
      </c>
      <c r="V176">
        <v>0.45118200000000003</v>
      </c>
      <c r="W176">
        <v>118.036</v>
      </c>
      <c r="X176">
        <v>1.03708</v>
      </c>
      <c r="Y176">
        <v>2.1661000000000001</v>
      </c>
      <c r="Z176">
        <v>3.0535000000000001</v>
      </c>
      <c r="AA176">
        <v>15.244</v>
      </c>
      <c r="AB176">
        <v>40.210799999999999</v>
      </c>
      <c r="AC176">
        <v>38.288499999999999</v>
      </c>
      <c r="AD176">
        <v>1.7529300000000001</v>
      </c>
      <c r="AE176">
        <v>6.3555200000000003</v>
      </c>
      <c r="AF176">
        <v>0</v>
      </c>
      <c r="AG176">
        <v>99.869600000000005</v>
      </c>
      <c r="AH176">
        <v>0.104777</v>
      </c>
      <c r="AI176">
        <v>1.9244799999999999E-2</v>
      </c>
      <c r="AJ176">
        <v>6.4149200000000002E-3</v>
      </c>
      <c r="AK176">
        <v>0</v>
      </c>
      <c r="AL176">
        <v>0.54348799999999997</v>
      </c>
      <c r="AM176">
        <v>0.65218299999999996</v>
      </c>
      <c r="AN176">
        <v>1.80687</v>
      </c>
      <c r="AO176">
        <v>3.8724699999999999</v>
      </c>
      <c r="AP176">
        <v>13.4307</v>
      </c>
      <c r="AQ176">
        <v>41.098199999999999</v>
      </c>
      <c r="AR176">
        <v>39.139499999999998</v>
      </c>
      <c r="AS176">
        <v>3.3183900000000002E-2</v>
      </c>
      <c r="AT176">
        <v>7.6187800000000001</v>
      </c>
      <c r="AU176">
        <v>36.857999999999997</v>
      </c>
      <c r="AV176">
        <v>41.143099999999997</v>
      </c>
      <c r="AW176">
        <v>10.4841</v>
      </c>
      <c r="AX176">
        <v>2.21956</v>
      </c>
      <c r="AY176">
        <v>1.6764300000000001</v>
      </c>
      <c r="AZ176">
        <v>368.52699999999999</v>
      </c>
      <c r="BA176">
        <v>376.19900000000001</v>
      </c>
      <c r="BB176">
        <v>13201.4</v>
      </c>
      <c r="BC176">
        <v>9.3081699999999993E-3</v>
      </c>
      <c r="BD176">
        <v>4.0627799999999999E-2</v>
      </c>
      <c r="BE176">
        <v>0.33785199999999999</v>
      </c>
      <c r="BF176">
        <v>3.1924899999999998</v>
      </c>
      <c r="BG176">
        <v>40.905799999999999</v>
      </c>
      <c r="BH176">
        <v>51.426299999999998</v>
      </c>
      <c r="BI176">
        <v>4.0969899999999999</v>
      </c>
      <c r="BJ176">
        <v>32.933599999999998</v>
      </c>
      <c r="BK176">
        <v>0</v>
      </c>
      <c r="BL176">
        <v>29.448699999999999</v>
      </c>
      <c r="BM176">
        <v>60.736400000000003</v>
      </c>
      <c r="BN176">
        <v>8.1961300000000001</v>
      </c>
      <c r="BO176">
        <v>0.95582299999999998</v>
      </c>
      <c r="BP176">
        <v>0.66287499999999999</v>
      </c>
      <c r="BQ176">
        <v>34.796799999999998</v>
      </c>
      <c r="BR176">
        <v>46766</v>
      </c>
    </row>
    <row r="177" spans="1:70" x14ac:dyDescent="0.25">
      <c r="A177">
        <v>37</v>
      </c>
      <c r="B177" s="7">
        <v>45952.560902777775</v>
      </c>
      <c r="C177" t="s">
        <v>138</v>
      </c>
      <c r="D177" s="6" t="s">
        <v>269</v>
      </c>
      <c r="E177" s="6" t="str">
        <f>VLOOKUP(F177,Germplasm!$A$1:$B$21,2,FALSE)</f>
        <v>Pernilla</v>
      </c>
      <c r="F177" t="s">
        <v>70</v>
      </c>
      <c r="G177" s="6" t="s">
        <v>113</v>
      </c>
      <c r="H177">
        <v>22275.599999999999</v>
      </c>
      <c r="I177">
        <v>297.68799999999999</v>
      </c>
      <c r="J177">
        <v>58889.9</v>
      </c>
      <c r="K177">
        <v>21.764800000000001</v>
      </c>
      <c r="L177">
        <v>79.647999999999996</v>
      </c>
      <c r="M177">
        <v>924.87599999999998</v>
      </c>
      <c r="N177">
        <v>336.30200000000002</v>
      </c>
      <c r="O177">
        <v>8192120</v>
      </c>
      <c r="P177">
        <v>0.244338</v>
      </c>
      <c r="Q177">
        <v>0.58837700000000004</v>
      </c>
      <c r="R177">
        <v>3.5763699999999998</v>
      </c>
      <c r="S177">
        <v>16.665600000000001</v>
      </c>
      <c r="T177">
        <v>44.464199999999998</v>
      </c>
      <c r="U177">
        <v>34.290500000000002</v>
      </c>
      <c r="V177">
        <v>0.41493799999999997</v>
      </c>
      <c r="W177">
        <v>117.971</v>
      </c>
      <c r="X177">
        <v>0.84085299999999996</v>
      </c>
      <c r="Y177">
        <v>1.93638</v>
      </c>
      <c r="Z177">
        <v>3.10215</v>
      </c>
      <c r="AA177">
        <v>15.5898</v>
      </c>
      <c r="AB177">
        <v>40.668300000000002</v>
      </c>
      <c r="AC177">
        <v>37.862499999999997</v>
      </c>
      <c r="AD177">
        <v>1.73793</v>
      </c>
      <c r="AE177">
        <v>6.39975</v>
      </c>
      <c r="AF177">
        <v>0</v>
      </c>
      <c r="AG177">
        <v>99.861699999999999</v>
      </c>
      <c r="AH177">
        <v>0.10977199999999999</v>
      </c>
      <c r="AI177">
        <v>2.1954399999999999E-2</v>
      </c>
      <c r="AJ177">
        <v>6.5863099999999997E-3</v>
      </c>
      <c r="AK177">
        <v>0</v>
      </c>
      <c r="AL177">
        <v>0.54471700000000001</v>
      </c>
      <c r="AM177">
        <v>0.63009099999999996</v>
      </c>
      <c r="AN177">
        <v>1.7322</v>
      </c>
      <c r="AO177">
        <v>3.87934</v>
      </c>
      <c r="AP177">
        <v>13.100199999999999</v>
      </c>
      <c r="AQ177">
        <v>40.973500000000001</v>
      </c>
      <c r="AR177">
        <v>39.684699999999999</v>
      </c>
      <c r="AS177">
        <v>3.4064299999999999E-2</v>
      </c>
      <c r="AT177">
        <v>7.4074099999999996</v>
      </c>
      <c r="AU177">
        <v>36.762599999999999</v>
      </c>
      <c r="AV177">
        <v>41.269799999999996</v>
      </c>
      <c r="AW177">
        <v>10.698399999999999</v>
      </c>
      <c r="AX177">
        <v>2.3447300000000002</v>
      </c>
      <c r="AY177">
        <v>1.51705</v>
      </c>
      <c r="AZ177">
        <v>367.76299999999998</v>
      </c>
      <c r="BA177">
        <v>376.2</v>
      </c>
      <c r="BB177">
        <v>12817.3</v>
      </c>
      <c r="BC177">
        <v>9.4866099999999995E-3</v>
      </c>
      <c r="BD177">
        <v>5.4885900000000001E-2</v>
      </c>
      <c r="BE177">
        <v>0.36224699999999999</v>
      </c>
      <c r="BF177">
        <v>3.05166</v>
      </c>
      <c r="BG177">
        <v>40.7012</v>
      </c>
      <c r="BH177">
        <v>51.900199999999998</v>
      </c>
      <c r="BI177">
        <v>3.9298299999999999</v>
      </c>
      <c r="BJ177">
        <v>32.905299999999997</v>
      </c>
      <c r="BK177">
        <v>0</v>
      </c>
      <c r="BL177">
        <v>29.276199999999999</v>
      </c>
      <c r="BM177">
        <v>60.782899999999998</v>
      </c>
      <c r="BN177">
        <v>8.5358599999999996</v>
      </c>
      <c r="BO177">
        <v>0.911107</v>
      </c>
      <c r="BP177">
        <v>0.49397400000000002</v>
      </c>
      <c r="BQ177">
        <v>35.139800000000001</v>
      </c>
      <c r="BR177">
        <v>45549</v>
      </c>
    </row>
    <row r="178" spans="1:70" x14ac:dyDescent="0.25">
      <c r="A178">
        <v>37</v>
      </c>
      <c r="B178" s="7">
        <v>45959.522557870368</v>
      </c>
      <c r="C178" t="s">
        <v>138</v>
      </c>
      <c r="D178" s="6" t="s">
        <v>270</v>
      </c>
      <c r="E178" s="6" t="str">
        <f>VLOOKUP(F178,Germplasm!$A$1:$B$21,2,FALSE)</f>
        <v>Pernilla</v>
      </c>
      <c r="F178" t="s">
        <v>70</v>
      </c>
      <c r="G178" s="6" t="s">
        <v>113</v>
      </c>
      <c r="H178">
        <v>44280.2</v>
      </c>
      <c r="I178">
        <v>337.11599999999999</v>
      </c>
      <c r="J178">
        <v>163035</v>
      </c>
      <c r="K178">
        <v>15.1905</v>
      </c>
      <c r="L178">
        <v>87.180199999999999</v>
      </c>
      <c r="M178">
        <v>1490.71</v>
      </c>
      <c r="N178">
        <v>509.39</v>
      </c>
      <c r="O178">
        <v>20478600</v>
      </c>
      <c r="P178">
        <v>0.21359500000000001</v>
      </c>
      <c r="Q178">
        <v>0.746749</v>
      </c>
      <c r="R178">
        <v>5.0695199999999998</v>
      </c>
      <c r="S178">
        <v>23.8842</v>
      </c>
      <c r="T178">
        <v>44.214799999999997</v>
      </c>
      <c r="U178">
        <v>25.520399999999999</v>
      </c>
      <c r="V178">
        <v>0.56435299999999999</v>
      </c>
      <c r="W178">
        <v>123.30500000000001</v>
      </c>
      <c r="X178">
        <v>1.12656</v>
      </c>
      <c r="Y178">
        <v>1.9934799999999999</v>
      </c>
      <c r="Z178">
        <v>3.4633699999999998</v>
      </c>
      <c r="AA178">
        <v>12.966200000000001</v>
      </c>
      <c r="AB178">
        <v>33.534999999999997</v>
      </c>
      <c r="AC178">
        <v>46.915399999999998</v>
      </c>
      <c r="AD178">
        <v>1.78796</v>
      </c>
      <c r="AE178">
        <v>6.1447099999999999</v>
      </c>
      <c r="AF178">
        <v>0</v>
      </c>
      <c r="AG178">
        <v>99.900199999999998</v>
      </c>
      <c r="AH178">
        <v>9.8708199999999996E-2</v>
      </c>
      <c r="AI178">
        <v>1.07292E-3</v>
      </c>
      <c r="AJ178">
        <v>0</v>
      </c>
      <c r="AK178">
        <v>0</v>
      </c>
      <c r="AL178">
        <v>0.50263500000000005</v>
      </c>
      <c r="AM178">
        <v>0.87228000000000006</v>
      </c>
      <c r="AN178">
        <v>3.8303099999999999</v>
      </c>
      <c r="AO178">
        <v>7.8161899999999997</v>
      </c>
      <c r="AP178">
        <v>18.285699999999999</v>
      </c>
      <c r="AQ178">
        <v>37.7044</v>
      </c>
      <c r="AR178">
        <v>31.491099999999999</v>
      </c>
      <c r="AS178">
        <v>4.0090200000000003E-3</v>
      </c>
      <c r="AT178">
        <v>9.9137400000000007</v>
      </c>
      <c r="AU178">
        <v>42.26</v>
      </c>
      <c r="AV178">
        <v>36.544600000000003</v>
      </c>
      <c r="AW178">
        <v>8.2635900000000007</v>
      </c>
      <c r="AX178">
        <v>1.5396300000000001</v>
      </c>
      <c r="AY178">
        <v>1.47848</v>
      </c>
      <c r="AZ178">
        <v>462.47800000000001</v>
      </c>
      <c r="BA178">
        <v>486.59899999999999</v>
      </c>
      <c r="BB178">
        <v>24765.8</v>
      </c>
      <c r="BC178">
        <v>-8.8764299999999994E-3</v>
      </c>
      <c r="BD178">
        <v>9.6562400000000007E-2</v>
      </c>
      <c r="BE178">
        <v>0.72314500000000004</v>
      </c>
      <c r="BF178">
        <v>5.0566500000000003</v>
      </c>
      <c r="BG178">
        <v>46.297400000000003</v>
      </c>
      <c r="BH178">
        <v>43.168700000000001</v>
      </c>
      <c r="BI178">
        <v>4.6575300000000004</v>
      </c>
      <c r="BJ178">
        <v>30.157900000000001</v>
      </c>
      <c r="BK178">
        <v>0</v>
      </c>
      <c r="BL178">
        <v>39.196800000000003</v>
      </c>
      <c r="BM178">
        <v>52.817500000000003</v>
      </c>
      <c r="BN178">
        <v>6.2894300000000003</v>
      </c>
      <c r="BO178">
        <v>0.896957</v>
      </c>
      <c r="BP178">
        <v>0.79932199999999998</v>
      </c>
      <c r="BQ178">
        <v>34.043300000000002</v>
      </c>
      <c r="BR178">
        <v>93204</v>
      </c>
    </row>
    <row r="179" spans="1:70" x14ac:dyDescent="0.25">
      <c r="A179">
        <v>37</v>
      </c>
      <c r="B179" s="7">
        <v>45966.555752314816</v>
      </c>
      <c r="C179" t="s">
        <v>138</v>
      </c>
      <c r="D179" s="6" t="s">
        <v>271</v>
      </c>
      <c r="E179" s="6" t="str">
        <f>VLOOKUP(F179,Germplasm!$A$1:$B$21,2,FALSE)</f>
        <v>Pernilla</v>
      </c>
      <c r="F179" t="s">
        <v>70</v>
      </c>
      <c r="G179" s="6" t="s">
        <v>113</v>
      </c>
      <c r="H179">
        <v>50826.6</v>
      </c>
      <c r="I179">
        <v>397.27300000000002</v>
      </c>
      <c r="J179">
        <v>154913</v>
      </c>
      <c r="K179">
        <v>17.8294</v>
      </c>
      <c r="L179">
        <v>86.592399999999998</v>
      </c>
      <c r="M179">
        <v>1444.82</v>
      </c>
      <c r="N179">
        <v>507.05099999999999</v>
      </c>
      <c r="O179">
        <v>26949500</v>
      </c>
      <c r="P179">
        <v>0.19875699999999999</v>
      </c>
      <c r="Q179">
        <v>0.59849799999999997</v>
      </c>
      <c r="R179">
        <v>5.2995299999999999</v>
      </c>
      <c r="S179">
        <v>27.904599999999999</v>
      </c>
      <c r="T179">
        <v>45.213900000000002</v>
      </c>
      <c r="U179">
        <v>20.471</v>
      </c>
      <c r="V179">
        <v>0.51246899999999995</v>
      </c>
      <c r="W179">
        <v>106.05500000000001</v>
      </c>
      <c r="X179">
        <v>1.7140899999999999</v>
      </c>
      <c r="Y179">
        <v>7.40306</v>
      </c>
      <c r="Z179">
        <v>10.072699999999999</v>
      </c>
      <c r="AA179">
        <v>20.8355</v>
      </c>
      <c r="AB179">
        <v>28.210799999999999</v>
      </c>
      <c r="AC179">
        <v>31.7639</v>
      </c>
      <c r="AD179">
        <v>1.8402000000000001</v>
      </c>
      <c r="AE179">
        <v>6.5565800000000003</v>
      </c>
      <c r="AF179">
        <v>0</v>
      </c>
      <c r="AG179">
        <v>99.949100000000001</v>
      </c>
      <c r="AH179">
        <v>5.0876900000000003E-2</v>
      </c>
      <c r="AI179">
        <v>0</v>
      </c>
      <c r="AJ179">
        <v>0</v>
      </c>
      <c r="AK179">
        <v>0</v>
      </c>
      <c r="AL179">
        <v>0.44262099999999999</v>
      </c>
      <c r="AM179">
        <v>1.0055099999999999</v>
      </c>
      <c r="AN179">
        <v>6.3716400000000002</v>
      </c>
      <c r="AO179">
        <v>13.856999999999999</v>
      </c>
      <c r="AP179">
        <v>23.6828</v>
      </c>
      <c r="AQ179">
        <v>36.649900000000002</v>
      </c>
      <c r="AR179">
        <v>18.433199999999999</v>
      </c>
      <c r="AS179">
        <v>0.109266</v>
      </c>
      <c r="AT179">
        <v>4.7139800000000003</v>
      </c>
      <c r="AU179">
        <v>30.3569</v>
      </c>
      <c r="AV179">
        <v>35.509300000000003</v>
      </c>
      <c r="AW179">
        <v>16.950299999999999</v>
      </c>
      <c r="AX179">
        <v>9.6000099999999993</v>
      </c>
      <c r="AY179">
        <v>2.8694600000000001</v>
      </c>
      <c r="AZ179">
        <v>530.22500000000002</v>
      </c>
      <c r="BA179">
        <v>614.99900000000002</v>
      </c>
      <c r="BB179">
        <v>27620.1</v>
      </c>
      <c r="BC179">
        <v>6.8505099999999999E-2</v>
      </c>
      <c r="BD179">
        <v>4.81018E-2</v>
      </c>
      <c r="BE179">
        <v>0.33763799999999999</v>
      </c>
      <c r="BF179">
        <v>2.90646</v>
      </c>
      <c r="BG179">
        <v>31.778700000000001</v>
      </c>
      <c r="BH179">
        <v>46.822499999999998</v>
      </c>
      <c r="BI179">
        <v>18.1066</v>
      </c>
      <c r="BJ179">
        <v>32.039000000000001</v>
      </c>
      <c r="BK179">
        <v>0</v>
      </c>
      <c r="BL179">
        <v>36.518500000000003</v>
      </c>
      <c r="BM179">
        <v>50.962000000000003</v>
      </c>
      <c r="BN179">
        <v>10.701700000000001</v>
      </c>
      <c r="BO179">
        <v>1.1405700000000001</v>
      </c>
      <c r="BP179">
        <v>0.67712600000000001</v>
      </c>
      <c r="BQ179">
        <v>32.954099999999997</v>
      </c>
      <c r="BR179">
        <v>108104</v>
      </c>
    </row>
    <row r="180" spans="1:70" x14ac:dyDescent="0.25">
      <c r="A180">
        <v>37</v>
      </c>
      <c r="B180" s="7">
        <v>45973.555115740739</v>
      </c>
      <c r="C180" t="s">
        <v>138</v>
      </c>
      <c r="D180" s="6" t="s">
        <v>272</v>
      </c>
      <c r="E180" s="6" t="str">
        <f>VLOOKUP(F180,Germplasm!$A$1:$B$21,2,FALSE)</f>
        <v>Pernilla</v>
      </c>
      <c r="F180" t="s">
        <v>70</v>
      </c>
      <c r="G180" s="6" t="s">
        <v>113</v>
      </c>
      <c r="H180">
        <v>61321.9</v>
      </c>
      <c r="I180">
        <v>430.59100000000001</v>
      </c>
      <c r="J180">
        <v>226223</v>
      </c>
      <c r="K180">
        <v>15.206799999999999</v>
      </c>
      <c r="L180">
        <v>87.452100000000002</v>
      </c>
      <c r="M180">
        <v>1777.26</v>
      </c>
      <c r="N180">
        <v>609.00699999999995</v>
      </c>
      <c r="O180">
        <v>34903200</v>
      </c>
      <c r="P180">
        <v>0.19372800000000001</v>
      </c>
      <c r="Q180">
        <v>0.76844100000000004</v>
      </c>
      <c r="R180">
        <v>7.4911799999999999</v>
      </c>
      <c r="S180">
        <v>27.571000000000002</v>
      </c>
      <c r="T180">
        <v>42.487499999999997</v>
      </c>
      <c r="U180">
        <v>20.992799999999999</v>
      </c>
      <c r="V180">
        <v>0.68905099999999997</v>
      </c>
      <c r="W180">
        <v>102.152</v>
      </c>
      <c r="X180">
        <v>3.2160700000000002</v>
      </c>
      <c r="Y180">
        <v>7.6724300000000003</v>
      </c>
      <c r="Z180">
        <v>7.92408</v>
      </c>
      <c r="AA180">
        <v>24.145199999999999</v>
      </c>
      <c r="AB180">
        <v>30.898700000000002</v>
      </c>
      <c r="AC180">
        <v>26.1435</v>
      </c>
      <c r="AD180">
        <v>1.7825500000000001</v>
      </c>
      <c r="AE180">
        <v>7.43058</v>
      </c>
      <c r="AF180">
        <v>0</v>
      </c>
      <c r="AG180">
        <v>99.734899999999996</v>
      </c>
      <c r="AH180">
        <v>0.25989200000000001</v>
      </c>
      <c r="AI180">
        <v>5.2427799999999998E-3</v>
      </c>
      <c r="AJ180">
        <v>0</v>
      </c>
      <c r="AK180">
        <v>0</v>
      </c>
      <c r="AL180">
        <v>0.42608800000000002</v>
      </c>
      <c r="AM180">
        <v>1.32043</v>
      </c>
      <c r="AN180">
        <v>8.0012299999999996</v>
      </c>
      <c r="AO180">
        <v>16.3627</v>
      </c>
      <c r="AP180">
        <v>21.514099999999999</v>
      </c>
      <c r="AQ180">
        <v>36.566899999999997</v>
      </c>
      <c r="AR180">
        <v>16.2346</v>
      </c>
      <c r="AS180">
        <v>0.119938</v>
      </c>
      <c r="AT180">
        <v>3.0160999999999998</v>
      </c>
      <c r="AU180">
        <v>26.003399999999999</v>
      </c>
      <c r="AV180">
        <v>41.019500000000001</v>
      </c>
      <c r="AW180">
        <v>20.608599999999999</v>
      </c>
      <c r="AX180">
        <v>7.0815000000000001</v>
      </c>
      <c r="AY180">
        <v>2.2708699999999999</v>
      </c>
      <c r="AZ180">
        <v>569.17899999999997</v>
      </c>
      <c r="BA180">
        <v>613.20000000000005</v>
      </c>
      <c r="BB180">
        <v>34401.199999999997</v>
      </c>
      <c r="BC180">
        <v>7.5893799999999997E-2</v>
      </c>
      <c r="BD180">
        <v>5.1678799999999997E-2</v>
      </c>
      <c r="BE180">
        <v>0.37298599999999998</v>
      </c>
      <c r="BF180">
        <v>2.23942</v>
      </c>
      <c r="BG180">
        <v>26.354700000000001</v>
      </c>
      <c r="BH180">
        <v>53.755699999999997</v>
      </c>
      <c r="BI180">
        <v>17.2255</v>
      </c>
      <c r="BJ180">
        <v>31.273099999999999</v>
      </c>
      <c r="BK180">
        <v>0</v>
      </c>
      <c r="BL180">
        <v>36.679200000000002</v>
      </c>
      <c r="BM180">
        <v>53.122799999999998</v>
      </c>
      <c r="BN180">
        <v>8.2978199999999998</v>
      </c>
      <c r="BO180">
        <v>1.22756</v>
      </c>
      <c r="BP180">
        <v>0.67257400000000001</v>
      </c>
      <c r="BQ180">
        <v>34.168300000000002</v>
      </c>
      <c r="BR180">
        <v>133517</v>
      </c>
    </row>
    <row r="181" spans="1:70" x14ac:dyDescent="0.25">
      <c r="A181">
        <v>37</v>
      </c>
      <c r="B181" s="7">
        <v>45988.540462962963</v>
      </c>
      <c r="C181" t="s">
        <v>138</v>
      </c>
      <c r="D181" s="6" t="s">
        <v>273</v>
      </c>
      <c r="E181" s="6" t="str">
        <f>VLOOKUP(F181,Germplasm!$A$1:$B$21,2,FALSE)</f>
        <v>Pernilla</v>
      </c>
      <c r="F181" t="s">
        <v>70</v>
      </c>
      <c r="G181" s="6" t="s">
        <v>113</v>
      </c>
      <c r="H181">
        <v>43640</v>
      </c>
      <c r="I181">
        <v>415.24400000000003</v>
      </c>
      <c r="J181">
        <v>163934</v>
      </c>
      <c r="K181">
        <v>14.916499999999999</v>
      </c>
      <c r="L181">
        <v>67.796499999999995</v>
      </c>
      <c r="M181">
        <v>1526.26</v>
      </c>
      <c r="N181">
        <v>560.64599999999996</v>
      </c>
      <c r="O181">
        <v>25049800</v>
      </c>
      <c r="P181">
        <v>0.15859000000000001</v>
      </c>
      <c r="Q181">
        <v>1.0079499999999999</v>
      </c>
      <c r="R181">
        <v>10.6264</v>
      </c>
      <c r="S181">
        <v>33.354399999999998</v>
      </c>
      <c r="T181">
        <v>41.357999999999997</v>
      </c>
      <c r="U181">
        <v>13.1912</v>
      </c>
      <c r="V181">
        <v>0.46210600000000002</v>
      </c>
      <c r="W181">
        <v>81.338099999999997</v>
      </c>
      <c r="X181">
        <v>5.4604999999999997</v>
      </c>
      <c r="Y181">
        <v>16.531400000000001</v>
      </c>
      <c r="Z181">
        <v>14.7957</v>
      </c>
      <c r="AA181">
        <v>30.3202</v>
      </c>
      <c r="AB181">
        <v>19.4405</v>
      </c>
      <c r="AC181">
        <v>13.451700000000001</v>
      </c>
      <c r="AD181">
        <v>1.78464</v>
      </c>
      <c r="AE181">
        <v>8.9050899999999995</v>
      </c>
      <c r="AF181">
        <v>0</v>
      </c>
      <c r="AG181">
        <v>98.396600000000007</v>
      </c>
      <c r="AH181">
        <v>1.59721</v>
      </c>
      <c r="AI181">
        <v>6.2027699999999998E-3</v>
      </c>
      <c r="AJ181">
        <v>0</v>
      </c>
      <c r="AK181">
        <v>0</v>
      </c>
      <c r="AL181">
        <v>0.33166899999999999</v>
      </c>
      <c r="AM181">
        <v>3.75888</v>
      </c>
      <c r="AN181">
        <v>17.721299999999999</v>
      </c>
      <c r="AO181">
        <v>20.576699999999999</v>
      </c>
      <c r="AP181">
        <v>26.3597</v>
      </c>
      <c r="AQ181">
        <v>25.5916</v>
      </c>
      <c r="AR181">
        <v>5.9918699999999996</v>
      </c>
      <c r="AS181">
        <v>0.20485800000000001</v>
      </c>
      <c r="AT181">
        <v>1.4535199999999999</v>
      </c>
      <c r="AU181">
        <v>12.4779</v>
      </c>
      <c r="AV181">
        <v>36.2438</v>
      </c>
      <c r="AW181">
        <v>35.252400000000002</v>
      </c>
      <c r="AX181">
        <v>11.7729</v>
      </c>
      <c r="AY181">
        <v>2.7995199999999998</v>
      </c>
      <c r="AZ181">
        <v>574.00900000000001</v>
      </c>
      <c r="BA181">
        <v>614.99900000000002</v>
      </c>
      <c r="BB181">
        <v>24453.200000000001</v>
      </c>
      <c r="BC181">
        <v>0.169266</v>
      </c>
      <c r="BD181">
        <v>9.4075300000000001E-2</v>
      </c>
      <c r="BE181">
        <v>0.33805099999999999</v>
      </c>
      <c r="BF181">
        <v>1.14751</v>
      </c>
      <c r="BG181">
        <v>12.351800000000001</v>
      </c>
      <c r="BH181">
        <v>48.572800000000001</v>
      </c>
      <c r="BI181">
        <v>37.495699999999999</v>
      </c>
      <c r="BJ181">
        <v>32.744599999999998</v>
      </c>
      <c r="BK181">
        <v>0</v>
      </c>
      <c r="BL181">
        <v>31.970099999999999</v>
      </c>
      <c r="BM181">
        <v>57.096499999999999</v>
      </c>
      <c r="BN181">
        <v>8.7769200000000005</v>
      </c>
      <c r="BO181">
        <v>1.1702600000000001</v>
      </c>
      <c r="BP181">
        <v>0.98624000000000001</v>
      </c>
      <c r="BQ181">
        <v>34.1158</v>
      </c>
      <c r="BR181">
        <v>96731</v>
      </c>
    </row>
    <row r="182" spans="1:70" x14ac:dyDescent="0.25">
      <c r="A182">
        <v>37</v>
      </c>
      <c r="B182" s="7">
        <v>45994.550462962965</v>
      </c>
      <c r="C182" t="s">
        <v>138</v>
      </c>
      <c r="D182" s="6" t="s">
        <v>274</v>
      </c>
      <c r="E182" s="6" t="str">
        <f>VLOOKUP(F182,Germplasm!$A$1:$B$21,2,FALSE)</f>
        <v>Pernilla</v>
      </c>
      <c r="F182" t="s">
        <v>70</v>
      </c>
      <c r="G182" s="6" t="s">
        <v>113</v>
      </c>
      <c r="H182">
        <v>40063.300000000003</v>
      </c>
      <c r="I182">
        <v>408.23700000000002</v>
      </c>
      <c r="J182">
        <v>139259</v>
      </c>
      <c r="K182">
        <v>15.7196</v>
      </c>
      <c r="L182">
        <v>69.558400000000006</v>
      </c>
      <c r="M182">
        <v>1427.52</v>
      </c>
      <c r="N182">
        <v>534.11400000000003</v>
      </c>
      <c r="O182">
        <v>22770600</v>
      </c>
      <c r="P182">
        <v>9.0519100000000005E-2</v>
      </c>
      <c r="Q182">
        <v>1.1944399999999999</v>
      </c>
      <c r="R182">
        <v>19.697600000000001</v>
      </c>
      <c r="S182">
        <v>50.001100000000001</v>
      </c>
      <c r="T182">
        <v>22.965699999999998</v>
      </c>
      <c r="U182">
        <v>5.86076</v>
      </c>
      <c r="V182">
        <v>0.28031699999999998</v>
      </c>
      <c r="W182">
        <v>56.900300000000001</v>
      </c>
      <c r="X182">
        <v>9.7075200000000006</v>
      </c>
      <c r="Y182">
        <v>40.981400000000001</v>
      </c>
      <c r="Z182">
        <v>14.412100000000001</v>
      </c>
      <c r="AA182">
        <v>16.361999999999998</v>
      </c>
      <c r="AB182">
        <v>9.5589200000000005</v>
      </c>
      <c r="AC182">
        <v>8.9780200000000008</v>
      </c>
      <c r="AD182">
        <v>1.83013</v>
      </c>
      <c r="AE182">
        <v>11.3569</v>
      </c>
      <c r="AF182">
        <v>0</v>
      </c>
      <c r="AG182">
        <v>96.3142</v>
      </c>
      <c r="AH182">
        <v>3.6711399999999998</v>
      </c>
      <c r="AI182">
        <v>1.4635E-2</v>
      </c>
      <c r="AJ182">
        <v>0</v>
      </c>
      <c r="AK182">
        <v>0</v>
      </c>
      <c r="AL182">
        <v>0.21463699999999999</v>
      </c>
      <c r="AM182">
        <v>7.0124300000000002</v>
      </c>
      <c r="AN182">
        <v>36.870100000000001</v>
      </c>
      <c r="AO182">
        <v>26.927299999999999</v>
      </c>
      <c r="AP182">
        <v>16.404699999999998</v>
      </c>
      <c r="AQ182">
        <v>10.494400000000001</v>
      </c>
      <c r="AR182">
        <v>2.29094</v>
      </c>
      <c r="AS182">
        <v>0.28326699999999999</v>
      </c>
      <c r="AT182">
        <v>0.77790800000000004</v>
      </c>
      <c r="AU182">
        <v>7.3479099999999997</v>
      </c>
      <c r="AV182">
        <v>24.723099999999999</v>
      </c>
      <c r="AW182">
        <v>38.803100000000001</v>
      </c>
      <c r="AX182">
        <v>24.395499999999998</v>
      </c>
      <c r="AY182">
        <v>3.9525800000000002</v>
      </c>
      <c r="AZ182">
        <v>568.36500000000001</v>
      </c>
      <c r="BA182">
        <v>610.79899999999998</v>
      </c>
      <c r="BB182">
        <v>21890.9</v>
      </c>
      <c r="BC182">
        <v>0.28797099999999998</v>
      </c>
      <c r="BD182">
        <v>6.9797799999999993E-2</v>
      </c>
      <c r="BE182">
        <v>0.21277099999999999</v>
      </c>
      <c r="BF182">
        <v>0.64281500000000003</v>
      </c>
      <c r="BG182">
        <v>7.1981799999999998</v>
      </c>
      <c r="BH182">
        <v>28.042999999999999</v>
      </c>
      <c r="BI182">
        <v>63.833500000000001</v>
      </c>
      <c r="BJ182">
        <v>34.531999999999996</v>
      </c>
      <c r="BK182">
        <v>0</v>
      </c>
      <c r="BL182">
        <v>28.067699999999999</v>
      </c>
      <c r="BM182">
        <v>58.2575</v>
      </c>
      <c r="BN182">
        <v>11.6731</v>
      </c>
      <c r="BO182">
        <v>1.1910700000000001</v>
      </c>
      <c r="BP182">
        <v>0.81055500000000003</v>
      </c>
      <c r="BQ182">
        <v>33.151699999999998</v>
      </c>
      <c r="BR182">
        <v>88828</v>
      </c>
    </row>
    <row r="183" spans="1:70" x14ac:dyDescent="0.25">
      <c r="A183">
        <v>37</v>
      </c>
      <c r="B183" s="7">
        <v>46002.568692129629</v>
      </c>
      <c r="C183" t="s">
        <v>138</v>
      </c>
      <c r="D183" s="6" t="s">
        <v>275</v>
      </c>
      <c r="E183" s="6" t="str">
        <f>VLOOKUP(F183,Germplasm!$A$1:$B$21,2,FALSE)</f>
        <v>Pernilla</v>
      </c>
      <c r="F183" t="s">
        <v>70</v>
      </c>
      <c r="G183" s="6" t="s">
        <v>113</v>
      </c>
      <c r="H183">
        <v>30397.599999999999</v>
      </c>
      <c r="I183">
        <v>404.428</v>
      </c>
      <c r="J183">
        <v>81549.399999999994</v>
      </c>
      <c r="K183">
        <v>20.468</v>
      </c>
      <c r="L183">
        <v>76.273300000000006</v>
      </c>
      <c r="M183">
        <v>1060.72</v>
      </c>
      <c r="N183">
        <v>390.32400000000001</v>
      </c>
      <c r="O183">
        <v>16540600</v>
      </c>
      <c r="P183">
        <v>3.07067E-2</v>
      </c>
      <c r="Q183">
        <v>1.88523</v>
      </c>
      <c r="R183">
        <v>34.046999999999997</v>
      </c>
      <c r="S183">
        <v>53.6432</v>
      </c>
      <c r="T183">
        <v>8.3897499999999994</v>
      </c>
      <c r="U183">
        <v>1.7750300000000001</v>
      </c>
      <c r="V183">
        <v>0.25976100000000002</v>
      </c>
      <c r="W183">
        <v>40.514800000000001</v>
      </c>
      <c r="X183">
        <v>18.041599999999999</v>
      </c>
      <c r="Y183">
        <v>50.055100000000003</v>
      </c>
      <c r="Z183">
        <v>13.2006</v>
      </c>
      <c r="AA183">
        <v>7.6367000000000003</v>
      </c>
      <c r="AB183">
        <v>2.84294</v>
      </c>
      <c r="AC183">
        <v>8.2231299999999994</v>
      </c>
      <c r="AD183">
        <v>1.82114</v>
      </c>
      <c r="AE183">
        <v>12.205</v>
      </c>
      <c r="AF183">
        <v>0</v>
      </c>
      <c r="AG183">
        <v>95.584100000000007</v>
      </c>
      <c r="AH183">
        <v>4.3818200000000003</v>
      </c>
      <c r="AI183">
        <v>3.2798099999999997E-2</v>
      </c>
      <c r="AJ183">
        <v>1.3119200000000001E-3</v>
      </c>
      <c r="AK183">
        <v>0</v>
      </c>
      <c r="AL183">
        <v>0.15482199999999999</v>
      </c>
      <c r="AM183">
        <v>9.6714900000000004</v>
      </c>
      <c r="AN183">
        <v>46.972099999999998</v>
      </c>
      <c r="AO183">
        <v>29.9801</v>
      </c>
      <c r="AP183">
        <v>8.7478999999999996</v>
      </c>
      <c r="AQ183">
        <v>3.06596</v>
      </c>
      <c r="AR183">
        <v>1.5625</v>
      </c>
      <c r="AS183">
        <v>0.29009099999999999</v>
      </c>
      <c r="AT183">
        <v>0.86849299999999996</v>
      </c>
      <c r="AU183">
        <v>4.6927500000000002</v>
      </c>
      <c r="AV183">
        <v>22.246300000000002</v>
      </c>
      <c r="AW183">
        <v>49.304699999999997</v>
      </c>
      <c r="AX183">
        <v>18.839200000000002</v>
      </c>
      <c r="AY183">
        <v>4.0485899999999999</v>
      </c>
      <c r="AZ183">
        <v>544.14200000000005</v>
      </c>
      <c r="BA183">
        <v>575.399</v>
      </c>
      <c r="BB183">
        <v>16691.5</v>
      </c>
      <c r="BC183">
        <v>0.31881900000000002</v>
      </c>
      <c r="BD183">
        <v>6.1660399999999997E-2</v>
      </c>
      <c r="BE183">
        <v>0.26763199999999998</v>
      </c>
      <c r="BF183">
        <v>0.86193299999999995</v>
      </c>
      <c r="BG183">
        <v>4.3686999999999996</v>
      </c>
      <c r="BH183">
        <v>18.159600000000001</v>
      </c>
      <c r="BI183">
        <v>76.2804</v>
      </c>
      <c r="BJ183">
        <v>32.064</v>
      </c>
      <c r="BK183">
        <v>0</v>
      </c>
      <c r="BL183">
        <v>33.044699999999999</v>
      </c>
      <c r="BM183">
        <v>57.795400000000001</v>
      </c>
      <c r="BN183">
        <v>6.7996999999999996</v>
      </c>
      <c r="BO183">
        <v>1.3460300000000001</v>
      </c>
      <c r="BP183">
        <v>1.0141199999999999</v>
      </c>
      <c r="BQ183">
        <v>33.328099999999999</v>
      </c>
      <c r="BR183">
        <v>76224</v>
      </c>
    </row>
    <row r="184" spans="1:70" x14ac:dyDescent="0.25">
      <c r="A184">
        <v>37</v>
      </c>
      <c r="B184" s="7">
        <v>46013.605694444443</v>
      </c>
      <c r="C184" t="s">
        <v>138</v>
      </c>
      <c r="D184" s="6" t="s">
        <v>276</v>
      </c>
      <c r="E184" s="6" t="str">
        <f>VLOOKUP(F184,Germplasm!$A$1:$B$21,2,FALSE)</f>
        <v>Pernilla</v>
      </c>
      <c r="F184" t="s">
        <v>70</v>
      </c>
      <c r="G184" s="6" t="s">
        <v>113</v>
      </c>
      <c r="H184">
        <v>35074.800000000003</v>
      </c>
      <c r="I184">
        <v>356.79500000000002</v>
      </c>
      <c r="J184">
        <v>131229</v>
      </c>
      <c r="K184">
        <v>14.145799999999999</v>
      </c>
      <c r="L184">
        <v>78.686300000000003</v>
      </c>
      <c r="M184">
        <v>1349</v>
      </c>
      <c r="N184">
        <v>491.40899999999999</v>
      </c>
      <c r="O184">
        <v>15545900</v>
      </c>
      <c r="P184">
        <v>1.7567100000000001E-3</v>
      </c>
      <c r="Q184">
        <v>1.78078</v>
      </c>
      <c r="R184">
        <v>42.057099999999998</v>
      </c>
      <c r="S184">
        <v>53.986199999999997</v>
      </c>
      <c r="T184">
        <v>1.8488199999999999</v>
      </c>
      <c r="U184">
        <v>0.28393099999999999</v>
      </c>
      <c r="V184">
        <v>4.3178500000000002E-2</v>
      </c>
      <c r="W184">
        <v>33.9925</v>
      </c>
      <c r="X184">
        <v>23.299399999999999</v>
      </c>
      <c r="Y184">
        <v>54.958300000000001</v>
      </c>
      <c r="Z184">
        <v>9.4809400000000004</v>
      </c>
      <c r="AA184">
        <v>3.0866099999999999</v>
      </c>
      <c r="AB184">
        <v>1.13049</v>
      </c>
      <c r="AC184">
        <v>8.0442800000000005</v>
      </c>
      <c r="AD184">
        <v>1.88947</v>
      </c>
      <c r="AE184">
        <v>15.8916</v>
      </c>
      <c r="AF184">
        <v>0</v>
      </c>
      <c r="AG184">
        <v>88.216200000000001</v>
      </c>
      <c r="AH184">
        <v>11.758900000000001</v>
      </c>
      <c r="AI184">
        <v>2.4860299999999998E-2</v>
      </c>
      <c r="AJ184">
        <v>0</v>
      </c>
      <c r="AK184">
        <v>0</v>
      </c>
      <c r="AL184">
        <v>9.6004900000000004E-2</v>
      </c>
      <c r="AM184">
        <v>16.946899999999999</v>
      </c>
      <c r="AN184">
        <v>56.956299999999999</v>
      </c>
      <c r="AO184">
        <v>20.740100000000002</v>
      </c>
      <c r="AP184">
        <v>3.7198899999999999</v>
      </c>
      <c r="AQ184">
        <v>1.17367</v>
      </c>
      <c r="AR184">
        <v>0.46318700000000002</v>
      </c>
      <c r="AS184">
        <v>0.27075399999999999</v>
      </c>
      <c r="AT184">
        <v>0.87927</v>
      </c>
      <c r="AU184">
        <v>4.05877</v>
      </c>
      <c r="AV184">
        <v>28.857600000000001</v>
      </c>
      <c r="AW184">
        <v>48.039299999999997</v>
      </c>
      <c r="AX184">
        <v>14.374499999999999</v>
      </c>
      <c r="AY184">
        <v>3.7905500000000001</v>
      </c>
      <c r="AZ184">
        <v>443.221</v>
      </c>
      <c r="BA184">
        <v>473.399</v>
      </c>
      <c r="BB184">
        <v>18563.3</v>
      </c>
      <c r="BC184">
        <v>0.32608900000000002</v>
      </c>
      <c r="BD184">
        <v>0.17402200000000001</v>
      </c>
      <c r="BE184">
        <v>0.528609</v>
      </c>
      <c r="BF184">
        <v>0.92375700000000005</v>
      </c>
      <c r="BG184">
        <v>3.3116599999999998</v>
      </c>
      <c r="BH184">
        <v>15.3964</v>
      </c>
      <c r="BI184">
        <v>79.665599999999998</v>
      </c>
      <c r="BJ184">
        <v>29.0017</v>
      </c>
      <c r="BK184">
        <v>0</v>
      </c>
      <c r="BL184">
        <v>43.3551</v>
      </c>
      <c r="BM184">
        <v>49.351700000000001</v>
      </c>
      <c r="BN184">
        <v>5.0780500000000002</v>
      </c>
      <c r="BO184">
        <v>1.2718</v>
      </c>
      <c r="BP184">
        <v>0.943384</v>
      </c>
      <c r="BQ184">
        <v>31.979800000000001</v>
      </c>
      <c r="BR184">
        <v>76427</v>
      </c>
    </row>
    <row r="185" spans="1:70" x14ac:dyDescent="0.25">
      <c r="A185">
        <v>37</v>
      </c>
      <c r="B185" s="7">
        <v>46024.531608796293</v>
      </c>
      <c r="C185" t="s">
        <v>138</v>
      </c>
      <c r="D185" s="6" t="s">
        <v>277</v>
      </c>
      <c r="E185" s="6" t="str">
        <f>VLOOKUP(F185,Germplasm!$A$1:$B$21,2,FALSE)</f>
        <v>Pernilla</v>
      </c>
      <c r="F185" t="s">
        <v>70</v>
      </c>
      <c r="G185" s="6" t="s">
        <v>113</v>
      </c>
      <c r="H185">
        <v>37596.6</v>
      </c>
      <c r="I185">
        <v>298.334</v>
      </c>
      <c r="J185">
        <v>140811</v>
      </c>
      <c r="K185">
        <v>14.234299999999999</v>
      </c>
      <c r="L185">
        <v>43.976399999999998</v>
      </c>
      <c r="M185">
        <v>1574.87</v>
      </c>
      <c r="N185">
        <v>651.92100000000005</v>
      </c>
      <c r="O185">
        <v>14415000</v>
      </c>
      <c r="P185">
        <v>2.9948900000000001E-3</v>
      </c>
      <c r="Q185">
        <v>1.40174</v>
      </c>
      <c r="R185">
        <v>41.706499999999998</v>
      </c>
      <c r="S185">
        <v>55.163400000000003</v>
      </c>
      <c r="T185">
        <v>1.5084900000000001</v>
      </c>
      <c r="U185">
        <v>0.183001</v>
      </c>
      <c r="V185">
        <v>3.6854400000000002E-2</v>
      </c>
      <c r="W185">
        <v>33.860399999999998</v>
      </c>
      <c r="X185">
        <v>22.183800000000002</v>
      </c>
      <c r="Y185">
        <v>57.580599999999997</v>
      </c>
      <c r="Z185">
        <v>8.0939899999999998</v>
      </c>
      <c r="AA185">
        <v>2.6052300000000002</v>
      </c>
      <c r="AB185">
        <v>1.1056299999999999</v>
      </c>
      <c r="AC185">
        <v>8.4307599999999994</v>
      </c>
      <c r="AD185">
        <v>1.8757600000000001</v>
      </c>
      <c r="AE185">
        <v>18.160399999999999</v>
      </c>
      <c r="AF185">
        <v>0</v>
      </c>
      <c r="AG185">
        <v>79.578800000000001</v>
      </c>
      <c r="AH185">
        <v>20.030999999999999</v>
      </c>
      <c r="AI185">
        <v>0.39014799999999999</v>
      </c>
      <c r="AJ185">
        <v>0</v>
      </c>
      <c r="AK185">
        <v>0</v>
      </c>
      <c r="AL185">
        <v>8.9443599999999998E-2</v>
      </c>
      <c r="AM185">
        <v>17.8401</v>
      </c>
      <c r="AN185">
        <v>58.867899999999999</v>
      </c>
      <c r="AO185">
        <v>18.396699999999999</v>
      </c>
      <c r="AP185">
        <v>3.3601100000000002</v>
      </c>
      <c r="AQ185">
        <v>1.13995</v>
      </c>
      <c r="AR185">
        <v>0.39523200000000003</v>
      </c>
      <c r="AS185">
        <v>0.25676900000000002</v>
      </c>
      <c r="AT185">
        <v>0.979819</v>
      </c>
      <c r="AU185">
        <v>4.5902799999999999</v>
      </c>
      <c r="AV185">
        <v>31.327500000000001</v>
      </c>
      <c r="AW185">
        <v>47.343899999999998</v>
      </c>
      <c r="AX185">
        <v>12.6983</v>
      </c>
      <c r="AY185">
        <v>3.06019</v>
      </c>
      <c r="AZ185">
        <v>383.41199999999998</v>
      </c>
      <c r="BA185">
        <v>423.07499999999999</v>
      </c>
      <c r="BB185">
        <v>20043.400000000001</v>
      </c>
      <c r="BC185">
        <v>0.317158</v>
      </c>
      <c r="BD185">
        <v>0.16266800000000001</v>
      </c>
      <c r="BE185">
        <v>0.65575399999999995</v>
      </c>
      <c r="BF185">
        <v>1.0001500000000001</v>
      </c>
      <c r="BG185">
        <v>3.7515200000000002</v>
      </c>
      <c r="BH185">
        <v>15.2209</v>
      </c>
      <c r="BI185">
        <v>79.209000000000003</v>
      </c>
      <c r="BJ185">
        <v>27.6496</v>
      </c>
      <c r="BK185">
        <v>0</v>
      </c>
      <c r="BL185">
        <v>46.6691</v>
      </c>
      <c r="BM185">
        <v>47.441800000000001</v>
      </c>
      <c r="BN185">
        <v>4.2128399999999999</v>
      </c>
      <c r="BO185">
        <v>1.04972</v>
      </c>
      <c r="BP185">
        <v>0.626525</v>
      </c>
      <c r="BQ185">
        <v>32.244199999999999</v>
      </c>
      <c r="BR185">
        <v>78688</v>
      </c>
    </row>
    <row r="186" spans="1:70" x14ac:dyDescent="0.25">
      <c r="A186">
        <v>37</v>
      </c>
      <c r="B186" s="7">
        <v>45952.559699074074</v>
      </c>
      <c r="C186" t="s">
        <v>139</v>
      </c>
      <c r="D186" s="6" t="s">
        <v>267</v>
      </c>
      <c r="E186" s="6" t="str">
        <f>VLOOKUP(F186,Germplasm!$A$1:$B$21,2,FALSE)</f>
        <v>Rodhette</v>
      </c>
      <c r="F186" t="s">
        <v>80</v>
      </c>
      <c r="G186" s="6" t="s">
        <v>113</v>
      </c>
      <c r="H186">
        <v>29108.6</v>
      </c>
      <c r="I186">
        <v>205.69900000000001</v>
      </c>
      <c r="J186">
        <v>77948.2</v>
      </c>
      <c r="K186">
        <v>20.0655</v>
      </c>
      <c r="L186">
        <v>70.332599999999999</v>
      </c>
      <c r="M186">
        <v>1072.96</v>
      </c>
      <c r="N186">
        <v>406.89600000000002</v>
      </c>
      <c r="O186">
        <v>6972370</v>
      </c>
      <c r="P186">
        <v>0.28466599999999997</v>
      </c>
      <c r="Q186">
        <v>0.48014499999999999</v>
      </c>
      <c r="R186">
        <v>2.3818899999999998</v>
      </c>
      <c r="S186">
        <v>11.081</v>
      </c>
      <c r="T186">
        <v>38.070799999999998</v>
      </c>
      <c r="U186">
        <v>47.216099999999997</v>
      </c>
      <c r="V186">
        <v>0.77011399999999997</v>
      </c>
      <c r="W186">
        <v>112.251</v>
      </c>
      <c r="X186">
        <v>0.66090499999999996</v>
      </c>
      <c r="Y186">
        <v>1.52705</v>
      </c>
      <c r="Z186">
        <v>3.2781600000000002</v>
      </c>
      <c r="AA186">
        <v>20.584099999999999</v>
      </c>
      <c r="AB186">
        <v>47.483499999999999</v>
      </c>
      <c r="AC186">
        <v>26.4663</v>
      </c>
      <c r="AD186">
        <v>1.8610899999999999</v>
      </c>
      <c r="AE186">
        <v>6.6314000000000002</v>
      </c>
      <c r="AF186">
        <v>0</v>
      </c>
      <c r="AG186">
        <v>99.990600000000001</v>
      </c>
      <c r="AH186">
        <v>9.4146000000000004E-3</v>
      </c>
      <c r="AI186">
        <v>0</v>
      </c>
      <c r="AJ186">
        <v>0</v>
      </c>
      <c r="AK186">
        <v>0</v>
      </c>
      <c r="AL186">
        <v>0.57082999999999995</v>
      </c>
      <c r="AM186">
        <v>0.25796000000000002</v>
      </c>
      <c r="AN186">
        <v>1.18059</v>
      </c>
      <c r="AO186">
        <v>2.58148</v>
      </c>
      <c r="AP186">
        <v>9.3449299999999997</v>
      </c>
      <c r="AQ186">
        <v>40.3962</v>
      </c>
      <c r="AR186">
        <v>46.238900000000001</v>
      </c>
      <c r="AS186">
        <v>7.9375899999999999E-2</v>
      </c>
      <c r="AT186">
        <v>5.5734399999999997</v>
      </c>
      <c r="AU186">
        <v>27.3325</v>
      </c>
      <c r="AV186">
        <v>44.826700000000002</v>
      </c>
      <c r="AW186">
        <v>17.0611</v>
      </c>
      <c r="AX186">
        <v>3.4645700000000001</v>
      </c>
      <c r="AY186">
        <v>1.7417</v>
      </c>
      <c r="AZ186">
        <v>239.529</v>
      </c>
      <c r="BA186">
        <v>269.99900000000002</v>
      </c>
      <c r="BB186">
        <v>15640.7</v>
      </c>
      <c r="BC186">
        <v>3.1263600000000002E-2</v>
      </c>
      <c r="BD186">
        <v>2.4478E-2</v>
      </c>
      <c r="BE186">
        <v>0.207121</v>
      </c>
      <c r="BF186">
        <v>1.7322900000000001</v>
      </c>
      <c r="BG186">
        <v>30.942</v>
      </c>
      <c r="BH186">
        <v>63.235999999999997</v>
      </c>
      <c r="BI186">
        <v>3.8580999999999999</v>
      </c>
      <c r="BJ186">
        <v>37.151200000000003</v>
      </c>
      <c r="BK186">
        <v>0</v>
      </c>
      <c r="BL186">
        <v>20.171700000000001</v>
      </c>
      <c r="BM186">
        <v>62.753999999999998</v>
      </c>
      <c r="BN186">
        <v>15.396599999999999</v>
      </c>
      <c r="BO186">
        <v>1.26532</v>
      </c>
      <c r="BP186">
        <v>0.41235899999999998</v>
      </c>
      <c r="BQ186">
        <v>32.520000000000003</v>
      </c>
      <c r="BR186">
        <v>53109</v>
      </c>
    </row>
    <row r="187" spans="1:70" x14ac:dyDescent="0.25">
      <c r="A187">
        <v>37</v>
      </c>
      <c r="B187" s="7">
        <v>45952.560266203705</v>
      </c>
      <c r="C187" t="s">
        <v>139</v>
      </c>
      <c r="D187" s="6" t="s">
        <v>268</v>
      </c>
      <c r="E187" s="6" t="str">
        <f>VLOOKUP(F187,Germplasm!$A$1:$B$21,2,FALSE)</f>
        <v>Rodhette</v>
      </c>
      <c r="F187" t="s">
        <v>80</v>
      </c>
      <c r="G187" s="6" t="s">
        <v>113</v>
      </c>
      <c r="H187">
        <v>27562.6</v>
      </c>
      <c r="I187">
        <v>205.376</v>
      </c>
      <c r="J187">
        <v>78582.399999999994</v>
      </c>
      <c r="K187">
        <v>20.419799999999999</v>
      </c>
      <c r="L187">
        <v>70.667000000000002</v>
      </c>
      <c r="M187">
        <v>1079.83</v>
      </c>
      <c r="N187">
        <v>407.54899999999998</v>
      </c>
      <c r="O187">
        <v>6602620</v>
      </c>
      <c r="P187">
        <v>0.28414099999999998</v>
      </c>
      <c r="Q187">
        <v>0.51840200000000003</v>
      </c>
      <c r="R187">
        <v>2.4997699999999998</v>
      </c>
      <c r="S187">
        <v>11.3163</v>
      </c>
      <c r="T187">
        <v>37.811999999999998</v>
      </c>
      <c r="U187">
        <v>47.0289</v>
      </c>
      <c r="V187">
        <v>0.82464700000000002</v>
      </c>
      <c r="W187">
        <v>112.307</v>
      </c>
      <c r="X187">
        <v>0.73424999999999996</v>
      </c>
      <c r="Y187">
        <v>1.5625899999999999</v>
      </c>
      <c r="Z187">
        <v>3.29305</v>
      </c>
      <c r="AA187">
        <v>20.6051</v>
      </c>
      <c r="AB187">
        <v>46.824100000000001</v>
      </c>
      <c r="AC187">
        <v>26.980899999999998</v>
      </c>
      <c r="AD187">
        <v>1.7176800000000001</v>
      </c>
      <c r="AE187">
        <v>6.5378499999999997</v>
      </c>
      <c r="AF187">
        <v>0</v>
      </c>
      <c r="AG187">
        <v>99.992599999999996</v>
      </c>
      <c r="AH187">
        <v>7.3793900000000004E-3</v>
      </c>
      <c r="AI187">
        <v>0</v>
      </c>
      <c r="AJ187">
        <v>0</v>
      </c>
      <c r="AK187">
        <v>0</v>
      </c>
      <c r="AL187">
        <v>0.57056399999999996</v>
      </c>
      <c r="AM187">
        <v>0.26565800000000001</v>
      </c>
      <c r="AN187">
        <v>1.19546</v>
      </c>
      <c r="AO187">
        <v>2.67319</v>
      </c>
      <c r="AP187">
        <v>9.7260399999999994</v>
      </c>
      <c r="AQ187">
        <v>39.734299999999998</v>
      </c>
      <c r="AR187">
        <v>46.405299999999997</v>
      </c>
      <c r="AS187">
        <v>7.8804799999999994E-2</v>
      </c>
      <c r="AT187">
        <v>5.96624</v>
      </c>
      <c r="AU187">
        <v>27.2041</v>
      </c>
      <c r="AV187">
        <v>44.459000000000003</v>
      </c>
      <c r="AW187">
        <v>16.8767</v>
      </c>
      <c r="AX187">
        <v>3.6029900000000001</v>
      </c>
      <c r="AY187">
        <v>1.89097</v>
      </c>
      <c r="AZ187">
        <v>239.55</v>
      </c>
      <c r="BA187">
        <v>271.19900000000001</v>
      </c>
      <c r="BB187">
        <v>16046.4</v>
      </c>
      <c r="BC187">
        <v>3.10397E-2</v>
      </c>
      <c r="BD187">
        <v>1.2913900000000001E-2</v>
      </c>
      <c r="BE187">
        <v>0.25089899999999998</v>
      </c>
      <c r="BF187">
        <v>1.7858099999999999</v>
      </c>
      <c r="BG187">
        <v>31.120699999999999</v>
      </c>
      <c r="BH187">
        <v>62.730400000000003</v>
      </c>
      <c r="BI187">
        <v>4.0992499999999996</v>
      </c>
      <c r="BJ187">
        <v>37.285499999999999</v>
      </c>
      <c r="BK187">
        <v>0</v>
      </c>
      <c r="BL187">
        <v>20.409600000000001</v>
      </c>
      <c r="BM187">
        <v>62.322699999999998</v>
      </c>
      <c r="BN187">
        <v>15.293799999999999</v>
      </c>
      <c r="BO187">
        <v>1.42791</v>
      </c>
      <c r="BP187">
        <v>0.54607499999999998</v>
      </c>
      <c r="BQ187">
        <v>35.627800000000001</v>
      </c>
      <c r="BR187">
        <v>54205</v>
      </c>
    </row>
    <row r="188" spans="1:70" x14ac:dyDescent="0.25">
      <c r="A188">
        <v>37</v>
      </c>
      <c r="B188" s="7">
        <v>45952.560902777775</v>
      </c>
      <c r="C188" t="s">
        <v>139</v>
      </c>
      <c r="D188" s="6" t="s">
        <v>269</v>
      </c>
      <c r="E188" s="6" t="str">
        <f>VLOOKUP(F188,Germplasm!$A$1:$B$21,2,FALSE)</f>
        <v>Rodhette</v>
      </c>
      <c r="F188" t="s">
        <v>80</v>
      </c>
      <c r="G188" s="6" t="s">
        <v>113</v>
      </c>
      <c r="H188">
        <v>26981.9</v>
      </c>
      <c r="I188">
        <v>205.59200000000001</v>
      </c>
      <c r="J188">
        <v>78961.8</v>
      </c>
      <c r="K188">
        <v>20.009399999999999</v>
      </c>
      <c r="L188">
        <v>70.448899999999995</v>
      </c>
      <c r="M188">
        <v>1079.4100000000001</v>
      </c>
      <c r="N188">
        <v>409.77699999999999</v>
      </c>
      <c r="O188">
        <v>6462400</v>
      </c>
      <c r="P188">
        <v>0.286333</v>
      </c>
      <c r="Q188">
        <v>0.460372</v>
      </c>
      <c r="R188">
        <v>2.2569499999999998</v>
      </c>
      <c r="S188">
        <v>11.251099999999999</v>
      </c>
      <c r="T188">
        <v>37.318199999999997</v>
      </c>
      <c r="U188">
        <v>47.910499999999999</v>
      </c>
      <c r="V188">
        <v>0.80284500000000003</v>
      </c>
      <c r="W188">
        <v>112.125</v>
      </c>
      <c r="X188">
        <v>0.66061599999999998</v>
      </c>
      <c r="Y188">
        <v>1.40357</v>
      </c>
      <c r="Z188">
        <v>3.3816799999999998</v>
      </c>
      <c r="AA188">
        <v>20.5334</v>
      </c>
      <c r="AB188">
        <v>47.871200000000002</v>
      </c>
      <c r="AC188">
        <v>26.1495</v>
      </c>
      <c r="AD188">
        <v>1.70774</v>
      </c>
      <c r="AE188">
        <v>6.5270200000000003</v>
      </c>
      <c r="AF188">
        <v>0</v>
      </c>
      <c r="AG188">
        <v>99.990600000000001</v>
      </c>
      <c r="AH188">
        <v>9.3571599999999998E-3</v>
      </c>
      <c r="AI188">
        <v>0</v>
      </c>
      <c r="AJ188">
        <v>0</v>
      </c>
      <c r="AK188">
        <v>0</v>
      </c>
      <c r="AL188">
        <v>0.57292900000000002</v>
      </c>
      <c r="AM188">
        <v>0.20585800000000001</v>
      </c>
      <c r="AN188">
        <v>1.1958500000000001</v>
      </c>
      <c r="AO188">
        <v>2.7435200000000002</v>
      </c>
      <c r="AP188">
        <v>9.2766900000000003</v>
      </c>
      <c r="AQ188">
        <v>39.328200000000002</v>
      </c>
      <c r="AR188">
        <v>47.249899999999997</v>
      </c>
      <c r="AS188">
        <v>7.9917299999999997E-2</v>
      </c>
      <c r="AT188">
        <v>5.444</v>
      </c>
      <c r="AU188">
        <v>26.686599999999999</v>
      </c>
      <c r="AV188">
        <v>45.765900000000002</v>
      </c>
      <c r="AW188">
        <v>16.985099999999999</v>
      </c>
      <c r="AX188">
        <v>3.4172400000000001</v>
      </c>
      <c r="AY188">
        <v>1.70113</v>
      </c>
      <c r="AZ188">
        <v>239.50899999999999</v>
      </c>
      <c r="BA188">
        <v>272.39999999999998</v>
      </c>
      <c r="BB188">
        <v>15799.8</v>
      </c>
      <c r="BC188">
        <v>3.1505400000000003E-2</v>
      </c>
      <c r="BD188">
        <v>1.3100000000000001E-2</v>
      </c>
      <c r="BE188">
        <v>0.23954300000000001</v>
      </c>
      <c r="BF188">
        <v>1.64686</v>
      </c>
      <c r="BG188">
        <v>30.231100000000001</v>
      </c>
      <c r="BH188">
        <v>64.062899999999999</v>
      </c>
      <c r="BI188">
        <v>3.8064900000000002</v>
      </c>
      <c r="BJ188">
        <v>37.241599999999998</v>
      </c>
      <c r="BK188">
        <v>0</v>
      </c>
      <c r="BL188">
        <v>20.175899999999999</v>
      </c>
      <c r="BM188">
        <v>62.728499999999997</v>
      </c>
      <c r="BN188">
        <v>15.325200000000001</v>
      </c>
      <c r="BO188">
        <v>1.28755</v>
      </c>
      <c r="BP188">
        <v>0.48282999999999998</v>
      </c>
      <c r="BQ188">
        <v>35.865900000000003</v>
      </c>
      <c r="BR188">
        <v>53435</v>
      </c>
    </row>
    <row r="189" spans="1:70" x14ac:dyDescent="0.25">
      <c r="A189">
        <v>37</v>
      </c>
      <c r="B189" s="7">
        <v>45959.522557870368</v>
      </c>
      <c r="C189" t="s">
        <v>139</v>
      </c>
      <c r="D189" s="6" t="s">
        <v>270</v>
      </c>
      <c r="E189" s="6" t="str">
        <f>VLOOKUP(F189,Germplasm!$A$1:$B$21,2,FALSE)</f>
        <v>Rodhette</v>
      </c>
      <c r="F189" t="s">
        <v>80</v>
      </c>
      <c r="G189" s="6" t="s">
        <v>113</v>
      </c>
      <c r="H189">
        <v>54418.7</v>
      </c>
      <c r="I189">
        <v>312.90300000000002</v>
      </c>
      <c r="J189">
        <v>193205</v>
      </c>
      <c r="K189">
        <v>16.168199999999999</v>
      </c>
      <c r="L189">
        <v>75.848100000000002</v>
      </c>
      <c r="M189">
        <v>1712.92</v>
      </c>
      <c r="N189">
        <v>601.02200000000005</v>
      </c>
      <c r="O189">
        <v>20194200</v>
      </c>
      <c r="P189">
        <v>0.26174799999999998</v>
      </c>
      <c r="Q189">
        <v>0.71612500000000001</v>
      </c>
      <c r="R189">
        <v>2.8725800000000001</v>
      </c>
      <c r="S189">
        <v>14.7012</v>
      </c>
      <c r="T189">
        <v>41.861899999999999</v>
      </c>
      <c r="U189">
        <v>38.742600000000003</v>
      </c>
      <c r="V189">
        <v>1.1055999999999999</v>
      </c>
      <c r="W189">
        <v>118.22199999999999</v>
      </c>
      <c r="X189">
        <v>0.74035499999999999</v>
      </c>
      <c r="Y189">
        <v>1.41699</v>
      </c>
      <c r="Z189">
        <v>3.1014200000000001</v>
      </c>
      <c r="AA189">
        <v>15.639900000000001</v>
      </c>
      <c r="AB189">
        <v>40.919699999999999</v>
      </c>
      <c r="AC189">
        <v>38.181699999999999</v>
      </c>
      <c r="AD189">
        <v>1.7420800000000001</v>
      </c>
      <c r="AE189">
        <v>6.4366899999999996</v>
      </c>
      <c r="AF189">
        <v>0</v>
      </c>
      <c r="AG189">
        <v>99.6751</v>
      </c>
      <c r="AH189">
        <v>0.28806500000000002</v>
      </c>
      <c r="AI189">
        <v>3.6793399999999997E-2</v>
      </c>
      <c r="AJ189">
        <v>0</v>
      </c>
      <c r="AK189">
        <v>0</v>
      </c>
      <c r="AL189">
        <v>0.55213100000000004</v>
      </c>
      <c r="AM189">
        <v>0.43164999999999998</v>
      </c>
      <c r="AN189">
        <v>1.9446699999999999</v>
      </c>
      <c r="AO189">
        <v>4.2922700000000003</v>
      </c>
      <c r="AP189">
        <v>12.1311</v>
      </c>
      <c r="AQ189">
        <v>38.914000000000001</v>
      </c>
      <c r="AR189">
        <v>42.2864</v>
      </c>
      <c r="AS189">
        <v>3.8744500000000001E-2</v>
      </c>
      <c r="AT189">
        <v>8.1609599999999993</v>
      </c>
      <c r="AU189">
        <v>36.421900000000001</v>
      </c>
      <c r="AV189">
        <v>38.896000000000001</v>
      </c>
      <c r="AW189">
        <v>11.712</v>
      </c>
      <c r="AX189">
        <v>2.85643</v>
      </c>
      <c r="AY189">
        <v>1.9527399999999999</v>
      </c>
      <c r="AZ189">
        <v>371.09</v>
      </c>
      <c r="BA189">
        <v>376.19900000000001</v>
      </c>
      <c r="BB189">
        <v>31237.8</v>
      </c>
      <c r="BC189">
        <v>1.01324E-2</v>
      </c>
      <c r="BD189">
        <v>6.6407599999999997E-2</v>
      </c>
      <c r="BE189">
        <v>0.54920899999999995</v>
      </c>
      <c r="BF189">
        <v>2.71374</v>
      </c>
      <c r="BG189">
        <v>41.253500000000003</v>
      </c>
      <c r="BH189">
        <v>50.9373</v>
      </c>
      <c r="BI189">
        <v>4.4798200000000001</v>
      </c>
      <c r="BJ189">
        <v>35.058900000000001</v>
      </c>
      <c r="BK189">
        <v>0</v>
      </c>
      <c r="BL189">
        <v>26.222000000000001</v>
      </c>
      <c r="BM189">
        <v>59.819800000000001</v>
      </c>
      <c r="BN189">
        <v>11.5181</v>
      </c>
      <c r="BO189">
        <v>1.3891800000000001</v>
      </c>
      <c r="BP189">
        <v>1.0508599999999999</v>
      </c>
      <c r="BQ189">
        <v>35.0747</v>
      </c>
      <c r="BR189">
        <v>111433</v>
      </c>
    </row>
    <row r="190" spans="1:70" x14ac:dyDescent="0.25">
      <c r="A190">
        <v>37</v>
      </c>
      <c r="B190" s="7">
        <v>45966.555752314816</v>
      </c>
      <c r="C190" t="s">
        <v>139</v>
      </c>
      <c r="D190" s="6" t="s">
        <v>271</v>
      </c>
      <c r="E190" s="6" t="str">
        <f>VLOOKUP(F190,Germplasm!$A$1:$B$21,2,FALSE)</f>
        <v>Rodhette</v>
      </c>
      <c r="F190" t="s">
        <v>80</v>
      </c>
      <c r="G190" s="6" t="s">
        <v>113</v>
      </c>
      <c r="H190">
        <v>59208.4</v>
      </c>
      <c r="I190">
        <v>418.05700000000002</v>
      </c>
      <c r="J190">
        <v>194309</v>
      </c>
      <c r="K190">
        <v>17.792100000000001</v>
      </c>
      <c r="L190">
        <v>74.023499999999999</v>
      </c>
      <c r="M190">
        <v>1683.53</v>
      </c>
      <c r="N190">
        <v>629.24199999999996</v>
      </c>
      <c r="O190">
        <v>29770200</v>
      </c>
      <c r="P190">
        <v>0.28060600000000002</v>
      </c>
      <c r="Q190">
        <v>0.295983</v>
      </c>
      <c r="R190">
        <v>1.5571600000000001</v>
      </c>
      <c r="S190">
        <v>10.589499999999999</v>
      </c>
      <c r="T190">
        <v>42.380099999999999</v>
      </c>
      <c r="U190">
        <v>44.671500000000002</v>
      </c>
      <c r="V190">
        <v>0.50577300000000003</v>
      </c>
      <c r="W190">
        <v>114.13800000000001</v>
      </c>
      <c r="X190">
        <v>0.45291900000000002</v>
      </c>
      <c r="Y190">
        <v>0.95543999999999996</v>
      </c>
      <c r="Z190">
        <v>2.8776999999999999</v>
      </c>
      <c r="AA190">
        <v>20.237400000000001</v>
      </c>
      <c r="AB190">
        <v>46.236800000000002</v>
      </c>
      <c r="AC190">
        <v>29.239699999999999</v>
      </c>
      <c r="AD190">
        <v>1.7126300000000001</v>
      </c>
      <c r="AE190">
        <v>6.8125200000000001</v>
      </c>
      <c r="AF190">
        <v>0</v>
      </c>
      <c r="AG190">
        <v>99.9024</v>
      </c>
      <c r="AH190">
        <v>9.2698000000000003E-2</v>
      </c>
      <c r="AI190">
        <v>4.8788399999999997E-3</v>
      </c>
      <c r="AJ190">
        <v>0</v>
      </c>
      <c r="AK190">
        <v>0</v>
      </c>
      <c r="AL190">
        <v>0.54980399999999996</v>
      </c>
      <c r="AM190">
        <v>0.2228</v>
      </c>
      <c r="AN190">
        <v>1.3693299999999999</v>
      </c>
      <c r="AO190">
        <v>3.6070899999999999</v>
      </c>
      <c r="AP190">
        <v>13.6152</v>
      </c>
      <c r="AQ190">
        <v>41.300199999999997</v>
      </c>
      <c r="AR190">
        <v>39.885300000000001</v>
      </c>
      <c r="AS190">
        <v>6.9456900000000002E-2</v>
      </c>
      <c r="AT190">
        <v>4.8983600000000003</v>
      </c>
      <c r="AU190">
        <v>31.118099999999998</v>
      </c>
      <c r="AV190">
        <v>43.515999999999998</v>
      </c>
      <c r="AW190">
        <v>16.0181</v>
      </c>
      <c r="AX190">
        <v>3.0557799999999999</v>
      </c>
      <c r="AY190">
        <v>1.3937200000000001</v>
      </c>
      <c r="AZ190">
        <v>502.80399999999997</v>
      </c>
      <c r="BA190">
        <v>530.96199999999999</v>
      </c>
      <c r="BB190">
        <v>34571.5</v>
      </c>
      <c r="BC190">
        <v>2.98112E-2</v>
      </c>
      <c r="BD190">
        <v>2.4394200000000001E-2</v>
      </c>
      <c r="BE190">
        <v>0.27240199999999998</v>
      </c>
      <c r="BF190">
        <v>1.70597</v>
      </c>
      <c r="BG190">
        <v>34.012799999999999</v>
      </c>
      <c r="BH190">
        <v>58.622500000000002</v>
      </c>
      <c r="BI190">
        <v>5.3618499999999996</v>
      </c>
      <c r="BJ190">
        <v>36.003799999999998</v>
      </c>
      <c r="BK190">
        <v>0</v>
      </c>
      <c r="BL190">
        <v>20.3415</v>
      </c>
      <c r="BM190">
        <v>66.070099999999996</v>
      </c>
      <c r="BN190">
        <v>12.1638</v>
      </c>
      <c r="BO190">
        <v>1.0074799999999999</v>
      </c>
      <c r="BP190">
        <v>0.41714099999999998</v>
      </c>
      <c r="BQ190">
        <v>35.771000000000001</v>
      </c>
      <c r="BR190">
        <v>122980</v>
      </c>
    </row>
    <row r="191" spans="1:70" x14ac:dyDescent="0.25">
      <c r="A191">
        <v>37</v>
      </c>
      <c r="B191" s="7">
        <v>45973.555115740739</v>
      </c>
      <c r="C191" t="s">
        <v>139</v>
      </c>
      <c r="D191" s="6" t="s">
        <v>272</v>
      </c>
      <c r="E191" s="6" t="str">
        <f>VLOOKUP(F191,Germplasm!$A$1:$B$21,2,FALSE)</f>
        <v>Rodhette</v>
      </c>
      <c r="F191" t="s">
        <v>80</v>
      </c>
      <c r="G191" s="6" t="s">
        <v>113</v>
      </c>
      <c r="H191">
        <v>51761.1</v>
      </c>
      <c r="I191">
        <v>436.95800000000003</v>
      </c>
      <c r="J191">
        <v>142188</v>
      </c>
      <c r="K191">
        <v>21.6434</v>
      </c>
      <c r="L191">
        <v>78.854500000000002</v>
      </c>
      <c r="M191">
        <v>1412.19</v>
      </c>
      <c r="N191">
        <v>512.86300000000006</v>
      </c>
      <c r="O191">
        <v>26237600</v>
      </c>
      <c r="P191">
        <v>0.26548100000000002</v>
      </c>
      <c r="Q191">
        <v>0.390407</v>
      </c>
      <c r="R191">
        <v>2.3048700000000002</v>
      </c>
      <c r="S191">
        <v>13.302199999999999</v>
      </c>
      <c r="T191">
        <v>43.540399999999998</v>
      </c>
      <c r="U191">
        <v>39.802199999999999</v>
      </c>
      <c r="V191">
        <v>0.65984200000000004</v>
      </c>
      <c r="W191">
        <v>115.129</v>
      </c>
      <c r="X191">
        <v>0.71849499999999999</v>
      </c>
      <c r="Y191">
        <v>1.58179</v>
      </c>
      <c r="Z191">
        <v>3.3312900000000001</v>
      </c>
      <c r="AA191">
        <v>18.125499999999999</v>
      </c>
      <c r="AB191">
        <v>43.783299999999997</v>
      </c>
      <c r="AC191">
        <v>32.459699999999998</v>
      </c>
      <c r="AD191">
        <v>1.6819599999999999</v>
      </c>
      <c r="AE191">
        <v>6.8938199999999998</v>
      </c>
      <c r="AF191">
        <v>0</v>
      </c>
      <c r="AG191">
        <v>99.599500000000006</v>
      </c>
      <c r="AH191">
        <v>0.40048800000000001</v>
      </c>
      <c r="AI191">
        <v>0</v>
      </c>
      <c r="AJ191">
        <v>0</v>
      </c>
      <c r="AK191">
        <v>0</v>
      </c>
      <c r="AL191">
        <v>0.53433200000000003</v>
      </c>
      <c r="AM191">
        <v>0.469221</v>
      </c>
      <c r="AN191">
        <v>2.7795899999999998</v>
      </c>
      <c r="AO191">
        <v>5.9596600000000004</v>
      </c>
      <c r="AP191">
        <v>12.9815</v>
      </c>
      <c r="AQ191">
        <v>38.507300000000001</v>
      </c>
      <c r="AR191">
        <v>39.302799999999998</v>
      </c>
      <c r="AS191">
        <v>5.8207700000000001E-2</v>
      </c>
      <c r="AT191">
        <v>5.6645599999999998</v>
      </c>
      <c r="AU191">
        <v>33.464100000000002</v>
      </c>
      <c r="AV191">
        <v>42.186799999999998</v>
      </c>
      <c r="AW191">
        <v>14.0326</v>
      </c>
      <c r="AX191">
        <v>3.0939299999999998</v>
      </c>
      <c r="AY191">
        <v>1.55796</v>
      </c>
      <c r="AZ191">
        <v>506.89800000000002</v>
      </c>
      <c r="BA191">
        <v>580.79999999999995</v>
      </c>
      <c r="BB191">
        <v>30774.3</v>
      </c>
      <c r="BC191">
        <v>2.8579500000000001E-2</v>
      </c>
      <c r="BD191">
        <v>3.5741500000000002E-2</v>
      </c>
      <c r="BE191">
        <v>0.28318199999999999</v>
      </c>
      <c r="BF191">
        <v>2.21597</v>
      </c>
      <c r="BG191">
        <v>36.593699999999998</v>
      </c>
      <c r="BH191">
        <v>53.5764</v>
      </c>
      <c r="BI191">
        <v>7.2949200000000003</v>
      </c>
      <c r="BJ191">
        <v>34.754800000000003</v>
      </c>
      <c r="BK191">
        <v>0</v>
      </c>
      <c r="BL191">
        <v>24.076899999999998</v>
      </c>
      <c r="BM191">
        <v>63.885599999999997</v>
      </c>
      <c r="BN191">
        <v>10.409000000000001</v>
      </c>
      <c r="BO191">
        <v>1.08141</v>
      </c>
      <c r="BP191">
        <v>0.54711900000000002</v>
      </c>
      <c r="BQ191">
        <v>36.524500000000003</v>
      </c>
      <c r="BR191">
        <v>109117</v>
      </c>
    </row>
    <row r="192" spans="1:70" x14ac:dyDescent="0.25">
      <c r="A192">
        <v>37</v>
      </c>
      <c r="B192" s="7">
        <v>45988.540462962963</v>
      </c>
      <c r="C192" t="s">
        <v>139</v>
      </c>
      <c r="D192" s="6" t="s">
        <v>273</v>
      </c>
      <c r="E192" s="6" t="str">
        <f>VLOOKUP(F192,Germplasm!$A$1:$B$21,2,FALSE)</f>
        <v>Rodhette</v>
      </c>
      <c r="F192" t="s">
        <v>80</v>
      </c>
      <c r="G192" s="6" t="s">
        <v>113</v>
      </c>
      <c r="H192">
        <v>53111.3</v>
      </c>
      <c r="I192">
        <v>366.73200000000003</v>
      </c>
      <c r="J192">
        <v>180537</v>
      </c>
      <c r="K192">
        <v>16.854800000000001</v>
      </c>
      <c r="L192">
        <v>72.025599999999997</v>
      </c>
      <c r="M192">
        <v>1621.01</v>
      </c>
      <c r="N192">
        <v>613.43200000000002</v>
      </c>
      <c r="O192">
        <v>28654300</v>
      </c>
      <c r="P192">
        <v>0.24243300000000001</v>
      </c>
      <c r="Q192">
        <v>0.50992300000000002</v>
      </c>
      <c r="R192">
        <v>5.3897300000000001</v>
      </c>
      <c r="S192">
        <v>16.1905</v>
      </c>
      <c r="T192">
        <v>43.145400000000002</v>
      </c>
      <c r="U192">
        <v>33.787300000000002</v>
      </c>
      <c r="V192">
        <v>0.97720499999999999</v>
      </c>
      <c r="W192">
        <v>101.88</v>
      </c>
      <c r="X192">
        <v>3.0879699999999999</v>
      </c>
      <c r="Y192">
        <v>4.9633099999999999</v>
      </c>
      <c r="Z192">
        <v>6.0497800000000002</v>
      </c>
      <c r="AA192">
        <v>27.635300000000001</v>
      </c>
      <c r="AB192">
        <v>39.082799999999999</v>
      </c>
      <c r="AC192">
        <v>19.180700000000002</v>
      </c>
      <c r="AD192">
        <v>1.7454099999999999</v>
      </c>
      <c r="AE192">
        <v>7.8686100000000003</v>
      </c>
      <c r="AF192">
        <v>0</v>
      </c>
      <c r="AG192">
        <v>98.5351</v>
      </c>
      <c r="AH192">
        <v>1.46225</v>
      </c>
      <c r="AI192">
        <v>2.6651000000000001E-3</v>
      </c>
      <c r="AJ192">
        <v>0</v>
      </c>
      <c r="AK192">
        <v>0</v>
      </c>
      <c r="AL192">
        <v>0.45498699999999997</v>
      </c>
      <c r="AM192">
        <v>2.2573400000000001</v>
      </c>
      <c r="AN192">
        <v>8.4226100000000006</v>
      </c>
      <c r="AO192">
        <v>9.3509600000000006</v>
      </c>
      <c r="AP192">
        <v>17.396000000000001</v>
      </c>
      <c r="AQ192">
        <v>39.993400000000001</v>
      </c>
      <c r="AR192">
        <v>22.579599999999999</v>
      </c>
      <c r="AS192">
        <v>0.13569999999999999</v>
      </c>
      <c r="AT192">
        <v>2.3577300000000001</v>
      </c>
      <c r="AU192">
        <v>20.507100000000001</v>
      </c>
      <c r="AV192">
        <v>44.387300000000003</v>
      </c>
      <c r="AW192">
        <v>24.6389</v>
      </c>
      <c r="AX192">
        <v>5.96983</v>
      </c>
      <c r="AY192">
        <v>2.1391900000000001</v>
      </c>
      <c r="AZ192">
        <v>539.51300000000003</v>
      </c>
      <c r="BA192">
        <v>587.99900000000002</v>
      </c>
      <c r="BB192">
        <v>30429.200000000001</v>
      </c>
      <c r="BC192">
        <v>9.1115799999999997E-2</v>
      </c>
      <c r="BD192">
        <v>6.1297400000000002E-2</v>
      </c>
      <c r="BE192">
        <v>0.25940299999999999</v>
      </c>
      <c r="BF192">
        <v>1.2010700000000001</v>
      </c>
      <c r="BG192">
        <v>21.3413</v>
      </c>
      <c r="BH192">
        <v>60.217100000000002</v>
      </c>
      <c r="BI192">
        <v>16.919899999999998</v>
      </c>
      <c r="BJ192">
        <v>35.189900000000002</v>
      </c>
      <c r="BK192">
        <v>0</v>
      </c>
      <c r="BL192">
        <v>24.1556</v>
      </c>
      <c r="BM192">
        <v>62.457599999999999</v>
      </c>
      <c r="BN192">
        <v>11.1686</v>
      </c>
      <c r="BO192">
        <v>1.5395399999999999</v>
      </c>
      <c r="BP192">
        <v>0.67871300000000001</v>
      </c>
      <c r="BQ192">
        <v>34.998199999999997</v>
      </c>
      <c r="BR192">
        <v>112566</v>
      </c>
    </row>
    <row r="193" spans="1:70" x14ac:dyDescent="0.25">
      <c r="A193">
        <v>37</v>
      </c>
      <c r="B193" s="7">
        <v>45994.550462962965</v>
      </c>
      <c r="C193" t="s">
        <v>139</v>
      </c>
      <c r="D193" s="6" t="s">
        <v>274</v>
      </c>
      <c r="E193" s="6" t="str">
        <f>VLOOKUP(F193,Germplasm!$A$1:$B$21,2,FALSE)</f>
        <v>Rodhette</v>
      </c>
      <c r="F193" t="s">
        <v>80</v>
      </c>
      <c r="G193" s="6" t="s">
        <v>113</v>
      </c>
      <c r="H193">
        <v>47825.1</v>
      </c>
      <c r="I193">
        <v>344.25</v>
      </c>
      <c r="J193">
        <v>141638</v>
      </c>
      <c r="K193">
        <v>18.595199999999998</v>
      </c>
      <c r="L193">
        <v>94.014399999999995</v>
      </c>
      <c r="M193">
        <v>1404.75</v>
      </c>
      <c r="N193">
        <v>477.90300000000002</v>
      </c>
      <c r="O193">
        <v>24144200</v>
      </c>
      <c r="P193">
        <v>0.220552</v>
      </c>
      <c r="Q193">
        <v>0.64562299999999995</v>
      </c>
      <c r="R193">
        <v>6.1629399999999999</v>
      </c>
      <c r="S193">
        <v>22.463200000000001</v>
      </c>
      <c r="T193">
        <v>41.076000000000001</v>
      </c>
      <c r="U193">
        <v>28.8691</v>
      </c>
      <c r="V193">
        <v>0.78307199999999999</v>
      </c>
      <c r="W193">
        <v>91.6023</v>
      </c>
      <c r="X193">
        <v>3.41493</v>
      </c>
      <c r="Y193">
        <v>10.8178</v>
      </c>
      <c r="Z193">
        <v>10.019299999999999</v>
      </c>
      <c r="AA193">
        <v>32.5212</v>
      </c>
      <c r="AB193">
        <v>29.822600000000001</v>
      </c>
      <c r="AC193">
        <v>13.404199999999999</v>
      </c>
      <c r="AD193">
        <v>1.8158300000000001</v>
      </c>
      <c r="AE193">
        <v>9.0739999999999998</v>
      </c>
      <c r="AF193">
        <v>0</v>
      </c>
      <c r="AG193">
        <v>97.647900000000007</v>
      </c>
      <c r="AH193">
        <v>2.3521200000000002</v>
      </c>
      <c r="AI193">
        <v>0</v>
      </c>
      <c r="AJ193">
        <v>0</v>
      </c>
      <c r="AK193">
        <v>0</v>
      </c>
      <c r="AL193">
        <v>0.38693100000000002</v>
      </c>
      <c r="AM193">
        <v>3.3132999999999999</v>
      </c>
      <c r="AN193">
        <v>15.097099999999999</v>
      </c>
      <c r="AO193">
        <v>12.616300000000001</v>
      </c>
      <c r="AP193">
        <v>21.988</v>
      </c>
      <c r="AQ193">
        <v>33.283000000000001</v>
      </c>
      <c r="AR193">
        <v>13.702299999999999</v>
      </c>
      <c r="AS193">
        <v>0.19311600000000001</v>
      </c>
      <c r="AT193">
        <v>1.5274300000000001</v>
      </c>
      <c r="AU193">
        <v>13.8969</v>
      </c>
      <c r="AV193">
        <v>38.985199999999999</v>
      </c>
      <c r="AW193">
        <v>31.358699999999999</v>
      </c>
      <c r="AX193">
        <v>11.4344</v>
      </c>
      <c r="AY193">
        <v>2.79738</v>
      </c>
      <c r="AZ193">
        <v>504.84399999999999</v>
      </c>
      <c r="BA193">
        <v>581.399</v>
      </c>
      <c r="BB193">
        <v>26337.9</v>
      </c>
      <c r="BC193">
        <v>0.150981</v>
      </c>
      <c r="BD193">
        <v>3.8718000000000002E-2</v>
      </c>
      <c r="BE193">
        <v>0.21101300000000001</v>
      </c>
      <c r="BF193">
        <v>1.0076400000000001</v>
      </c>
      <c r="BG193">
        <v>14.166</v>
      </c>
      <c r="BH193">
        <v>55.5565</v>
      </c>
      <c r="BI193">
        <v>29.020099999999999</v>
      </c>
      <c r="BJ193">
        <v>36.265799999999999</v>
      </c>
      <c r="BK193">
        <v>0</v>
      </c>
      <c r="BL193">
        <v>23.737100000000002</v>
      </c>
      <c r="BM193">
        <v>59.511600000000001</v>
      </c>
      <c r="BN193">
        <v>14.3508</v>
      </c>
      <c r="BO193">
        <v>1.67649</v>
      </c>
      <c r="BP193">
        <v>0.72402699999999998</v>
      </c>
      <c r="BQ193">
        <v>33.452599999999997</v>
      </c>
      <c r="BR193">
        <v>103311</v>
      </c>
    </row>
    <row r="194" spans="1:70" x14ac:dyDescent="0.25">
      <c r="A194">
        <v>37</v>
      </c>
      <c r="B194" s="7">
        <v>46002.568692129629</v>
      </c>
      <c r="C194" t="s">
        <v>139</v>
      </c>
      <c r="D194" s="6" t="s">
        <v>275</v>
      </c>
      <c r="E194" s="6" t="str">
        <f>VLOOKUP(F194,Germplasm!$A$1:$B$21,2,FALSE)</f>
        <v>Rodhette</v>
      </c>
      <c r="F194" t="s">
        <v>80</v>
      </c>
      <c r="G194" s="6" t="s">
        <v>113</v>
      </c>
      <c r="H194">
        <v>36024.5</v>
      </c>
      <c r="I194">
        <v>351.017</v>
      </c>
      <c r="J194">
        <v>99727.5</v>
      </c>
      <c r="K194">
        <v>20.135999999999999</v>
      </c>
      <c r="L194">
        <v>95.233800000000002</v>
      </c>
      <c r="M194">
        <v>1206.58</v>
      </c>
      <c r="N194">
        <v>416.71499999999997</v>
      </c>
      <c r="O194">
        <v>18435900</v>
      </c>
      <c r="P194">
        <v>0.16664399999999999</v>
      </c>
      <c r="Q194">
        <v>0.98602400000000001</v>
      </c>
      <c r="R194">
        <v>13.8993</v>
      </c>
      <c r="S194">
        <v>30.790700000000001</v>
      </c>
      <c r="T194">
        <v>34.098199999999999</v>
      </c>
      <c r="U194">
        <v>19.570399999999999</v>
      </c>
      <c r="V194">
        <v>0.65539599999999998</v>
      </c>
      <c r="W194">
        <v>78.350499999999997</v>
      </c>
      <c r="X194">
        <v>7.6935700000000002</v>
      </c>
      <c r="Y194">
        <v>20.5318</v>
      </c>
      <c r="Z194">
        <v>10.746600000000001</v>
      </c>
      <c r="AA194">
        <v>26.669599999999999</v>
      </c>
      <c r="AB194">
        <v>22.941199999999998</v>
      </c>
      <c r="AC194">
        <v>11.417199999999999</v>
      </c>
      <c r="AD194">
        <v>1.7939499999999999</v>
      </c>
      <c r="AE194">
        <v>10.411300000000001</v>
      </c>
      <c r="AF194">
        <v>0</v>
      </c>
      <c r="AG194">
        <v>94.683000000000007</v>
      </c>
      <c r="AH194">
        <v>5.3170299999999999</v>
      </c>
      <c r="AI194">
        <v>0</v>
      </c>
      <c r="AJ194">
        <v>0</v>
      </c>
      <c r="AK194">
        <v>0</v>
      </c>
      <c r="AL194">
        <v>0.314415</v>
      </c>
      <c r="AM194">
        <v>5.2900600000000004</v>
      </c>
      <c r="AN194">
        <v>25.236799999999999</v>
      </c>
      <c r="AO194">
        <v>14.9123</v>
      </c>
      <c r="AP194">
        <v>21.296299999999999</v>
      </c>
      <c r="AQ194">
        <v>25.066800000000001</v>
      </c>
      <c r="AR194">
        <v>8.1977200000000003</v>
      </c>
      <c r="AS194">
        <v>0.216531</v>
      </c>
      <c r="AT194">
        <v>1.27796</v>
      </c>
      <c r="AU194">
        <v>10.8041</v>
      </c>
      <c r="AV194">
        <v>36.0655</v>
      </c>
      <c r="AW194">
        <v>37.032800000000002</v>
      </c>
      <c r="AX194">
        <v>11.2719</v>
      </c>
      <c r="AY194">
        <v>3.5478100000000001</v>
      </c>
      <c r="AZ194">
        <v>511.76100000000002</v>
      </c>
      <c r="BA194">
        <v>578.99900000000002</v>
      </c>
      <c r="BB194">
        <v>20081.2</v>
      </c>
      <c r="BC194">
        <v>0.19480700000000001</v>
      </c>
      <c r="BD194">
        <v>6.0967E-2</v>
      </c>
      <c r="BE194">
        <v>0.295456</v>
      </c>
      <c r="BF194">
        <v>0.90864299999999998</v>
      </c>
      <c r="BG194">
        <v>10.815799999999999</v>
      </c>
      <c r="BH194">
        <v>45.775700000000001</v>
      </c>
      <c r="BI194">
        <v>42.143500000000003</v>
      </c>
      <c r="BJ194">
        <v>34.5304</v>
      </c>
      <c r="BK194">
        <v>0</v>
      </c>
      <c r="BL194">
        <v>27.288599999999999</v>
      </c>
      <c r="BM194">
        <v>59.198999999999998</v>
      </c>
      <c r="BN194">
        <v>10.6622</v>
      </c>
      <c r="BO194">
        <v>2.0552899999999998</v>
      </c>
      <c r="BP194">
        <v>0.79491599999999996</v>
      </c>
      <c r="BQ194">
        <v>33.907400000000003</v>
      </c>
      <c r="BR194">
        <v>85292</v>
      </c>
    </row>
    <row r="195" spans="1:70" x14ac:dyDescent="0.25">
      <c r="A195">
        <v>37</v>
      </c>
      <c r="B195" s="7">
        <v>46013.605694444443</v>
      </c>
      <c r="C195" t="s">
        <v>139</v>
      </c>
      <c r="D195" s="6" t="s">
        <v>276</v>
      </c>
      <c r="E195" s="6" t="str">
        <f>VLOOKUP(F195,Germplasm!$A$1:$B$21,2,FALSE)</f>
        <v>Rodhette</v>
      </c>
      <c r="F195" t="s">
        <v>80</v>
      </c>
      <c r="G195" s="6" t="s">
        <v>113</v>
      </c>
      <c r="H195">
        <v>31140.7</v>
      </c>
      <c r="I195">
        <v>338.471</v>
      </c>
      <c r="J195">
        <v>96350.8</v>
      </c>
      <c r="K195">
        <v>17.431699999999999</v>
      </c>
      <c r="L195">
        <v>78.374200000000002</v>
      </c>
      <c r="M195">
        <v>1222.07</v>
      </c>
      <c r="N195">
        <v>459.49700000000001</v>
      </c>
      <c r="O195">
        <v>15128200</v>
      </c>
      <c r="P195">
        <v>4.6174800000000002E-2</v>
      </c>
      <c r="Q195">
        <v>1.29034</v>
      </c>
      <c r="R195">
        <v>30.8065</v>
      </c>
      <c r="S195">
        <v>54.131599999999999</v>
      </c>
      <c r="T195">
        <v>9.9353400000000001</v>
      </c>
      <c r="U195">
        <v>3.72471</v>
      </c>
      <c r="V195">
        <v>0.11147700000000001</v>
      </c>
      <c r="W195">
        <v>42.809100000000001</v>
      </c>
      <c r="X195">
        <v>17.081</v>
      </c>
      <c r="Y195">
        <v>47.770499999999998</v>
      </c>
      <c r="Z195">
        <v>15.5677</v>
      </c>
      <c r="AA195">
        <v>9.5103399999999993</v>
      </c>
      <c r="AB195">
        <v>2.7813400000000001</v>
      </c>
      <c r="AC195">
        <v>7.2891700000000004</v>
      </c>
      <c r="AD195">
        <v>1.8541000000000001</v>
      </c>
      <c r="AE195">
        <v>16.454699999999999</v>
      </c>
      <c r="AF195">
        <v>0</v>
      </c>
      <c r="AG195">
        <v>82.799199999999999</v>
      </c>
      <c r="AH195">
        <v>16.973700000000001</v>
      </c>
      <c r="AI195">
        <v>0.227133</v>
      </c>
      <c r="AJ195">
        <v>0</v>
      </c>
      <c r="AK195">
        <v>0</v>
      </c>
      <c r="AL195">
        <v>0.104827</v>
      </c>
      <c r="AM195">
        <v>18.482800000000001</v>
      </c>
      <c r="AN195">
        <v>54.068899999999999</v>
      </c>
      <c r="AO195">
        <v>16.487400000000001</v>
      </c>
      <c r="AP195">
        <v>7.19163</v>
      </c>
      <c r="AQ195">
        <v>2.86077</v>
      </c>
      <c r="AR195">
        <v>0.90853399999999995</v>
      </c>
      <c r="AS195">
        <v>0.267405</v>
      </c>
      <c r="AT195">
        <v>0.68000700000000003</v>
      </c>
      <c r="AU195">
        <v>4.2430700000000003</v>
      </c>
      <c r="AV195">
        <v>25.590800000000002</v>
      </c>
      <c r="AW195">
        <v>53.702399999999997</v>
      </c>
      <c r="AX195">
        <v>12.778</v>
      </c>
      <c r="AY195">
        <v>3.00569</v>
      </c>
      <c r="AZ195">
        <v>485.80099999999999</v>
      </c>
      <c r="BA195">
        <v>524.99900000000002</v>
      </c>
      <c r="BB195">
        <v>16795.599999999999</v>
      </c>
      <c r="BC195">
        <v>0.33021</v>
      </c>
      <c r="BD195">
        <v>0.14910000000000001</v>
      </c>
      <c r="BE195">
        <v>0.35672500000000001</v>
      </c>
      <c r="BF195">
        <v>0.82074599999999998</v>
      </c>
      <c r="BG195">
        <v>3.5965099999999999</v>
      </c>
      <c r="BH195">
        <v>14.5672</v>
      </c>
      <c r="BI195">
        <v>80.509699999999995</v>
      </c>
      <c r="BJ195">
        <v>29.8827</v>
      </c>
      <c r="BK195">
        <v>0</v>
      </c>
      <c r="BL195">
        <v>41.023400000000002</v>
      </c>
      <c r="BM195">
        <v>50.571300000000001</v>
      </c>
      <c r="BN195">
        <v>6.8042499999999997</v>
      </c>
      <c r="BO195">
        <v>1.1844399999999999</v>
      </c>
      <c r="BP195">
        <v>0.41664299999999999</v>
      </c>
      <c r="BQ195">
        <v>32.660600000000002</v>
      </c>
      <c r="BR195">
        <v>71764</v>
      </c>
    </row>
    <row r="196" spans="1:70" x14ac:dyDescent="0.25">
      <c r="A196">
        <v>37</v>
      </c>
      <c r="B196" s="7">
        <v>46024.531608796293</v>
      </c>
      <c r="C196" t="s">
        <v>139</v>
      </c>
      <c r="D196" s="6" t="s">
        <v>277</v>
      </c>
      <c r="E196" s="6" t="str">
        <f>VLOOKUP(F196,Germplasm!$A$1:$B$21,2,FALSE)</f>
        <v>Rodhette</v>
      </c>
      <c r="F196" t="s">
        <v>80</v>
      </c>
      <c r="G196" s="6" t="s">
        <v>113</v>
      </c>
      <c r="H196">
        <v>25537.200000000001</v>
      </c>
      <c r="I196">
        <v>359.44099999999997</v>
      </c>
      <c r="J196">
        <v>107833</v>
      </c>
      <c r="K196">
        <v>12.2967</v>
      </c>
      <c r="L196">
        <v>60.5396</v>
      </c>
      <c r="M196">
        <v>1315.67</v>
      </c>
      <c r="N196">
        <v>526.39700000000005</v>
      </c>
      <c r="O196">
        <v>11808500</v>
      </c>
      <c r="P196">
        <v>3.3907500000000001E-3</v>
      </c>
      <c r="Q196">
        <v>1.27725</v>
      </c>
      <c r="R196">
        <v>41.072299999999998</v>
      </c>
      <c r="S196">
        <v>55.995100000000001</v>
      </c>
      <c r="T196">
        <v>1.5055099999999999</v>
      </c>
      <c r="U196">
        <v>0.13417200000000001</v>
      </c>
      <c r="V196">
        <v>1.5682399999999999E-2</v>
      </c>
      <c r="W196">
        <v>33.558399999999999</v>
      </c>
      <c r="X196">
        <v>23.208300000000001</v>
      </c>
      <c r="Y196">
        <v>55.913200000000003</v>
      </c>
      <c r="Z196">
        <v>9.3676499999999994</v>
      </c>
      <c r="AA196">
        <v>2.5823800000000001</v>
      </c>
      <c r="AB196">
        <v>1.0629200000000001</v>
      </c>
      <c r="AC196">
        <v>7.8656199999999998</v>
      </c>
      <c r="AD196">
        <v>1.9258999999999999</v>
      </c>
      <c r="AE196">
        <v>19.121500000000001</v>
      </c>
      <c r="AF196">
        <v>0</v>
      </c>
      <c r="AG196">
        <v>74.747799999999998</v>
      </c>
      <c r="AH196">
        <v>24.7225</v>
      </c>
      <c r="AI196">
        <v>0.52971800000000002</v>
      </c>
      <c r="AJ196">
        <v>0</v>
      </c>
      <c r="AK196">
        <v>0</v>
      </c>
      <c r="AL196">
        <v>5.8400100000000003E-2</v>
      </c>
      <c r="AM196">
        <v>23.539400000000001</v>
      </c>
      <c r="AN196">
        <v>62.592100000000002</v>
      </c>
      <c r="AO196">
        <v>10.5299</v>
      </c>
      <c r="AP196">
        <v>2.3715299999999999</v>
      </c>
      <c r="AQ196">
        <v>0.74230300000000005</v>
      </c>
      <c r="AR196">
        <v>0.22478200000000001</v>
      </c>
      <c r="AS196">
        <v>0.23281399999999999</v>
      </c>
      <c r="AT196">
        <v>0.73358999999999996</v>
      </c>
      <c r="AU196">
        <v>3.9223499999999998</v>
      </c>
      <c r="AV196">
        <v>35.703699999999998</v>
      </c>
      <c r="AW196">
        <v>51.307699999999997</v>
      </c>
      <c r="AX196">
        <v>6.4106399999999999</v>
      </c>
      <c r="AY196">
        <v>1.92197</v>
      </c>
      <c r="AZ196">
        <v>462.40300000000002</v>
      </c>
      <c r="BA196">
        <v>487.2</v>
      </c>
      <c r="BB196">
        <v>13259.9</v>
      </c>
      <c r="BC196">
        <v>0.32149899999999998</v>
      </c>
      <c r="BD196">
        <v>0.106292</v>
      </c>
      <c r="BE196">
        <v>0.45827600000000002</v>
      </c>
      <c r="BF196">
        <v>0.88867200000000002</v>
      </c>
      <c r="BG196">
        <v>3.2027000000000001</v>
      </c>
      <c r="BH196">
        <v>13.284800000000001</v>
      </c>
      <c r="BI196">
        <v>82.059299999999993</v>
      </c>
      <c r="BJ196">
        <v>24.995999999999999</v>
      </c>
      <c r="BK196">
        <v>0</v>
      </c>
      <c r="BL196">
        <v>55.860900000000001</v>
      </c>
      <c r="BM196">
        <v>40.398000000000003</v>
      </c>
      <c r="BN196">
        <v>2.73746</v>
      </c>
      <c r="BO196">
        <v>0.64820800000000001</v>
      </c>
      <c r="BP196">
        <v>0.35546899999999998</v>
      </c>
      <c r="BQ196">
        <v>31.292100000000001</v>
      </c>
      <c r="BR196">
        <v>57389</v>
      </c>
    </row>
    <row r="197" spans="1:70" x14ac:dyDescent="0.25">
      <c r="A197">
        <v>37</v>
      </c>
      <c r="B197" s="7">
        <v>45952.559699074074</v>
      </c>
      <c r="C197" t="s">
        <v>141</v>
      </c>
      <c r="D197" s="6" t="s">
        <v>267</v>
      </c>
      <c r="E197" s="6" t="str">
        <f>VLOOKUP(F197,Germplasm!$A$1:$B$21,2,FALSE)</f>
        <v>Arild</v>
      </c>
      <c r="F197" t="s">
        <v>74</v>
      </c>
      <c r="G197" s="6" t="s">
        <v>113</v>
      </c>
      <c r="H197">
        <v>20539.400000000001</v>
      </c>
      <c r="I197">
        <v>250.643</v>
      </c>
      <c r="J197">
        <v>82146.899999999994</v>
      </c>
      <c r="K197">
        <v>12.8369</v>
      </c>
      <c r="L197">
        <v>66.131799999999998</v>
      </c>
      <c r="M197">
        <v>1108.67</v>
      </c>
      <c r="N197">
        <v>423.55900000000003</v>
      </c>
      <c r="O197">
        <v>5543660</v>
      </c>
      <c r="P197">
        <v>0.22565299999999999</v>
      </c>
      <c r="Q197">
        <v>0.63738300000000003</v>
      </c>
      <c r="R197">
        <v>4.2996800000000004</v>
      </c>
      <c r="S197">
        <v>19.9209</v>
      </c>
      <c r="T197">
        <v>46.690899999999999</v>
      </c>
      <c r="U197">
        <v>28.230699999999999</v>
      </c>
      <c r="V197">
        <v>0.22042800000000001</v>
      </c>
      <c r="W197">
        <v>114.375</v>
      </c>
      <c r="X197">
        <v>1.02512</v>
      </c>
      <c r="Y197">
        <v>2.0768</v>
      </c>
      <c r="Z197">
        <v>4.7458400000000003</v>
      </c>
      <c r="AA197">
        <v>20.316600000000001</v>
      </c>
      <c r="AB197">
        <v>37.982700000000001</v>
      </c>
      <c r="AC197">
        <v>33.853000000000002</v>
      </c>
      <c r="AD197">
        <v>1.94777</v>
      </c>
      <c r="AE197">
        <v>7.5572699999999999</v>
      </c>
      <c r="AF197">
        <v>0</v>
      </c>
      <c r="AG197">
        <v>99.861900000000006</v>
      </c>
      <c r="AH197">
        <v>0.1381</v>
      </c>
      <c r="AI197">
        <v>0</v>
      </c>
      <c r="AJ197">
        <v>0</v>
      </c>
      <c r="AK197">
        <v>0</v>
      </c>
      <c r="AL197">
        <v>0.50014199999999998</v>
      </c>
      <c r="AM197">
        <v>0.50724999999999998</v>
      </c>
      <c r="AN197">
        <v>3.1869100000000001</v>
      </c>
      <c r="AO197">
        <v>7.4122300000000001</v>
      </c>
      <c r="AP197">
        <v>18.0778</v>
      </c>
      <c r="AQ197">
        <v>44.0777</v>
      </c>
      <c r="AR197">
        <v>26.738199999999999</v>
      </c>
      <c r="AS197">
        <v>4.83921E-2</v>
      </c>
      <c r="AT197">
        <v>6.7907799999999998</v>
      </c>
      <c r="AU197">
        <v>31.978000000000002</v>
      </c>
      <c r="AV197">
        <v>44.773499999999999</v>
      </c>
      <c r="AW197">
        <v>13.167299999999999</v>
      </c>
      <c r="AX197">
        <v>2.1936599999999999</v>
      </c>
      <c r="AY197">
        <v>1.09683</v>
      </c>
      <c r="AZ197">
        <v>269.90300000000002</v>
      </c>
      <c r="BA197">
        <v>274.79899999999998</v>
      </c>
      <c r="BB197">
        <v>10545.1</v>
      </c>
      <c r="BC197">
        <v>2.1456300000000001E-2</v>
      </c>
      <c r="BD197">
        <v>5.8426699999999998E-2</v>
      </c>
      <c r="BE197">
        <v>0.54708699999999999</v>
      </c>
      <c r="BF197">
        <v>3.4046799999999999</v>
      </c>
      <c r="BG197">
        <v>34.758600000000001</v>
      </c>
      <c r="BH197">
        <v>55.420400000000001</v>
      </c>
      <c r="BI197">
        <v>5.8108000000000004</v>
      </c>
      <c r="BJ197">
        <v>31.226800000000001</v>
      </c>
      <c r="BK197">
        <v>0</v>
      </c>
      <c r="BL197">
        <v>33.082799999999999</v>
      </c>
      <c r="BM197">
        <v>59.154400000000003</v>
      </c>
      <c r="BN197">
        <v>6.7801600000000004</v>
      </c>
      <c r="BO197">
        <v>0.63738300000000003</v>
      </c>
      <c r="BP197">
        <v>0.34524899999999997</v>
      </c>
      <c r="BQ197">
        <v>30.890499999999999</v>
      </c>
      <c r="BR197">
        <v>37654</v>
      </c>
    </row>
    <row r="198" spans="1:70" x14ac:dyDescent="0.25">
      <c r="A198">
        <v>37</v>
      </c>
      <c r="B198" s="7">
        <v>45952.560266203705</v>
      </c>
      <c r="C198" t="s">
        <v>141</v>
      </c>
      <c r="D198" s="6" t="s">
        <v>268</v>
      </c>
      <c r="E198" s="6" t="str">
        <f>VLOOKUP(F198,Germplasm!$A$1:$B$21,2,FALSE)</f>
        <v>Arild</v>
      </c>
      <c r="F198" t="s">
        <v>74</v>
      </c>
      <c r="G198" s="6" t="s">
        <v>113</v>
      </c>
      <c r="H198">
        <v>19826.3</v>
      </c>
      <c r="I198">
        <v>249.05699999999999</v>
      </c>
      <c r="J198">
        <v>81486.7</v>
      </c>
      <c r="K198">
        <v>13.414</v>
      </c>
      <c r="L198">
        <v>65.220200000000006</v>
      </c>
      <c r="M198">
        <v>1106.28</v>
      </c>
      <c r="N198">
        <v>423.88799999999998</v>
      </c>
      <c r="O198">
        <v>5347080</v>
      </c>
      <c r="P198">
        <v>0.223689</v>
      </c>
      <c r="Q198">
        <v>0.71069899999999997</v>
      </c>
      <c r="R198">
        <v>4.5036699999999996</v>
      </c>
      <c r="S198">
        <v>19.963899999999999</v>
      </c>
      <c r="T198">
        <v>46.532800000000002</v>
      </c>
      <c r="U198">
        <v>28.0932</v>
      </c>
      <c r="V198">
        <v>0.19570000000000001</v>
      </c>
      <c r="W198">
        <v>114.863</v>
      </c>
      <c r="X198">
        <v>1.1433</v>
      </c>
      <c r="Y198">
        <v>2.1578499999999998</v>
      </c>
      <c r="Z198">
        <v>4.5036699999999996</v>
      </c>
      <c r="AA198">
        <v>20.085000000000001</v>
      </c>
      <c r="AB198">
        <v>37.242199999999997</v>
      </c>
      <c r="AC198">
        <v>34.868000000000002</v>
      </c>
      <c r="AD198">
        <v>1.81382</v>
      </c>
      <c r="AE198">
        <v>7.44184</v>
      </c>
      <c r="AF198">
        <v>0</v>
      </c>
      <c r="AG198">
        <v>99.853200000000001</v>
      </c>
      <c r="AH198">
        <v>0.14677499999999999</v>
      </c>
      <c r="AI198">
        <v>0</v>
      </c>
      <c r="AJ198">
        <v>0</v>
      </c>
      <c r="AK198">
        <v>0</v>
      </c>
      <c r="AL198">
        <v>0.49909300000000001</v>
      </c>
      <c r="AM198">
        <v>0.56134899999999999</v>
      </c>
      <c r="AN198">
        <v>3.20072</v>
      </c>
      <c r="AO198">
        <v>7.6039700000000003</v>
      </c>
      <c r="AP198">
        <v>18.3675</v>
      </c>
      <c r="AQ198">
        <v>43.8033</v>
      </c>
      <c r="AR198">
        <v>26.463200000000001</v>
      </c>
      <c r="AS198">
        <v>4.5596699999999997E-2</v>
      </c>
      <c r="AT198">
        <v>7.2331700000000003</v>
      </c>
      <c r="AU198">
        <v>32.450099999999999</v>
      </c>
      <c r="AV198">
        <v>43.537999999999997</v>
      </c>
      <c r="AW198">
        <v>13.382300000000001</v>
      </c>
      <c r="AX198">
        <v>2.29175</v>
      </c>
      <c r="AY198">
        <v>1.10467</v>
      </c>
      <c r="AZ198">
        <v>269.69600000000003</v>
      </c>
      <c r="BA198">
        <v>272.84899999999999</v>
      </c>
      <c r="BB198">
        <v>10930.7</v>
      </c>
      <c r="BC198">
        <v>2.00614E-2</v>
      </c>
      <c r="BD198">
        <v>6.6949900000000007E-2</v>
      </c>
      <c r="BE198">
        <v>0.59739900000000001</v>
      </c>
      <c r="BF198">
        <v>3.5329000000000002</v>
      </c>
      <c r="BG198">
        <v>35.485999999999997</v>
      </c>
      <c r="BH198">
        <v>54.42</v>
      </c>
      <c r="BI198">
        <v>5.8967400000000003</v>
      </c>
      <c r="BJ198">
        <v>31.296700000000001</v>
      </c>
      <c r="BK198">
        <v>0</v>
      </c>
      <c r="BL198">
        <v>33.590800000000002</v>
      </c>
      <c r="BM198">
        <v>58.3675</v>
      </c>
      <c r="BN198">
        <v>7.0348899999999999</v>
      </c>
      <c r="BO198">
        <v>0.59997400000000001</v>
      </c>
      <c r="BP198">
        <v>0.40684999999999999</v>
      </c>
      <c r="BQ198">
        <v>33.4604</v>
      </c>
      <c r="BR198">
        <v>38835</v>
      </c>
    </row>
    <row r="199" spans="1:70" x14ac:dyDescent="0.25">
      <c r="A199">
        <v>37</v>
      </c>
      <c r="B199" s="7">
        <v>45952.560902777775</v>
      </c>
      <c r="C199" t="s">
        <v>141</v>
      </c>
      <c r="D199" s="6" t="s">
        <v>269</v>
      </c>
      <c r="E199" s="6" t="str">
        <f>VLOOKUP(F199,Germplasm!$A$1:$B$21,2,FALSE)</f>
        <v>Arild</v>
      </c>
      <c r="F199" t="s">
        <v>74</v>
      </c>
      <c r="G199" s="6" t="s">
        <v>113</v>
      </c>
      <c r="H199">
        <v>19165</v>
      </c>
      <c r="I199">
        <v>249.62200000000001</v>
      </c>
      <c r="J199">
        <v>81028.800000000003</v>
      </c>
      <c r="K199">
        <v>12.9994</v>
      </c>
      <c r="L199">
        <v>64.914100000000005</v>
      </c>
      <c r="M199">
        <v>1103.77</v>
      </c>
      <c r="N199">
        <v>423.60700000000003</v>
      </c>
      <c r="O199">
        <v>5168860</v>
      </c>
      <c r="P199">
        <v>0.22842999999999999</v>
      </c>
      <c r="Q199">
        <v>0.64538600000000002</v>
      </c>
      <c r="R199">
        <v>4.2231300000000003</v>
      </c>
      <c r="S199">
        <v>19.492799999999999</v>
      </c>
      <c r="T199">
        <v>45.900100000000002</v>
      </c>
      <c r="U199">
        <v>29.559200000000001</v>
      </c>
      <c r="V199">
        <v>0.179423</v>
      </c>
      <c r="W199">
        <v>114.456</v>
      </c>
      <c r="X199">
        <v>1.1274200000000001</v>
      </c>
      <c r="Y199">
        <v>2.11558</v>
      </c>
      <c r="Z199">
        <v>4.6623099999999997</v>
      </c>
      <c r="AA199">
        <v>19.9802</v>
      </c>
      <c r="AB199">
        <v>38.2866</v>
      </c>
      <c r="AC199">
        <v>33.8279</v>
      </c>
      <c r="AD199">
        <v>1.81948</v>
      </c>
      <c r="AE199">
        <v>7.5004499999999998</v>
      </c>
      <c r="AF199">
        <v>0</v>
      </c>
      <c r="AG199">
        <v>99.866100000000003</v>
      </c>
      <c r="AH199">
        <v>0.13389699999999999</v>
      </c>
      <c r="AI199">
        <v>0</v>
      </c>
      <c r="AJ199">
        <v>0</v>
      </c>
      <c r="AK199">
        <v>0</v>
      </c>
      <c r="AL199">
        <v>0.50241499999999994</v>
      </c>
      <c r="AM199">
        <v>0.55969100000000005</v>
      </c>
      <c r="AN199">
        <v>2.9885899999999999</v>
      </c>
      <c r="AO199">
        <v>7.5250399999999997</v>
      </c>
      <c r="AP199">
        <v>17.896699999999999</v>
      </c>
      <c r="AQ199">
        <v>43.342599999999997</v>
      </c>
      <c r="AR199">
        <v>27.6873</v>
      </c>
      <c r="AS199">
        <v>4.7111599999999997E-2</v>
      </c>
      <c r="AT199">
        <v>7.0108699999999997</v>
      </c>
      <c r="AU199">
        <v>31.937200000000001</v>
      </c>
      <c r="AV199">
        <v>44.325400000000002</v>
      </c>
      <c r="AW199">
        <v>13.411199999999999</v>
      </c>
      <c r="AX199">
        <v>2.1798500000000001</v>
      </c>
      <c r="AY199">
        <v>1.1354500000000001</v>
      </c>
      <c r="AZ199">
        <v>269.70299999999997</v>
      </c>
      <c r="BA199">
        <v>273.3</v>
      </c>
      <c r="BB199">
        <v>10533.2</v>
      </c>
      <c r="BC199">
        <v>2.0967599999999999E-2</v>
      </c>
      <c r="BD199">
        <v>9.6406199999999997E-2</v>
      </c>
      <c r="BE199">
        <v>0.51952200000000004</v>
      </c>
      <c r="BF199">
        <v>3.4973999999999998</v>
      </c>
      <c r="BG199">
        <v>34.834800000000001</v>
      </c>
      <c r="BH199">
        <v>55.2729</v>
      </c>
      <c r="BI199">
        <v>5.77902</v>
      </c>
      <c r="BJ199">
        <v>31.520800000000001</v>
      </c>
      <c r="BK199">
        <v>0</v>
      </c>
      <c r="BL199">
        <v>32.389800000000001</v>
      </c>
      <c r="BM199">
        <v>59.445099999999996</v>
      </c>
      <c r="BN199">
        <v>7.2518900000000004</v>
      </c>
      <c r="BO199">
        <v>0.57040299999999999</v>
      </c>
      <c r="BP199">
        <v>0.34277800000000003</v>
      </c>
      <c r="BQ199">
        <v>33.340800000000002</v>
      </c>
      <c r="BR199">
        <v>37342</v>
      </c>
    </row>
    <row r="200" spans="1:70" x14ac:dyDescent="0.25">
      <c r="A200">
        <v>37</v>
      </c>
      <c r="B200" s="7">
        <v>45959.522557870368</v>
      </c>
      <c r="C200" t="s">
        <v>141</v>
      </c>
      <c r="D200" s="6" t="s">
        <v>270</v>
      </c>
      <c r="E200" s="6" t="str">
        <f>VLOOKUP(F200,Germplasm!$A$1:$B$21,2,FALSE)</f>
        <v>Arild</v>
      </c>
      <c r="F200" t="s">
        <v>74</v>
      </c>
      <c r="G200" s="6" t="s">
        <v>113</v>
      </c>
      <c r="H200">
        <v>51929.2</v>
      </c>
      <c r="I200">
        <v>355.995</v>
      </c>
      <c r="J200">
        <v>179359</v>
      </c>
      <c r="K200">
        <v>17.692299999999999</v>
      </c>
      <c r="L200">
        <v>80.140500000000003</v>
      </c>
      <c r="M200">
        <v>1599.63</v>
      </c>
      <c r="N200">
        <v>546.29700000000003</v>
      </c>
      <c r="O200">
        <v>20876500</v>
      </c>
      <c r="P200">
        <v>0.21859600000000001</v>
      </c>
      <c r="Q200">
        <v>0.84434799999999999</v>
      </c>
      <c r="R200">
        <v>4.9361899999999999</v>
      </c>
      <c r="S200">
        <v>21.664300000000001</v>
      </c>
      <c r="T200">
        <v>45.68</v>
      </c>
      <c r="U200">
        <v>26.270499999999998</v>
      </c>
      <c r="V200">
        <v>0.60473600000000005</v>
      </c>
      <c r="W200">
        <v>121.313</v>
      </c>
      <c r="X200">
        <v>1.44031</v>
      </c>
      <c r="Y200">
        <v>2.0485500000000001</v>
      </c>
      <c r="Z200">
        <v>3.4941300000000002</v>
      </c>
      <c r="AA200">
        <v>14.1837</v>
      </c>
      <c r="AB200">
        <v>33.491300000000003</v>
      </c>
      <c r="AC200">
        <v>45.341999999999999</v>
      </c>
      <c r="AD200">
        <v>1.63646</v>
      </c>
      <c r="AE200">
        <v>6.8436000000000003</v>
      </c>
      <c r="AF200">
        <v>0</v>
      </c>
      <c r="AG200">
        <v>99.640100000000004</v>
      </c>
      <c r="AH200">
        <v>0.33264899999999997</v>
      </c>
      <c r="AI200">
        <v>2.1064800000000002E-2</v>
      </c>
      <c r="AJ200">
        <v>6.1439099999999998E-3</v>
      </c>
      <c r="AK200">
        <v>0</v>
      </c>
      <c r="AL200">
        <v>0.51411799999999996</v>
      </c>
      <c r="AM200">
        <v>1.0234000000000001</v>
      </c>
      <c r="AN200">
        <v>3.7486600000000001</v>
      </c>
      <c r="AO200">
        <v>6.2369399999999997</v>
      </c>
      <c r="AP200">
        <v>15.581799999999999</v>
      </c>
      <c r="AQ200">
        <v>39.9056</v>
      </c>
      <c r="AR200">
        <v>33.503599999999999</v>
      </c>
      <c r="AS200">
        <v>1.33922E-2</v>
      </c>
      <c r="AT200">
        <v>9.2895900000000005</v>
      </c>
      <c r="AU200">
        <v>41.3538</v>
      </c>
      <c r="AV200">
        <v>36.287700000000001</v>
      </c>
      <c r="AW200">
        <v>9.4870699999999992</v>
      </c>
      <c r="AX200">
        <v>2.1758199999999999</v>
      </c>
      <c r="AY200">
        <v>1.40608</v>
      </c>
      <c r="AZ200">
        <v>402.01900000000001</v>
      </c>
      <c r="BA200">
        <v>423.59899999999999</v>
      </c>
      <c r="BB200">
        <v>31732.7</v>
      </c>
      <c r="BC200">
        <v>-1.4641400000000001E-3</v>
      </c>
      <c r="BD200">
        <v>0.13165499999999999</v>
      </c>
      <c r="BE200">
        <v>0.75219000000000003</v>
      </c>
      <c r="BF200">
        <v>3.8004500000000001</v>
      </c>
      <c r="BG200">
        <v>45.959099999999999</v>
      </c>
      <c r="BH200">
        <v>44.237000000000002</v>
      </c>
      <c r="BI200">
        <v>5.1196299999999999</v>
      </c>
      <c r="BJ200">
        <v>30.874700000000001</v>
      </c>
      <c r="BK200">
        <v>0</v>
      </c>
      <c r="BL200">
        <v>36.694000000000003</v>
      </c>
      <c r="BM200">
        <v>54.520200000000003</v>
      </c>
      <c r="BN200">
        <v>7.1146500000000001</v>
      </c>
      <c r="BO200">
        <v>0.90666500000000005</v>
      </c>
      <c r="BP200">
        <v>0.76447799999999999</v>
      </c>
      <c r="BQ200">
        <v>37.715299999999999</v>
      </c>
      <c r="BR200">
        <v>113934</v>
      </c>
    </row>
    <row r="201" spans="1:70" x14ac:dyDescent="0.25">
      <c r="A201">
        <v>37</v>
      </c>
      <c r="B201" s="7">
        <v>45966.555752314816</v>
      </c>
      <c r="C201" t="s">
        <v>141</v>
      </c>
      <c r="D201" s="6" t="s">
        <v>271</v>
      </c>
      <c r="E201" s="6" t="str">
        <f>VLOOKUP(F201,Germplasm!$A$1:$B$21,2,FALSE)</f>
        <v>Arild</v>
      </c>
      <c r="F201" t="s">
        <v>74</v>
      </c>
      <c r="G201" s="6" t="s">
        <v>113</v>
      </c>
      <c r="H201">
        <v>64715.3</v>
      </c>
      <c r="I201">
        <v>448.57100000000003</v>
      </c>
      <c r="J201">
        <v>213486</v>
      </c>
      <c r="K201">
        <v>18.182400000000001</v>
      </c>
      <c r="L201">
        <v>61.561500000000002</v>
      </c>
      <c r="M201">
        <v>1808.46</v>
      </c>
      <c r="N201">
        <v>697.01800000000003</v>
      </c>
      <c r="O201">
        <v>34349600</v>
      </c>
      <c r="P201">
        <v>0.23972299999999999</v>
      </c>
      <c r="Q201">
        <v>0.53058799999999995</v>
      </c>
      <c r="R201">
        <v>3.5781399999999999</v>
      </c>
      <c r="S201">
        <v>18.6953</v>
      </c>
      <c r="T201">
        <v>44.783099999999997</v>
      </c>
      <c r="U201">
        <v>31.7105</v>
      </c>
      <c r="V201">
        <v>0.70230999999999999</v>
      </c>
      <c r="W201">
        <v>114.39100000000001</v>
      </c>
      <c r="X201">
        <v>1.0597700000000001</v>
      </c>
      <c r="Y201">
        <v>2.4272499999999999</v>
      </c>
      <c r="Z201">
        <v>4.6273999999999997</v>
      </c>
      <c r="AA201">
        <v>18.9925</v>
      </c>
      <c r="AB201">
        <v>38.208599999999997</v>
      </c>
      <c r="AC201">
        <v>34.6845</v>
      </c>
      <c r="AD201">
        <v>1.6672</v>
      </c>
      <c r="AE201">
        <v>6.4793399999999997</v>
      </c>
      <c r="AF201">
        <v>0</v>
      </c>
      <c r="AG201">
        <v>99.6173</v>
      </c>
      <c r="AH201">
        <v>0.36937900000000001</v>
      </c>
      <c r="AI201">
        <v>1.3317300000000001E-2</v>
      </c>
      <c r="AJ201">
        <v>0</v>
      </c>
      <c r="AK201">
        <v>0</v>
      </c>
      <c r="AL201">
        <v>0.51714300000000002</v>
      </c>
      <c r="AM201">
        <v>0.76469100000000001</v>
      </c>
      <c r="AN201">
        <v>3.4092199999999999</v>
      </c>
      <c r="AO201">
        <v>6.6298899999999996</v>
      </c>
      <c r="AP201">
        <v>15.458500000000001</v>
      </c>
      <c r="AQ201">
        <v>39.423999999999999</v>
      </c>
      <c r="AR201">
        <v>34.313699999999997</v>
      </c>
      <c r="AS201">
        <v>6.13328E-2</v>
      </c>
      <c r="AT201">
        <v>5.3570399999999996</v>
      </c>
      <c r="AU201">
        <v>34.942399999999999</v>
      </c>
      <c r="AV201">
        <v>40.9071</v>
      </c>
      <c r="AW201">
        <v>13.1539</v>
      </c>
      <c r="AX201">
        <v>3.5514999999999999</v>
      </c>
      <c r="AY201">
        <v>2.0880100000000001</v>
      </c>
      <c r="AZ201">
        <v>530.78099999999995</v>
      </c>
      <c r="BA201">
        <v>581.99900000000002</v>
      </c>
      <c r="BB201">
        <v>38816.800000000003</v>
      </c>
      <c r="BC201">
        <v>2.6270000000000002E-2</v>
      </c>
      <c r="BD201">
        <v>0.101632</v>
      </c>
      <c r="BE201">
        <v>0.57614699999999996</v>
      </c>
      <c r="BF201">
        <v>2.2492100000000002</v>
      </c>
      <c r="BG201">
        <v>37.372399999999999</v>
      </c>
      <c r="BH201">
        <v>52.635399999999997</v>
      </c>
      <c r="BI201">
        <v>7.0651599999999997</v>
      </c>
      <c r="BJ201">
        <v>32.880400000000002</v>
      </c>
      <c r="BK201">
        <v>0</v>
      </c>
      <c r="BL201">
        <v>31.714700000000001</v>
      </c>
      <c r="BM201">
        <v>56.951599999999999</v>
      </c>
      <c r="BN201">
        <v>9.2877399999999994</v>
      </c>
      <c r="BO201">
        <v>1.23851</v>
      </c>
      <c r="BP201">
        <v>0.807446</v>
      </c>
      <c r="BQ201">
        <v>36.907600000000002</v>
      </c>
      <c r="BR201">
        <v>142672</v>
      </c>
    </row>
    <row r="202" spans="1:70" x14ac:dyDescent="0.25">
      <c r="A202">
        <v>37</v>
      </c>
      <c r="B202" s="7">
        <v>45973.555115740739</v>
      </c>
      <c r="C202" t="s">
        <v>141</v>
      </c>
      <c r="D202" s="6" t="s">
        <v>272</v>
      </c>
      <c r="E202" s="6" t="str">
        <f>VLOOKUP(F202,Germplasm!$A$1:$B$21,2,FALSE)</f>
        <v>Arild</v>
      </c>
      <c r="F202" t="s">
        <v>74</v>
      </c>
      <c r="G202" s="6" t="s">
        <v>113</v>
      </c>
      <c r="H202">
        <v>72867.3</v>
      </c>
      <c r="I202">
        <v>384.24</v>
      </c>
      <c r="J202">
        <v>190094</v>
      </c>
      <c r="K202">
        <v>23.250900000000001</v>
      </c>
      <c r="L202">
        <v>59.619399999999999</v>
      </c>
      <c r="M202">
        <v>1693.71</v>
      </c>
      <c r="N202">
        <v>640.03200000000004</v>
      </c>
      <c r="O202">
        <v>39273400</v>
      </c>
      <c r="P202">
        <v>0.21154300000000001</v>
      </c>
      <c r="Q202">
        <v>0.65241700000000002</v>
      </c>
      <c r="R202">
        <v>6.8960299999999997</v>
      </c>
      <c r="S202">
        <v>21.8109</v>
      </c>
      <c r="T202">
        <v>43.979799999999997</v>
      </c>
      <c r="U202">
        <v>26.268999999999998</v>
      </c>
      <c r="V202">
        <v>0.39181300000000002</v>
      </c>
      <c r="W202">
        <v>104.608</v>
      </c>
      <c r="X202">
        <v>3.1913399999999998</v>
      </c>
      <c r="Y202">
        <v>7.2624500000000003</v>
      </c>
      <c r="Z202">
        <v>6.3597099999999998</v>
      </c>
      <c r="AA202">
        <v>20.209800000000001</v>
      </c>
      <c r="AB202">
        <v>36.305599999999998</v>
      </c>
      <c r="AC202">
        <v>26.671099999999999</v>
      </c>
      <c r="AD202">
        <v>1.64863</v>
      </c>
      <c r="AE202">
        <v>7.4915000000000003</v>
      </c>
      <c r="AF202">
        <v>0</v>
      </c>
      <c r="AG202">
        <v>99.220600000000005</v>
      </c>
      <c r="AH202">
        <v>0.76851000000000003</v>
      </c>
      <c r="AI202">
        <v>1.08837E-2</v>
      </c>
      <c r="AJ202">
        <v>0</v>
      </c>
      <c r="AK202">
        <v>0</v>
      </c>
      <c r="AL202">
        <v>0.45616099999999998</v>
      </c>
      <c r="AM202">
        <v>1.73716</v>
      </c>
      <c r="AN202">
        <v>8.7220700000000004</v>
      </c>
      <c r="AO202">
        <v>10.6007</v>
      </c>
      <c r="AP202">
        <v>16.707699999999999</v>
      </c>
      <c r="AQ202">
        <v>37.855899999999998</v>
      </c>
      <c r="AR202">
        <v>24.3765</v>
      </c>
      <c r="AS202">
        <v>0.10448499999999999</v>
      </c>
      <c r="AT202">
        <v>2.8690600000000002</v>
      </c>
      <c r="AU202">
        <v>28.321200000000001</v>
      </c>
      <c r="AV202">
        <v>42.206400000000002</v>
      </c>
      <c r="AW202">
        <v>18.639500000000002</v>
      </c>
      <c r="AX202">
        <v>6.1855700000000002</v>
      </c>
      <c r="AY202">
        <v>1.77827</v>
      </c>
      <c r="AZ202">
        <v>538.971</v>
      </c>
      <c r="BA202">
        <v>625.20000000000005</v>
      </c>
      <c r="BB202">
        <v>44198.6</v>
      </c>
      <c r="BC202">
        <v>7.5879799999999997E-2</v>
      </c>
      <c r="BD202">
        <v>3.2046400000000003E-2</v>
      </c>
      <c r="BE202">
        <v>0.31199900000000003</v>
      </c>
      <c r="BF202">
        <v>1.3580399999999999</v>
      </c>
      <c r="BG202">
        <v>29.485700000000001</v>
      </c>
      <c r="BH202">
        <v>52.491500000000002</v>
      </c>
      <c r="BI202">
        <v>16.320699999999999</v>
      </c>
      <c r="BJ202">
        <v>32.1188</v>
      </c>
      <c r="BK202">
        <v>0</v>
      </c>
      <c r="BL202">
        <v>31.5488</v>
      </c>
      <c r="BM202">
        <v>59.142600000000002</v>
      </c>
      <c r="BN202">
        <v>7.8513799999999998</v>
      </c>
      <c r="BO202">
        <v>0.88581200000000004</v>
      </c>
      <c r="BP202">
        <v>0.57139399999999996</v>
      </c>
      <c r="BQ202">
        <v>37.396299999999997</v>
      </c>
      <c r="BR202">
        <v>165385</v>
      </c>
    </row>
    <row r="203" spans="1:70" x14ac:dyDescent="0.25">
      <c r="A203">
        <v>37</v>
      </c>
      <c r="B203" s="7">
        <v>45988.540462962963</v>
      </c>
      <c r="C203" t="s">
        <v>141</v>
      </c>
      <c r="D203" s="6" t="s">
        <v>273</v>
      </c>
      <c r="E203" s="6" t="str">
        <f>VLOOKUP(F203,Germplasm!$A$1:$B$21,2,FALSE)</f>
        <v>Arild</v>
      </c>
      <c r="F203" t="s">
        <v>74</v>
      </c>
      <c r="G203" s="6" t="s">
        <v>113</v>
      </c>
      <c r="H203">
        <v>44728.800000000003</v>
      </c>
      <c r="I203">
        <v>432.41</v>
      </c>
      <c r="J203">
        <v>147164</v>
      </c>
      <c r="K203">
        <v>17.3857</v>
      </c>
      <c r="L203">
        <v>63.0685</v>
      </c>
      <c r="M203">
        <v>1471.94</v>
      </c>
      <c r="N203">
        <v>541.88900000000001</v>
      </c>
      <c r="O203">
        <v>27141600</v>
      </c>
      <c r="P203">
        <v>0.157585</v>
      </c>
      <c r="Q203">
        <v>0.97282800000000003</v>
      </c>
      <c r="R203">
        <v>13.5829</v>
      </c>
      <c r="S203">
        <v>31.947600000000001</v>
      </c>
      <c r="T203">
        <v>37.194600000000001</v>
      </c>
      <c r="U203">
        <v>15.6585</v>
      </c>
      <c r="V203">
        <v>0.643594</v>
      </c>
      <c r="W203">
        <v>81.025000000000006</v>
      </c>
      <c r="X203">
        <v>7.1598600000000001</v>
      </c>
      <c r="Y203">
        <v>18.6751</v>
      </c>
      <c r="Z203">
        <v>10.4572</v>
      </c>
      <c r="AA203">
        <v>27.5655</v>
      </c>
      <c r="AB203">
        <v>22.62</v>
      </c>
      <c r="AC203">
        <v>13.522399999999999</v>
      </c>
      <c r="AD203">
        <v>1.74821</v>
      </c>
      <c r="AE203">
        <v>10.1938</v>
      </c>
      <c r="AF203">
        <v>0</v>
      </c>
      <c r="AG203">
        <v>96.147400000000005</v>
      </c>
      <c r="AH203">
        <v>3.8496600000000001</v>
      </c>
      <c r="AI203">
        <v>2.9750100000000002E-3</v>
      </c>
      <c r="AJ203">
        <v>0</v>
      </c>
      <c r="AK203">
        <v>0</v>
      </c>
      <c r="AL203">
        <v>0.32222000000000001</v>
      </c>
      <c r="AM203">
        <v>6.5232099999999997</v>
      </c>
      <c r="AN203">
        <v>21.3963</v>
      </c>
      <c r="AO203">
        <v>16.576799999999999</v>
      </c>
      <c r="AP203">
        <v>19.6995</v>
      </c>
      <c r="AQ203">
        <v>28.196200000000001</v>
      </c>
      <c r="AR203">
        <v>7.6080899999999998</v>
      </c>
      <c r="AS203">
        <v>0.193885</v>
      </c>
      <c r="AT203">
        <v>1.5142800000000001</v>
      </c>
      <c r="AU203">
        <v>12.485099999999999</v>
      </c>
      <c r="AV203">
        <v>38.752499999999998</v>
      </c>
      <c r="AW203">
        <v>35.569200000000002</v>
      </c>
      <c r="AX203">
        <v>9.0420499999999997</v>
      </c>
      <c r="AY203">
        <v>2.6368499999999999</v>
      </c>
      <c r="AZ203">
        <v>606.803</v>
      </c>
      <c r="BA203">
        <v>719.399</v>
      </c>
      <c r="BB203">
        <v>25585.5</v>
      </c>
      <c r="BC203">
        <v>0.172709</v>
      </c>
      <c r="BD203">
        <v>7.9333600000000004E-2</v>
      </c>
      <c r="BE203">
        <v>0.37386000000000003</v>
      </c>
      <c r="BF203">
        <v>1.18405</v>
      </c>
      <c r="BG203">
        <v>12.360200000000001</v>
      </c>
      <c r="BH203">
        <v>49.781799999999997</v>
      </c>
      <c r="BI203">
        <v>36.220700000000001</v>
      </c>
      <c r="BJ203">
        <v>32.347799999999999</v>
      </c>
      <c r="BK203">
        <v>0</v>
      </c>
      <c r="BL203">
        <v>32.132100000000001</v>
      </c>
      <c r="BM203">
        <v>58.163400000000003</v>
      </c>
      <c r="BN203">
        <v>7.4672700000000001</v>
      </c>
      <c r="BO203">
        <v>1.1691800000000001</v>
      </c>
      <c r="BP203">
        <v>1.06803</v>
      </c>
      <c r="BQ203">
        <v>34.929400000000001</v>
      </c>
      <c r="BR203">
        <v>100840</v>
      </c>
    </row>
    <row r="204" spans="1:70" x14ac:dyDescent="0.25">
      <c r="A204">
        <v>37</v>
      </c>
      <c r="B204" s="7">
        <v>45994.550462962965</v>
      </c>
      <c r="C204" t="s">
        <v>141</v>
      </c>
      <c r="D204" s="6" t="s">
        <v>274</v>
      </c>
      <c r="E204" s="6" t="str">
        <f>VLOOKUP(F204,Germplasm!$A$1:$B$21,2,FALSE)</f>
        <v>Arild</v>
      </c>
      <c r="F204" t="s">
        <v>74</v>
      </c>
      <c r="G204" s="6" t="s">
        <v>113</v>
      </c>
      <c r="H204">
        <v>41196</v>
      </c>
      <c r="I204">
        <v>490.61099999999999</v>
      </c>
      <c r="J204">
        <v>139633</v>
      </c>
      <c r="K204">
        <v>15.828200000000001</v>
      </c>
      <c r="L204">
        <v>68.779399999999995</v>
      </c>
      <c r="M204">
        <v>1425.22</v>
      </c>
      <c r="N204">
        <v>507.87200000000001</v>
      </c>
      <c r="O204">
        <v>24620600</v>
      </c>
      <c r="P204">
        <v>0.101856</v>
      </c>
      <c r="Q204">
        <v>1.10355</v>
      </c>
      <c r="R204">
        <v>19.182600000000001</v>
      </c>
      <c r="S204">
        <v>46.560899999999997</v>
      </c>
      <c r="T204">
        <v>25.6937</v>
      </c>
      <c r="U204">
        <v>7.0722199999999997</v>
      </c>
      <c r="V204">
        <v>0.38696000000000003</v>
      </c>
      <c r="W204">
        <v>61.685200000000002</v>
      </c>
      <c r="X204">
        <v>10.2021</v>
      </c>
      <c r="Y204">
        <v>33.8155</v>
      </c>
      <c r="Z204">
        <v>15.7187</v>
      </c>
      <c r="AA204">
        <v>18.666699999999999</v>
      </c>
      <c r="AB204">
        <v>11.304500000000001</v>
      </c>
      <c r="AC204">
        <v>10.2925</v>
      </c>
      <c r="AD204">
        <v>1.86395</v>
      </c>
      <c r="AE204">
        <v>12.2464</v>
      </c>
      <c r="AF204">
        <v>0</v>
      </c>
      <c r="AG204">
        <v>95.653000000000006</v>
      </c>
      <c r="AH204">
        <v>4.34476</v>
      </c>
      <c r="AI204">
        <v>2.2049000000000001E-3</v>
      </c>
      <c r="AJ204">
        <v>0</v>
      </c>
      <c r="AK204">
        <v>0</v>
      </c>
      <c r="AL204">
        <v>0.216226</v>
      </c>
      <c r="AM204">
        <v>9.0875000000000004</v>
      </c>
      <c r="AN204">
        <v>35.549599999999998</v>
      </c>
      <c r="AO204">
        <v>23.3521</v>
      </c>
      <c r="AP204">
        <v>18.283000000000001</v>
      </c>
      <c r="AQ204">
        <v>10.5692</v>
      </c>
      <c r="AR204">
        <v>3.1585200000000002</v>
      </c>
      <c r="AS204">
        <v>0.25480199999999997</v>
      </c>
      <c r="AT204">
        <v>0.94590300000000005</v>
      </c>
      <c r="AU204">
        <v>8.7997599999999991</v>
      </c>
      <c r="AV204">
        <v>27.1313</v>
      </c>
      <c r="AW204">
        <v>42.353999999999999</v>
      </c>
      <c r="AX204">
        <v>17.443000000000001</v>
      </c>
      <c r="AY204">
        <v>3.3260900000000002</v>
      </c>
      <c r="AZ204">
        <v>597.64499999999998</v>
      </c>
      <c r="BA204">
        <v>704.99900000000002</v>
      </c>
      <c r="BB204">
        <v>22101.4</v>
      </c>
      <c r="BC204">
        <v>0.26596700000000001</v>
      </c>
      <c r="BD204">
        <v>0.10363</v>
      </c>
      <c r="BE204">
        <v>0.28443200000000002</v>
      </c>
      <c r="BF204">
        <v>0.85880900000000004</v>
      </c>
      <c r="BG204">
        <v>8.4965899999999994</v>
      </c>
      <c r="BH204">
        <v>29.779399999999999</v>
      </c>
      <c r="BI204">
        <v>60.4771</v>
      </c>
      <c r="BJ204">
        <v>32.767200000000003</v>
      </c>
      <c r="BK204">
        <v>0</v>
      </c>
      <c r="BL204">
        <v>31.7682</v>
      </c>
      <c r="BM204">
        <v>58.082599999999999</v>
      </c>
      <c r="BN204">
        <v>7.8968499999999997</v>
      </c>
      <c r="BO204">
        <v>1.4056200000000001</v>
      </c>
      <c r="BP204">
        <v>0.84668200000000005</v>
      </c>
      <c r="BQ204">
        <v>32.476199999999999</v>
      </c>
      <c r="BR204">
        <v>90707</v>
      </c>
    </row>
    <row r="205" spans="1:70" x14ac:dyDescent="0.25">
      <c r="A205">
        <v>37</v>
      </c>
      <c r="B205" s="7">
        <v>46002.568692129629</v>
      </c>
      <c r="C205" t="s">
        <v>141</v>
      </c>
      <c r="D205" s="6" t="s">
        <v>275</v>
      </c>
      <c r="E205" s="6" t="str">
        <f>VLOOKUP(F205,Germplasm!$A$1:$B$21,2,FALSE)</f>
        <v>Arild</v>
      </c>
      <c r="F205" t="s">
        <v>74</v>
      </c>
      <c r="G205" s="6" t="s">
        <v>113</v>
      </c>
      <c r="H205">
        <v>33228.1</v>
      </c>
      <c r="I205">
        <v>525.851</v>
      </c>
      <c r="J205">
        <v>96198.9</v>
      </c>
      <c r="K205">
        <v>18.5273</v>
      </c>
      <c r="L205">
        <v>54.8919</v>
      </c>
      <c r="M205">
        <v>1224.76</v>
      </c>
      <c r="N205">
        <v>472.26400000000001</v>
      </c>
      <c r="O205">
        <v>20264300</v>
      </c>
      <c r="P205">
        <v>4.8601600000000002E-2</v>
      </c>
      <c r="Q205">
        <v>1.52891</v>
      </c>
      <c r="R205">
        <v>31.905999999999999</v>
      </c>
      <c r="S205">
        <v>50.198099999999997</v>
      </c>
      <c r="T205">
        <v>12.575100000000001</v>
      </c>
      <c r="U205">
        <v>3.58819</v>
      </c>
      <c r="V205">
        <v>0.20361099999999999</v>
      </c>
      <c r="W205">
        <v>46.8855</v>
      </c>
      <c r="X205">
        <v>17.756900000000002</v>
      </c>
      <c r="Y205">
        <v>41.263599999999997</v>
      </c>
      <c r="Z205">
        <v>14.1784</v>
      </c>
      <c r="AA205">
        <v>11.946</v>
      </c>
      <c r="AB205">
        <v>5.25488</v>
      </c>
      <c r="AC205">
        <v>9.6002100000000006</v>
      </c>
      <c r="AD205">
        <v>1.8643400000000001</v>
      </c>
      <c r="AE205">
        <v>13.5853</v>
      </c>
      <c r="AF205">
        <v>0</v>
      </c>
      <c r="AG205">
        <v>92.645600000000002</v>
      </c>
      <c r="AH205">
        <v>7.2739200000000004</v>
      </c>
      <c r="AI205">
        <v>8.0469200000000005E-2</v>
      </c>
      <c r="AJ205">
        <v>0</v>
      </c>
      <c r="AK205">
        <v>0</v>
      </c>
      <c r="AL205">
        <v>0.14865600000000001</v>
      </c>
      <c r="AM205">
        <v>11.74</v>
      </c>
      <c r="AN205">
        <v>47.902299999999997</v>
      </c>
      <c r="AO205">
        <v>25.217300000000002</v>
      </c>
      <c r="AP205">
        <v>9.6684900000000003</v>
      </c>
      <c r="AQ205">
        <v>3.8783699999999999</v>
      </c>
      <c r="AR205">
        <v>1.5935299999999999</v>
      </c>
      <c r="AS205">
        <v>0.25722099999999998</v>
      </c>
      <c r="AT205">
        <v>0.89857200000000004</v>
      </c>
      <c r="AU205">
        <v>6.6630900000000004</v>
      </c>
      <c r="AV205">
        <v>27.238800000000001</v>
      </c>
      <c r="AW205">
        <v>48.963000000000001</v>
      </c>
      <c r="AX205">
        <v>12.718999999999999</v>
      </c>
      <c r="AY205">
        <v>3.5174799999999999</v>
      </c>
      <c r="AZ205">
        <v>609.85400000000004</v>
      </c>
      <c r="BA205">
        <v>676.79899999999998</v>
      </c>
      <c r="BB205">
        <v>17823</v>
      </c>
      <c r="BC205">
        <v>0.29258499999999998</v>
      </c>
      <c r="BD205">
        <v>0.112169</v>
      </c>
      <c r="BE205">
        <v>0.39502999999999999</v>
      </c>
      <c r="BF205">
        <v>1.0814600000000001</v>
      </c>
      <c r="BG205">
        <v>5.9717900000000004</v>
      </c>
      <c r="BH205">
        <v>21.273099999999999</v>
      </c>
      <c r="BI205">
        <v>71.166399999999996</v>
      </c>
      <c r="BJ205">
        <v>30.132300000000001</v>
      </c>
      <c r="BK205">
        <v>0</v>
      </c>
      <c r="BL205">
        <v>39.951700000000002</v>
      </c>
      <c r="BM205">
        <v>51.773400000000002</v>
      </c>
      <c r="BN205">
        <v>5.9132600000000002</v>
      </c>
      <c r="BO205">
        <v>1.43869</v>
      </c>
      <c r="BP205">
        <v>0.92295700000000003</v>
      </c>
      <c r="BQ205">
        <v>32.462200000000003</v>
      </c>
      <c r="BR205">
        <v>82019</v>
      </c>
    </row>
    <row r="206" spans="1:70" x14ac:dyDescent="0.25">
      <c r="A206">
        <v>37</v>
      </c>
      <c r="B206" s="7">
        <v>46013.605694444443</v>
      </c>
      <c r="C206" t="s">
        <v>141</v>
      </c>
      <c r="D206" s="6" t="s">
        <v>276</v>
      </c>
      <c r="E206" s="6" t="str">
        <f>VLOOKUP(F206,Germplasm!$A$1:$B$21,2,FALSE)</f>
        <v>Arild</v>
      </c>
      <c r="F206" t="s">
        <v>74</v>
      </c>
      <c r="G206" s="6" t="s">
        <v>113</v>
      </c>
      <c r="H206">
        <v>32747.5</v>
      </c>
      <c r="I206">
        <v>507.03899999999999</v>
      </c>
      <c r="J206">
        <v>132088</v>
      </c>
      <c r="K206">
        <v>12.883900000000001</v>
      </c>
      <c r="L206">
        <v>56.005899999999997</v>
      </c>
      <c r="M206">
        <v>1432.63</v>
      </c>
      <c r="N206">
        <v>590.87099999999998</v>
      </c>
      <c r="O206">
        <v>18301700</v>
      </c>
      <c r="P206">
        <v>5.9675500000000003E-3</v>
      </c>
      <c r="Q206">
        <v>1.1719999999999999</v>
      </c>
      <c r="R206">
        <v>40.741199999999999</v>
      </c>
      <c r="S206">
        <v>56.211599999999997</v>
      </c>
      <c r="T206">
        <v>1.6093500000000001</v>
      </c>
      <c r="U206">
        <v>0.23297000000000001</v>
      </c>
      <c r="V206">
        <v>3.2873100000000002E-2</v>
      </c>
      <c r="W206">
        <v>34.520899999999997</v>
      </c>
      <c r="X206">
        <v>22.0807</v>
      </c>
      <c r="Y206">
        <v>58.376899999999999</v>
      </c>
      <c r="Z206">
        <v>9.3288200000000003</v>
      </c>
      <c r="AA206">
        <v>2.6312799999999998</v>
      </c>
      <c r="AB206">
        <v>1.02335</v>
      </c>
      <c r="AC206">
        <v>6.5589000000000004</v>
      </c>
      <c r="AD206">
        <v>1.92428</v>
      </c>
      <c r="AE206">
        <v>18.963799999999999</v>
      </c>
      <c r="AF206">
        <v>0</v>
      </c>
      <c r="AG206">
        <v>76.677199999999999</v>
      </c>
      <c r="AH206">
        <v>23.288499999999999</v>
      </c>
      <c r="AI206">
        <v>3.4302399999999997E-2</v>
      </c>
      <c r="AJ206">
        <v>0</v>
      </c>
      <c r="AK206">
        <v>0</v>
      </c>
      <c r="AL206">
        <v>7.7828700000000001E-2</v>
      </c>
      <c r="AM206">
        <v>18.446100000000001</v>
      </c>
      <c r="AN206">
        <v>63.7881</v>
      </c>
      <c r="AO206">
        <v>13.3851</v>
      </c>
      <c r="AP206">
        <v>2.8999799999999998</v>
      </c>
      <c r="AQ206">
        <v>1.0619400000000001</v>
      </c>
      <c r="AR206">
        <v>0.41877500000000001</v>
      </c>
      <c r="AS206">
        <v>0.25960299999999997</v>
      </c>
      <c r="AT206">
        <v>0.75608200000000003</v>
      </c>
      <c r="AU206">
        <v>3.5474399999999999</v>
      </c>
      <c r="AV206">
        <v>27.929300000000001</v>
      </c>
      <c r="AW206">
        <v>55.5227</v>
      </c>
      <c r="AX206">
        <v>9.3459699999999994</v>
      </c>
      <c r="AY206">
        <v>2.8985500000000002</v>
      </c>
      <c r="AZ206">
        <v>558.87400000000002</v>
      </c>
      <c r="BA206">
        <v>568.79899999999998</v>
      </c>
      <c r="BB206">
        <v>17018</v>
      </c>
      <c r="BC206">
        <v>0.33430599999999999</v>
      </c>
      <c r="BD206">
        <v>0.154361</v>
      </c>
      <c r="BE206">
        <v>0.46022400000000002</v>
      </c>
      <c r="BF206">
        <v>0.77752100000000002</v>
      </c>
      <c r="BG206">
        <v>2.9114100000000001</v>
      </c>
      <c r="BH206">
        <v>12.2845</v>
      </c>
      <c r="BI206">
        <v>83.411900000000003</v>
      </c>
      <c r="BJ206">
        <v>27.538799999999998</v>
      </c>
      <c r="BK206">
        <v>0</v>
      </c>
      <c r="BL206">
        <v>46.488300000000002</v>
      </c>
      <c r="BM206">
        <v>48.393500000000003</v>
      </c>
      <c r="BN206">
        <v>3.3673500000000001</v>
      </c>
      <c r="BO206">
        <v>1.07338</v>
      </c>
      <c r="BP206">
        <v>0.67747199999999996</v>
      </c>
      <c r="BQ206">
        <v>31.331800000000001</v>
      </c>
      <c r="BR206">
        <v>69966</v>
      </c>
    </row>
    <row r="207" spans="1:70" x14ac:dyDescent="0.25">
      <c r="A207">
        <v>37</v>
      </c>
      <c r="B207" s="7">
        <v>46024.531608796293</v>
      </c>
      <c r="C207" t="s">
        <v>141</v>
      </c>
      <c r="D207" s="6" t="s">
        <v>277</v>
      </c>
      <c r="E207" s="6" t="str">
        <f>VLOOKUP(F207,Germplasm!$A$1:$B$21,2,FALSE)</f>
        <v>Arild</v>
      </c>
      <c r="F207" t="s">
        <v>74</v>
      </c>
      <c r="G207" s="6" t="s">
        <v>113</v>
      </c>
      <c r="H207">
        <v>33311.1</v>
      </c>
      <c r="I207">
        <v>457.43</v>
      </c>
      <c r="J207">
        <v>112190</v>
      </c>
      <c r="K207">
        <v>15.688700000000001</v>
      </c>
      <c r="L207">
        <v>42.7074</v>
      </c>
      <c r="M207">
        <v>1422.72</v>
      </c>
      <c r="N207">
        <v>621.33199999999999</v>
      </c>
      <c r="O207">
        <v>16686700</v>
      </c>
      <c r="P207">
        <v>5.20829E-3</v>
      </c>
      <c r="Q207">
        <v>1.0958300000000001</v>
      </c>
      <c r="R207">
        <v>40.6526</v>
      </c>
      <c r="S207">
        <v>56.768999999999998</v>
      </c>
      <c r="T207">
        <v>1.2199599999999999</v>
      </c>
      <c r="U207">
        <v>0.23257800000000001</v>
      </c>
      <c r="V207">
        <v>2.9964000000000001E-2</v>
      </c>
      <c r="W207">
        <v>33.799799999999998</v>
      </c>
      <c r="X207">
        <v>21.106100000000001</v>
      </c>
      <c r="Y207">
        <v>60.665799999999997</v>
      </c>
      <c r="Z207">
        <v>7.8520099999999999</v>
      </c>
      <c r="AA207">
        <v>2.1788099999999999</v>
      </c>
      <c r="AB207">
        <v>0.95599599999999996</v>
      </c>
      <c r="AC207">
        <v>7.2413100000000004</v>
      </c>
      <c r="AD207">
        <v>1.89256</v>
      </c>
      <c r="AE207">
        <v>20.8094</v>
      </c>
      <c r="AF207">
        <v>0</v>
      </c>
      <c r="AG207">
        <v>70.242900000000006</v>
      </c>
      <c r="AH207">
        <v>29.018000000000001</v>
      </c>
      <c r="AI207">
        <v>0.70344200000000001</v>
      </c>
      <c r="AJ207">
        <v>3.5671500000000002E-2</v>
      </c>
      <c r="AK207">
        <v>0</v>
      </c>
      <c r="AL207">
        <v>7.5741199999999995E-2</v>
      </c>
      <c r="AM207">
        <v>19.9603</v>
      </c>
      <c r="AN207">
        <v>61.824399999999997</v>
      </c>
      <c r="AO207">
        <v>13.5837</v>
      </c>
      <c r="AP207">
        <v>3.17476</v>
      </c>
      <c r="AQ207">
        <v>1.1300699999999999</v>
      </c>
      <c r="AR207">
        <v>0.32675100000000001</v>
      </c>
      <c r="AS207">
        <v>0.25312400000000002</v>
      </c>
      <c r="AT207">
        <v>0.73483200000000004</v>
      </c>
      <c r="AU207">
        <v>3.9210099999999999</v>
      </c>
      <c r="AV207">
        <v>28.356000000000002</v>
      </c>
      <c r="AW207">
        <v>56.252499999999998</v>
      </c>
      <c r="AX207">
        <v>7.9961200000000003</v>
      </c>
      <c r="AY207">
        <v>2.7395700000000001</v>
      </c>
      <c r="AZ207">
        <v>500.935</v>
      </c>
      <c r="BA207">
        <v>531</v>
      </c>
      <c r="BB207">
        <v>17601.099999999999</v>
      </c>
      <c r="BC207">
        <v>0.33080100000000001</v>
      </c>
      <c r="BD207">
        <v>9.4172699999999998E-2</v>
      </c>
      <c r="BE207">
        <v>0.449461</v>
      </c>
      <c r="BF207">
        <v>0.819017</v>
      </c>
      <c r="BG207">
        <v>3.2931900000000001</v>
      </c>
      <c r="BH207">
        <v>12.4551</v>
      </c>
      <c r="BI207">
        <v>82.889099999999999</v>
      </c>
      <c r="BJ207">
        <v>26.902000000000001</v>
      </c>
      <c r="BK207">
        <v>0</v>
      </c>
      <c r="BL207">
        <v>48.203600000000002</v>
      </c>
      <c r="BM207">
        <v>47.110599999999998</v>
      </c>
      <c r="BN207">
        <v>3.05491</v>
      </c>
      <c r="BO207">
        <v>0.99594800000000006</v>
      </c>
      <c r="BP207">
        <v>0.63495199999999996</v>
      </c>
      <c r="BQ207">
        <v>31.919499999999999</v>
      </c>
      <c r="BR207">
        <v>70084</v>
      </c>
    </row>
    <row r="208" spans="1:70" x14ac:dyDescent="0.25">
      <c r="A208">
        <v>38</v>
      </c>
      <c r="B208" s="7">
        <v>45952.562222222223</v>
      </c>
      <c r="C208" t="s">
        <v>142</v>
      </c>
      <c r="D208" s="6" t="s">
        <v>278</v>
      </c>
      <c r="E208" s="6" t="str">
        <f>VLOOKUP(F208,Germplasm!$A$1:$B$21,2,FALSE)</f>
        <v>Ismena</v>
      </c>
      <c r="F208" t="s">
        <v>63</v>
      </c>
      <c r="G208" s="6" t="s">
        <v>113</v>
      </c>
      <c r="H208">
        <v>34583.5</v>
      </c>
      <c r="I208">
        <v>154.51900000000001</v>
      </c>
      <c r="J208">
        <v>161292</v>
      </c>
      <c r="K208">
        <v>12.718</v>
      </c>
      <c r="L208">
        <v>68.986699999999999</v>
      </c>
      <c r="M208">
        <v>1546.64</v>
      </c>
      <c r="N208">
        <v>553.78300000000002</v>
      </c>
      <c r="O208">
        <v>7525550</v>
      </c>
      <c r="P208">
        <v>0.20909</v>
      </c>
      <c r="Q208">
        <v>0.53934899999999997</v>
      </c>
      <c r="R208">
        <v>6.9890600000000003</v>
      </c>
      <c r="S208">
        <v>24.244</v>
      </c>
      <c r="T208">
        <v>40.373899999999999</v>
      </c>
      <c r="U208">
        <v>27.6402</v>
      </c>
      <c r="V208">
        <v>0.21349199999999999</v>
      </c>
      <c r="W208">
        <v>114.896</v>
      </c>
      <c r="X208">
        <v>2.2051500000000002</v>
      </c>
      <c r="Y208">
        <v>3.4678399999999998</v>
      </c>
      <c r="Z208">
        <v>4.9299799999999996</v>
      </c>
      <c r="AA208">
        <v>17.315300000000001</v>
      </c>
      <c r="AB208">
        <v>35.021099999999997</v>
      </c>
      <c r="AC208">
        <v>37.060600000000001</v>
      </c>
      <c r="AD208">
        <v>1.6859200000000001</v>
      </c>
      <c r="AE208">
        <v>14.5525</v>
      </c>
      <c r="AF208">
        <v>0</v>
      </c>
      <c r="AG208">
        <v>90.120400000000004</v>
      </c>
      <c r="AH208">
        <v>0.98318700000000003</v>
      </c>
      <c r="AI208">
        <v>1.5632699999999999</v>
      </c>
      <c r="AJ208">
        <v>7.33317</v>
      </c>
      <c r="AK208">
        <v>0</v>
      </c>
      <c r="AL208">
        <v>0.46156199999999997</v>
      </c>
      <c r="AM208">
        <v>8.6857600000000001</v>
      </c>
      <c r="AN208">
        <v>4.6111500000000003</v>
      </c>
      <c r="AO208">
        <v>5.1814</v>
      </c>
      <c r="AP208">
        <v>14.0722</v>
      </c>
      <c r="AQ208">
        <v>38.761499999999998</v>
      </c>
      <c r="AR208">
        <v>28.687999999999999</v>
      </c>
      <c r="AS208">
        <v>3.5050900000000003E-2</v>
      </c>
      <c r="AT208">
        <v>7.1056400000000002</v>
      </c>
      <c r="AU208">
        <v>34.974800000000002</v>
      </c>
      <c r="AV208">
        <v>43.156300000000002</v>
      </c>
      <c r="AW208">
        <v>11.581899999999999</v>
      </c>
      <c r="AX208">
        <v>2.1307100000000001</v>
      </c>
      <c r="AY208">
        <v>1.05061</v>
      </c>
      <c r="AZ208">
        <v>217.60499999999999</v>
      </c>
      <c r="BA208">
        <v>274.2</v>
      </c>
      <c r="BB208">
        <v>20513.2</v>
      </c>
      <c r="BC208">
        <v>6.75641E-3</v>
      </c>
      <c r="BD208">
        <v>0.66294900000000001</v>
      </c>
      <c r="BE208">
        <v>0.78093199999999996</v>
      </c>
      <c r="BF208">
        <v>3.4186800000000002</v>
      </c>
      <c r="BG208">
        <v>37.2179</v>
      </c>
      <c r="BH208">
        <v>52.301400000000001</v>
      </c>
      <c r="BI208">
        <v>5.6182100000000004</v>
      </c>
      <c r="BJ208">
        <v>32.041800000000002</v>
      </c>
      <c r="BK208">
        <v>0</v>
      </c>
      <c r="BL208">
        <v>33.703699999999998</v>
      </c>
      <c r="BM208">
        <v>56.763599999999997</v>
      </c>
      <c r="BN208">
        <v>7.1056400000000002</v>
      </c>
      <c r="BO208">
        <v>1.2360100000000001</v>
      </c>
      <c r="BP208">
        <v>1.19106</v>
      </c>
      <c r="BQ208">
        <v>36.413699999999999</v>
      </c>
      <c r="BR208">
        <v>71197</v>
      </c>
    </row>
    <row r="209" spans="1:70" x14ac:dyDescent="0.25">
      <c r="A209">
        <v>38</v>
      </c>
      <c r="B209" s="7">
        <v>45959.524085648147</v>
      </c>
      <c r="C209" t="s">
        <v>142</v>
      </c>
      <c r="D209" s="6" t="s">
        <v>279</v>
      </c>
      <c r="E209" s="6" t="str">
        <f>VLOOKUP(F209,Germplasm!$A$1:$B$21,2,FALSE)</f>
        <v>Ismena</v>
      </c>
      <c r="F209" t="s">
        <v>63</v>
      </c>
      <c r="G209" s="6" t="s">
        <v>113</v>
      </c>
      <c r="H209">
        <v>70026.7</v>
      </c>
      <c r="I209">
        <v>378.82100000000003</v>
      </c>
      <c r="J209">
        <v>220421</v>
      </c>
      <c r="K209">
        <v>20.520800000000001</v>
      </c>
      <c r="L209">
        <v>69.748999999999995</v>
      </c>
      <c r="M209">
        <v>1767.85</v>
      </c>
      <c r="N209">
        <v>641.86599999999999</v>
      </c>
      <c r="O209">
        <v>31059700</v>
      </c>
      <c r="P209">
        <v>0.199959</v>
      </c>
      <c r="Q209">
        <v>0.56183499999999997</v>
      </c>
      <c r="R209">
        <v>6.30457</v>
      </c>
      <c r="S209">
        <v>27.491099999999999</v>
      </c>
      <c r="T209">
        <v>42.002299999999998</v>
      </c>
      <c r="U209">
        <v>23.240300000000001</v>
      </c>
      <c r="V209">
        <v>0.399837</v>
      </c>
      <c r="W209">
        <v>123.14700000000001</v>
      </c>
      <c r="X209">
        <v>1.7461800000000001</v>
      </c>
      <c r="Y209">
        <v>2.9638900000000001</v>
      </c>
      <c r="Z209">
        <v>3.9838100000000001</v>
      </c>
      <c r="AA209">
        <v>12.305199999999999</v>
      </c>
      <c r="AB209">
        <v>29.9101</v>
      </c>
      <c r="AC209">
        <v>49.090800000000002</v>
      </c>
      <c r="AD209">
        <v>1.54816</v>
      </c>
      <c r="AE209">
        <v>12.1134</v>
      </c>
      <c r="AF209">
        <v>0</v>
      </c>
      <c r="AG209">
        <v>91.917699999999996</v>
      </c>
      <c r="AH209">
        <v>1.11578</v>
      </c>
      <c r="AI209">
        <v>2.1605799999999999</v>
      </c>
      <c r="AJ209">
        <v>4.8059399999999997</v>
      </c>
      <c r="AK209">
        <v>0</v>
      </c>
      <c r="AL209">
        <v>0.47672999999999999</v>
      </c>
      <c r="AM209">
        <v>6.3707000000000003</v>
      </c>
      <c r="AN209">
        <v>4.5595999999999997</v>
      </c>
      <c r="AO209">
        <v>5.7736799999999997</v>
      </c>
      <c r="AP209">
        <v>15.5251</v>
      </c>
      <c r="AQ209">
        <v>35.892499999999998</v>
      </c>
      <c r="AR209">
        <v>31.878399999999999</v>
      </c>
      <c r="AS209">
        <v>-3.5287600000000001E-3</v>
      </c>
      <c r="AT209">
        <v>9.8727699999999992</v>
      </c>
      <c r="AU209">
        <v>43.991199999999999</v>
      </c>
      <c r="AV209">
        <v>35.694699999999997</v>
      </c>
      <c r="AW209">
        <v>7.66547</v>
      </c>
      <c r="AX209">
        <v>1.7928999999999999</v>
      </c>
      <c r="AY209">
        <v>0.982908</v>
      </c>
      <c r="AZ209">
        <v>443.541</v>
      </c>
      <c r="BA209">
        <v>495.59899999999999</v>
      </c>
      <c r="BB209">
        <v>45232.1</v>
      </c>
      <c r="BC209">
        <v>-1.6735099999999999E-2</v>
      </c>
      <c r="BD209">
        <v>0.45383699999999999</v>
      </c>
      <c r="BE209">
        <v>0.99018899999999999</v>
      </c>
      <c r="BF209">
        <v>4.2980999999999998</v>
      </c>
      <c r="BG209">
        <v>48.121899999999997</v>
      </c>
      <c r="BH209">
        <v>41.8294</v>
      </c>
      <c r="BI209">
        <v>4.3065899999999999</v>
      </c>
      <c r="BJ209">
        <v>29.763999999999999</v>
      </c>
      <c r="BK209">
        <v>0</v>
      </c>
      <c r="BL209">
        <v>40.580199999999998</v>
      </c>
      <c r="BM209">
        <v>51.4741</v>
      </c>
      <c r="BN209">
        <v>6.2087000000000003</v>
      </c>
      <c r="BO209">
        <v>0.93376300000000001</v>
      </c>
      <c r="BP209">
        <v>0.803315</v>
      </c>
      <c r="BQ209">
        <v>40.295099999999998</v>
      </c>
      <c r="BR209">
        <v>164817</v>
      </c>
    </row>
    <row r="210" spans="1:70" x14ac:dyDescent="0.25">
      <c r="A210">
        <v>38</v>
      </c>
      <c r="B210" s="7">
        <v>45966.554351851853</v>
      </c>
      <c r="C210" t="s">
        <v>142</v>
      </c>
      <c r="D210" s="6" t="s">
        <v>280</v>
      </c>
      <c r="E210" s="6" t="str">
        <f>VLOOKUP(F210,Germplasm!$A$1:$B$21,2,FALSE)</f>
        <v>Ismena</v>
      </c>
      <c r="F210" t="s">
        <v>63</v>
      </c>
      <c r="G210" s="6" t="s">
        <v>113</v>
      </c>
      <c r="H210">
        <v>62564.3</v>
      </c>
      <c r="I210">
        <v>468.279</v>
      </c>
      <c r="J210">
        <v>178660</v>
      </c>
      <c r="K210">
        <v>21.376300000000001</v>
      </c>
      <c r="L210">
        <v>82.896199999999993</v>
      </c>
      <c r="M210">
        <v>1572.27</v>
      </c>
      <c r="N210">
        <v>551.44000000000005</v>
      </c>
      <c r="O210">
        <v>34440100</v>
      </c>
      <c r="P210">
        <v>0.204599</v>
      </c>
      <c r="Q210">
        <v>0.55820400000000003</v>
      </c>
      <c r="R210">
        <v>5.2661300000000004</v>
      </c>
      <c r="S210">
        <v>24.876200000000001</v>
      </c>
      <c r="T210">
        <v>46.046500000000002</v>
      </c>
      <c r="U210">
        <v>22.949300000000001</v>
      </c>
      <c r="V210">
        <v>0.30375999999999997</v>
      </c>
      <c r="W210">
        <v>117.864</v>
      </c>
      <c r="X210">
        <v>1.66246</v>
      </c>
      <c r="Y210">
        <v>2.6023299999999998</v>
      </c>
      <c r="Z210">
        <v>4.1354300000000004</v>
      </c>
      <c r="AA210">
        <v>14.3789</v>
      </c>
      <c r="AB210">
        <v>36.702800000000003</v>
      </c>
      <c r="AC210">
        <v>40.518000000000001</v>
      </c>
      <c r="AD210">
        <v>1.63819</v>
      </c>
      <c r="AE210">
        <v>11.906499999999999</v>
      </c>
      <c r="AF210">
        <v>0</v>
      </c>
      <c r="AG210">
        <v>92.9285</v>
      </c>
      <c r="AH210">
        <v>0.80550100000000002</v>
      </c>
      <c r="AI210">
        <v>1.62887</v>
      </c>
      <c r="AJ210">
        <v>4.6371700000000002</v>
      </c>
      <c r="AK210">
        <v>0</v>
      </c>
      <c r="AL210">
        <v>0.45958900000000003</v>
      </c>
      <c r="AM210">
        <v>6.1152300000000004</v>
      </c>
      <c r="AN210">
        <v>4.98238</v>
      </c>
      <c r="AO210">
        <v>7.5747099999999996</v>
      </c>
      <c r="AP210">
        <v>15.6747</v>
      </c>
      <c r="AQ210">
        <v>40.0306</v>
      </c>
      <c r="AR210">
        <v>25.622399999999999</v>
      </c>
      <c r="AS210">
        <v>2.1390900000000001E-2</v>
      </c>
      <c r="AT210">
        <v>5.32402</v>
      </c>
      <c r="AU210">
        <v>41.031199999999998</v>
      </c>
      <c r="AV210">
        <v>43.205399999999997</v>
      </c>
      <c r="AW210">
        <v>7.7762599999999997</v>
      </c>
      <c r="AX210">
        <v>1.58884</v>
      </c>
      <c r="AY210">
        <v>1.0742400000000001</v>
      </c>
      <c r="AZ210">
        <v>550.476</v>
      </c>
      <c r="BA210">
        <v>635.399</v>
      </c>
      <c r="BB210">
        <v>38191</v>
      </c>
      <c r="BC210">
        <v>2.1112399999999999E-3</v>
      </c>
      <c r="BD210">
        <v>0.417402</v>
      </c>
      <c r="BE210">
        <v>0.604661</v>
      </c>
      <c r="BF210">
        <v>2.8467699999999998</v>
      </c>
      <c r="BG210">
        <v>42.484299999999998</v>
      </c>
      <c r="BH210">
        <v>48.874699999999997</v>
      </c>
      <c r="BI210">
        <v>4.7722499999999997</v>
      </c>
      <c r="BJ210">
        <v>29.252400000000002</v>
      </c>
      <c r="BK210">
        <v>0</v>
      </c>
      <c r="BL210">
        <v>40.281500000000001</v>
      </c>
      <c r="BM210">
        <v>53.283099999999997</v>
      </c>
      <c r="BN210">
        <v>4.6228699999999998</v>
      </c>
      <c r="BO210">
        <v>0.84623999999999999</v>
      </c>
      <c r="BP210">
        <v>0.96631500000000004</v>
      </c>
      <c r="BQ210">
        <v>37.671100000000003</v>
      </c>
      <c r="BR210">
        <v>139913</v>
      </c>
    </row>
    <row r="211" spans="1:70" x14ac:dyDescent="0.25">
      <c r="A211">
        <v>38</v>
      </c>
      <c r="B211" s="7">
        <v>45973.556273148148</v>
      </c>
      <c r="C211" t="s">
        <v>142</v>
      </c>
      <c r="D211" s="6" t="s">
        <v>281</v>
      </c>
      <c r="E211" s="6" t="str">
        <f>VLOOKUP(F211,Germplasm!$A$1:$B$21,2,FALSE)</f>
        <v>Ismena</v>
      </c>
      <c r="F211" t="s">
        <v>63</v>
      </c>
      <c r="G211" s="6" t="s">
        <v>113</v>
      </c>
      <c r="H211">
        <v>46628.800000000003</v>
      </c>
      <c r="I211">
        <v>510.13900000000001</v>
      </c>
      <c r="J211">
        <v>135203</v>
      </c>
      <c r="K211">
        <v>20.203099999999999</v>
      </c>
      <c r="L211">
        <v>71.403700000000001</v>
      </c>
      <c r="M211">
        <v>1412.3</v>
      </c>
      <c r="N211">
        <v>483.62400000000002</v>
      </c>
      <c r="O211">
        <v>27646200</v>
      </c>
      <c r="P211">
        <v>0.200293</v>
      </c>
      <c r="Q211">
        <v>0.42837399999999998</v>
      </c>
      <c r="R211">
        <v>5.0593599999999999</v>
      </c>
      <c r="S211">
        <v>27.5702</v>
      </c>
      <c r="T211">
        <v>45.186999999999998</v>
      </c>
      <c r="U211">
        <v>21.279199999999999</v>
      </c>
      <c r="V211">
        <v>0.47586099999999998</v>
      </c>
      <c r="W211">
        <v>114.794</v>
      </c>
      <c r="X211">
        <v>1.82331</v>
      </c>
      <c r="Y211">
        <v>3.76336</v>
      </c>
      <c r="Z211">
        <v>5.25326</v>
      </c>
      <c r="AA211">
        <v>16.656099999999999</v>
      </c>
      <c r="AB211">
        <v>34.938699999999997</v>
      </c>
      <c r="AC211">
        <v>37.565300000000001</v>
      </c>
      <c r="AD211">
        <v>1.70706</v>
      </c>
      <c r="AE211">
        <v>12.569000000000001</v>
      </c>
      <c r="AF211">
        <v>0</v>
      </c>
      <c r="AG211">
        <v>92.116100000000003</v>
      </c>
      <c r="AH211">
        <v>1.1090199999999999</v>
      </c>
      <c r="AI211">
        <v>1.4028499999999999</v>
      </c>
      <c r="AJ211">
        <v>5.3719799999999998</v>
      </c>
      <c r="AK211">
        <v>0</v>
      </c>
      <c r="AL211">
        <v>0.441749</v>
      </c>
      <c r="AM211">
        <v>6.31975</v>
      </c>
      <c r="AN211">
        <v>6.62643</v>
      </c>
      <c r="AO211">
        <v>9.0373999999999999</v>
      </c>
      <c r="AP211">
        <v>16.073399999999999</v>
      </c>
      <c r="AQ211">
        <v>39.253100000000003</v>
      </c>
      <c r="AR211">
        <v>22.689900000000002</v>
      </c>
      <c r="AS211">
        <v>4.2455699999999999E-2</v>
      </c>
      <c r="AT211">
        <v>4.65869</v>
      </c>
      <c r="AU211">
        <v>38.0184</v>
      </c>
      <c r="AV211">
        <v>43.143099999999997</v>
      </c>
      <c r="AW211">
        <v>10.0693</v>
      </c>
      <c r="AX211">
        <v>2.5494699999999999</v>
      </c>
      <c r="AY211">
        <v>1.56114</v>
      </c>
      <c r="AZ211">
        <v>592.9</v>
      </c>
      <c r="BA211">
        <v>748.19899999999996</v>
      </c>
      <c r="BB211">
        <v>27315.3</v>
      </c>
      <c r="BC211">
        <v>1.9291699999999998E-2</v>
      </c>
      <c r="BD211">
        <v>0.41947000000000001</v>
      </c>
      <c r="BE211">
        <v>0.47487099999999999</v>
      </c>
      <c r="BF211">
        <v>2.5712299999999999</v>
      </c>
      <c r="BG211">
        <v>39.210500000000003</v>
      </c>
      <c r="BH211">
        <v>49.671500000000002</v>
      </c>
      <c r="BI211">
        <v>7.6523500000000002</v>
      </c>
      <c r="BJ211">
        <v>29.7393</v>
      </c>
      <c r="BK211">
        <v>0</v>
      </c>
      <c r="BL211">
        <v>40.530299999999997</v>
      </c>
      <c r="BM211">
        <v>52.024099999999997</v>
      </c>
      <c r="BN211">
        <v>5.1563100000000004</v>
      </c>
      <c r="BO211">
        <v>1.15354</v>
      </c>
      <c r="BP211">
        <v>1.1357299999999999</v>
      </c>
      <c r="BQ211">
        <v>35.900799999999997</v>
      </c>
      <c r="BR211">
        <v>101080</v>
      </c>
    </row>
    <row r="212" spans="1:70" x14ac:dyDescent="0.25">
      <c r="A212">
        <v>38</v>
      </c>
      <c r="B212" s="7">
        <v>45988.544247685182</v>
      </c>
      <c r="C212" t="s">
        <v>142</v>
      </c>
      <c r="D212" s="6" t="s">
        <v>282</v>
      </c>
      <c r="E212" s="6" t="str">
        <f>VLOOKUP(F212,Germplasm!$A$1:$B$21,2,FALSE)</f>
        <v>Ismena</v>
      </c>
      <c r="F212" t="s">
        <v>63</v>
      </c>
      <c r="G212" s="6" t="s">
        <v>113</v>
      </c>
      <c r="H212">
        <v>55026.400000000001</v>
      </c>
      <c r="I212">
        <v>534.75400000000002</v>
      </c>
      <c r="J212">
        <v>162148</v>
      </c>
      <c r="K212">
        <v>18.256900000000002</v>
      </c>
      <c r="L212">
        <v>76.614500000000007</v>
      </c>
      <c r="M212">
        <v>1497.69</v>
      </c>
      <c r="N212">
        <v>549.56600000000003</v>
      </c>
      <c r="O212">
        <v>34161500</v>
      </c>
      <c r="P212">
        <v>0.176929</v>
      </c>
      <c r="Q212">
        <v>0.64364399999999999</v>
      </c>
      <c r="R212">
        <v>9.7979800000000008</v>
      </c>
      <c r="S212">
        <v>29.7364</v>
      </c>
      <c r="T212">
        <v>40.900599999999997</v>
      </c>
      <c r="U212">
        <v>18.453700000000001</v>
      </c>
      <c r="V212">
        <v>0.46771499999999999</v>
      </c>
      <c r="W212">
        <v>95.830799999999996</v>
      </c>
      <c r="X212">
        <v>4.9157299999999999</v>
      </c>
      <c r="Y212">
        <v>9.1757899999999992</v>
      </c>
      <c r="Z212">
        <v>8.7089400000000001</v>
      </c>
      <c r="AA212">
        <v>26.1723</v>
      </c>
      <c r="AB212">
        <v>29.780999999999999</v>
      </c>
      <c r="AC212">
        <v>21.246300000000002</v>
      </c>
      <c r="AD212">
        <v>1.8588</v>
      </c>
      <c r="AE212">
        <v>13.2562</v>
      </c>
      <c r="AF212">
        <v>0</v>
      </c>
      <c r="AG212">
        <v>91.814599999999999</v>
      </c>
      <c r="AH212">
        <v>2.5282300000000002</v>
      </c>
      <c r="AI212">
        <v>0.95688399999999996</v>
      </c>
      <c r="AJ212">
        <v>4.7003199999999996</v>
      </c>
      <c r="AK212">
        <v>0</v>
      </c>
      <c r="AL212">
        <v>0.35059800000000002</v>
      </c>
      <c r="AM212">
        <v>8.3270400000000002</v>
      </c>
      <c r="AN212">
        <v>14.142200000000001</v>
      </c>
      <c r="AO212">
        <v>15.0501</v>
      </c>
      <c r="AP212">
        <v>21.5578</v>
      </c>
      <c r="AQ212">
        <v>30.919799999999999</v>
      </c>
      <c r="AR212">
        <v>10.0031</v>
      </c>
      <c r="AS212">
        <v>0.128609</v>
      </c>
      <c r="AT212">
        <v>2.0004499999999998</v>
      </c>
      <c r="AU212">
        <v>21.349299999999999</v>
      </c>
      <c r="AV212">
        <v>45.252499999999998</v>
      </c>
      <c r="AW212">
        <v>23.959</v>
      </c>
      <c r="AX212">
        <v>5.5756800000000002</v>
      </c>
      <c r="AY212">
        <v>1.86314</v>
      </c>
      <c r="AZ212">
        <v>620.82000000000005</v>
      </c>
      <c r="BA212">
        <v>747.59900000000005</v>
      </c>
      <c r="BB212">
        <v>29603.200000000001</v>
      </c>
      <c r="BC212">
        <v>0.10404099999999999</v>
      </c>
      <c r="BD212">
        <v>0.19566800000000001</v>
      </c>
      <c r="BE212">
        <v>0.44454399999999999</v>
      </c>
      <c r="BF212">
        <v>1.6073900000000001</v>
      </c>
      <c r="BG212">
        <v>21.098700000000001</v>
      </c>
      <c r="BH212">
        <v>53.828400000000002</v>
      </c>
      <c r="BI212">
        <v>22.825299999999999</v>
      </c>
      <c r="BJ212">
        <v>30.9193</v>
      </c>
      <c r="BK212">
        <v>0</v>
      </c>
      <c r="BL212">
        <v>37.6935</v>
      </c>
      <c r="BM212">
        <v>52.856900000000003</v>
      </c>
      <c r="BN212">
        <v>6.94278</v>
      </c>
      <c r="BO212">
        <v>1.2237800000000001</v>
      </c>
      <c r="BP212">
        <v>1.2829999999999999</v>
      </c>
      <c r="BQ212">
        <v>32.582999999999998</v>
      </c>
      <c r="BR212">
        <v>116524</v>
      </c>
    </row>
    <row r="213" spans="1:70" x14ac:dyDescent="0.25">
      <c r="A213">
        <v>38</v>
      </c>
      <c r="B213" s="7">
        <v>45994.551631944443</v>
      </c>
      <c r="C213" t="s">
        <v>142</v>
      </c>
      <c r="D213" s="6" t="s">
        <v>283</v>
      </c>
      <c r="E213" s="6" t="str">
        <f>VLOOKUP(F213,Germplasm!$A$1:$B$21,2,FALSE)</f>
        <v>Ismena</v>
      </c>
      <c r="F213" t="s">
        <v>63</v>
      </c>
      <c r="G213" s="6" t="s">
        <v>113</v>
      </c>
      <c r="H213">
        <v>51017.2</v>
      </c>
      <c r="I213">
        <v>511.89499999999998</v>
      </c>
      <c r="J213">
        <v>220785</v>
      </c>
      <c r="K213">
        <v>13.4292</v>
      </c>
      <c r="L213">
        <v>59.886400000000002</v>
      </c>
      <c r="M213">
        <v>1837.76</v>
      </c>
      <c r="N213">
        <v>715.44399999999996</v>
      </c>
      <c r="O213">
        <v>30691100</v>
      </c>
      <c r="P213">
        <v>0.167989</v>
      </c>
      <c r="Q213">
        <v>0.493531</v>
      </c>
      <c r="R213">
        <v>8.63063</v>
      </c>
      <c r="S213">
        <v>34.617699999999999</v>
      </c>
      <c r="T213">
        <v>40.963999999999999</v>
      </c>
      <c r="U213">
        <v>15.008599999999999</v>
      </c>
      <c r="V213">
        <v>0.28554299999999999</v>
      </c>
      <c r="W213">
        <v>79.4803</v>
      </c>
      <c r="X213">
        <v>4.4091699999999996</v>
      </c>
      <c r="Y213">
        <v>15.1073</v>
      </c>
      <c r="Z213">
        <v>21.130199999999999</v>
      </c>
      <c r="AA213">
        <v>31.1127</v>
      </c>
      <c r="AB213">
        <v>16.604700000000001</v>
      </c>
      <c r="AC213">
        <v>11.635899999999999</v>
      </c>
      <c r="AD213">
        <v>1.7206600000000001</v>
      </c>
      <c r="AE213">
        <v>15.648</v>
      </c>
      <c r="AF213">
        <v>0</v>
      </c>
      <c r="AG213">
        <v>90.888199999999998</v>
      </c>
      <c r="AH213">
        <v>3.1550699999999998</v>
      </c>
      <c r="AI213">
        <v>1.0196700000000001</v>
      </c>
      <c r="AJ213">
        <v>4.9370700000000003</v>
      </c>
      <c r="AK213">
        <v>0</v>
      </c>
      <c r="AL213">
        <v>0.25670500000000002</v>
      </c>
      <c r="AM213">
        <v>11.0974</v>
      </c>
      <c r="AN213">
        <v>23.026800000000001</v>
      </c>
      <c r="AO213">
        <v>23.345800000000001</v>
      </c>
      <c r="AP213">
        <v>22.878699999999998</v>
      </c>
      <c r="AQ213">
        <v>15.8538</v>
      </c>
      <c r="AR213">
        <v>3.7975500000000002</v>
      </c>
      <c r="AS213">
        <v>0.22852900000000001</v>
      </c>
      <c r="AT213">
        <v>1.1377699999999999</v>
      </c>
      <c r="AU213">
        <v>10.9396</v>
      </c>
      <c r="AV213">
        <v>33.296599999999998</v>
      </c>
      <c r="AW213">
        <v>33.954900000000002</v>
      </c>
      <c r="AX213">
        <v>18.305599999999998</v>
      </c>
      <c r="AY213">
        <v>2.3654199999999999</v>
      </c>
      <c r="AZ213">
        <v>601.58299999999997</v>
      </c>
      <c r="BA213">
        <v>675.6</v>
      </c>
      <c r="BB213">
        <v>29649.8</v>
      </c>
      <c r="BC213">
        <v>0.20976900000000001</v>
      </c>
      <c r="BD213">
        <v>0.34018399999999999</v>
      </c>
      <c r="BE213">
        <v>0.45211000000000001</v>
      </c>
      <c r="BF213">
        <v>1.0910599999999999</v>
      </c>
      <c r="BG213">
        <v>10.193199999999999</v>
      </c>
      <c r="BH213">
        <v>40.650199999999998</v>
      </c>
      <c r="BI213">
        <v>47.273200000000003</v>
      </c>
      <c r="BJ213">
        <v>35.172199999999997</v>
      </c>
      <c r="BK213">
        <v>0</v>
      </c>
      <c r="BL213">
        <v>28.569299999999998</v>
      </c>
      <c r="BM213">
        <v>55.218200000000003</v>
      </c>
      <c r="BN213">
        <v>13.8621</v>
      </c>
      <c r="BO213">
        <v>1.17831</v>
      </c>
      <c r="BP213">
        <v>1.17214</v>
      </c>
      <c r="BQ213">
        <v>35.5749</v>
      </c>
      <c r="BR213">
        <v>113468</v>
      </c>
    </row>
    <row r="214" spans="1:70" x14ac:dyDescent="0.25">
      <c r="A214">
        <v>38</v>
      </c>
      <c r="B214" s="7">
        <v>45994.552152777775</v>
      </c>
      <c r="C214" t="s">
        <v>142</v>
      </c>
      <c r="D214" s="6" t="s">
        <v>284</v>
      </c>
      <c r="E214" s="6" t="str">
        <f>VLOOKUP(F214,Germplasm!$A$1:$B$21,2,FALSE)</f>
        <v>Ismena</v>
      </c>
      <c r="F214" t="s">
        <v>63</v>
      </c>
      <c r="G214" s="6" t="s">
        <v>113</v>
      </c>
      <c r="H214">
        <v>47775.7</v>
      </c>
      <c r="I214">
        <v>523.97699999999998</v>
      </c>
      <c r="J214">
        <v>192360</v>
      </c>
      <c r="K214">
        <v>14.4351</v>
      </c>
      <c r="L214">
        <v>76.732299999999995</v>
      </c>
      <c r="M214">
        <v>1644.04</v>
      </c>
      <c r="N214">
        <v>578.32100000000003</v>
      </c>
      <c r="O214">
        <v>29536900</v>
      </c>
      <c r="P214">
        <v>0.17083699999999999</v>
      </c>
      <c r="Q214">
        <v>0.46131299999999997</v>
      </c>
      <c r="R214">
        <v>8.5183599999999995</v>
      </c>
      <c r="S214">
        <v>33.433999999999997</v>
      </c>
      <c r="T214">
        <v>41.7348</v>
      </c>
      <c r="U214">
        <v>15.595599999999999</v>
      </c>
      <c r="V214">
        <v>0.25597300000000001</v>
      </c>
      <c r="W214">
        <v>80.112200000000001</v>
      </c>
      <c r="X214">
        <v>4.2484000000000002</v>
      </c>
      <c r="Y214">
        <v>14.6495</v>
      </c>
      <c r="Z214">
        <v>20.615600000000001</v>
      </c>
      <c r="AA214">
        <v>31.560600000000001</v>
      </c>
      <c r="AB214">
        <v>17.678999999999998</v>
      </c>
      <c r="AC214">
        <v>11.2469</v>
      </c>
      <c r="AD214">
        <v>1.72058</v>
      </c>
      <c r="AE214">
        <v>15.510300000000001</v>
      </c>
      <c r="AF214">
        <v>0</v>
      </c>
      <c r="AG214">
        <v>90.8459</v>
      </c>
      <c r="AH214">
        <v>2.8794599999999999</v>
      </c>
      <c r="AI214">
        <v>1.0342</v>
      </c>
      <c r="AJ214">
        <v>5.2404099999999998</v>
      </c>
      <c r="AK214">
        <v>0</v>
      </c>
      <c r="AL214">
        <v>0.26410800000000001</v>
      </c>
      <c r="AM214">
        <v>11.2178</v>
      </c>
      <c r="AN214">
        <v>21.596399999999999</v>
      </c>
      <c r="AO214">
        <v>21.975200000000001</v>
      </c>
      <c r="AP214">
        <v>23.9695</v>
      </c>
      <c r="AQ214">
        <v>17.513999999999999</v>
      </c>
      <c r="AR214">
        <v>3.7270699999999999</v>
      </c>
      <c r="AS214">
        <v>0.226102</v>
      </c>
      <c r="AT214">
        <v>1.0370200000000001</v>
      </c>
      <c r="AU214">
        <v>10.6365</v>
      </c>
      <c r="AV214">
        <v>34.601300000000002</v>
      </c>
      <c r="AW214">
        <v>33.500500000000002</v>
      </c>
      <c r="AX214">
        <v>17.836500000000001</v>
      </c>
      <c r="AY214">
        <v>2.3881399999999999</v>
      </c>
      <c r="AZ214">
        <v>618.24099999999999</v>
      </c>
      <c r="BA214">
        <v>666.59900000000005</v>
      </c>
      <c r="BB214">
        <v>27767.3</v>
      </c>
      <c r="BC214">
        <v>0.20510300000000001</v>
      </c>
      <c r="BD214">
        <v>0.36473800000000001</v>
      </c>
      <c r="BE214">
        <v>0.37598900000000002</v>
      </c>
      <c r="BF214">
        <v>1.04358</v>
      </c>
      <c r="BG214">
        <v>9.88917</v>
      </c>
      <c r="BH214">
        <v>42.507399999999997</v>
      </c>
      <c r="BI214">
        <v>45.819099999999999</v>
      </c>
      <c r="BJ214">
        <v>35.1798</v>
      </c>
      <c r="BK214">
        <v>0</v>
      </c>
      <c r="BL214">
        <v>28.4298</v>
      </c>
      <c r="BM214">
        <v>54.934699999999999</v>
      </c>
      <c r="BN214">
        <v>14.3363</v>
      </c>
      <c r="BO214">
        <v>1.2564200000000001</v>
      </c>
      <c r="BP214">
        <v>1.04264</v>
      </c>
      <c r="BQ214">
        <v>35.575899999999997</v>
      </c>
      <c r="BR214">
        <v>106652</v>
      </c>
    </row>
    <row r="215" spans="1:70" x14ac:dyDescent="0.25">
      <c r="A215">
        <v>38</v>
      </c>
      <c r="B215" s="7">
        <v>46002.569953703707</v>
      </c>
      <c r="C215" t="s">
        <v>142</v>
      </c>
      <c r="D215" s="6" t="s">
        <v>285</v>
      </c>
      <c r="E215" s="6" t="str">
        <f>VLOOKUP(F215,Germplasm!$A$1:$B$21,2,FALSE)</f>
        <v>Ismena</v>
      </c>
      <c r="F215" t="s">
        <v>63</v>
      </c>
      <c r="G215" s="6" t="s">
        <v>113</v>
      </c>
      <c r="H215">
        <v>34375.1</v>
      </c>
      <c r="I215">
        <v>583.39</v>
      </c>
      <c r="J215">
        <v>129579</v>
      </c>
      <c r="K215">
        <v>15.5639</v>
      </c>
      <c r="L215">
        <v>81.113</v>
      </c>
      <c r="M215">
        <v>1333.31</v>
      </c>
      <c r="N215">
        <v>471.74</v>
      </c>
      <c r="O215">
        <v>22887700</v>
      </c>
      <c r="P215">
        <v>9.6829899999999997E-2</v>
      </c>
      <c r="Q215">
        <v>0.95349200000000001</v>
      </c>
      <c r="R215">
        <v>16.825199999999999</v>
      </c>
      <c r="S215">
        <v>53.254600000000003</v>
      </c>
      <c r="T215">
        <v>21.433499999999999</v>
      </c>
      <c r="U215">
        <v>7.3570700000000002</v>
      </c>
      <c r="V215">
        <v>0.176123</v>
      </c>
      <c r="W215">
        <v>57.487400000000001</v>
      </c>
      <c r="X215">
        <v>8.4623899999999992</v>
      </c>
      <c r="Y215">
        <v>38.917000000000002</v>
      </c>
      <c r="Z215">
        <v>19.1281</v>
      </c>
      <c r="AA215">
        <v>16.8215</v>
      </c>
      <c r="AB215">
        <v>7.7919099999999997</v>
      </c>
      <c r="AC215">
        <v>8.8790099999999992</v>
      </c>
      <c r="AD215">
        <v>1.70448</v>
      </c>
      <c r="AE215">
        <v>18.990400000000001</v>
      </c>
      <c r="AF215">
        <v>0</v>
      </c>
      <c r="AG215">
        <v>82.867500000000007</v>
      </c>
      <c r="AH215">
        <v>9.1875300000000006</v>
      </c>
      <c r="AI215">
        <v>1.4174800000000001</v>
      </c>
      <c r="AJ215">
        <v>6.5274700000000001</v>
      </c>
      <c r="AK215">
        <v>0</v>
      </c>
      <c r="AL215">
        <v>0.15351400000000001</v>
      </c>
      <c r="AM215">
        <v>19.916399999999999</v>
      </c>
      <c r="AN215">
        <v>38.780999999999999</v>
      </c>
      <c r="AO215">
        <v>18.9557</v>
      </c>
      <c r="AP215">
        <v>13.014900000000001</v>
      </c>
      <c r="AQ215">
        <v>7.4481700000000002</v>
      </c>
      <c r="AR215">
        <v>1.8838999999999999</v>
      </c>
      <c r="AS215">
        <v>0.27687299999999998</v>
      </c>
      <c r="AT215">
        <v>1.1126100000000001</v>
      </c>
      <c r="AU215">
        <v>6.8724299999999996</v>
      </c>
      <c r="AV215">
        <v>25.621600000000001</v>
      </c>
      <c r="AW215">
        <v>38.057099999999998</v>
      </c>
      <c r="AX215">
        <v>24.779800000000002</v>
      </c>
      <c r="AY215">
        <v>3.55646</v>
      </c>
      <c r="AZ215">
        <v>665.822</v>
      </c>
      <c r="BA215">
        <v>754.8</v>
      </c>
      <c r="BB215">
        <v>20167.5</v>
      </c>
      <c r="BC215">
        <v>0.29754799999999998</v>
      </c>
      <c r="BD215">
        <v>0.581812</v>
      </c>
      <c r="BE215">
        <v>0.53686999999999996</v>
      </c>
      <c r="BF215">
        <v>1.0020800000000001</v>
      </c>
      <c r="BG215">
        <v>5.8618499999999996</v>
      </c>
      <c r="BH215">
        <v>26.1159</v>
      </c>
      <c r="BI215">
        <v>65.901399999999995</v>
      </c>
      <c r="BJ215">
        <v>35.607399999999998</v>
      </c>
      <c r="BK215">
        <v>0</v>
      </c>
      <c r="BL215">
        <v>27.803100000000001</v>
      </c>
      <c r="BM215">
        <v>57.017600000000002</v>
      </c>
      <c r="BN215">
        <v>11.8209</v>
      </c>
      <c r="BO215">
        <v>1.73936</v>
      </c>
      <c r="BP215">
        <v>1.61911</v>
      </c>
      <c r="BQ215">
        <v>35.954300000000003</v>
      </c>
      <c r="BR215">
        <v>82329</v>
      </c>
    </row>
    <row r="216" spans="1:70" x14ac:dyDescent="0.25">
      <c r="A216">
        <v>38</v>
      </c>
      <c r="B216" s="7">
        <v>46013.607685185183</v>
      </c>
      <c r="C216" t="s">
        <v>142</v>
      </c>
      <c r="D216" s="6" t="s">
        <v>286</v>
      </c>
      <c r="E216" s="6" t="str">
        <f>VLOOKUP(F216,Germplasm!$A$1:$B$21,2,FALSE)</f>
        <v>Ismena</v>
      </c>
      <c r="F216" t="s">
        <v>63</v>
      </c>
      <c r="G216" s="6" t="s">
        <v>113</v>
      </c>
      <c r="H216">
        <v>30541.1</v>
      </c>
      <c r="I216">
        <v>547.10799999999995</v>
      </c>
      <c r="J216">
        <v>80383</v>
      </c>
      <c r="K216">
        <v>21.974</v>
      </c>
      <c r="L216">
        <v>77.030500000000004</v>
      </c>
      <c r="M216">
        <v>1067.76</v>
      </c>
      <c r="N216">
        <v>385.125</v>
      </c>
      <c r="O216">
        <v>19224700</v>
      </c>
      <c r="P216">
        <v>1.5436800000000001E-2</v>
      </c>
      <c r="Q216">
        <v>1.34277</v>
      </c>
      <c r="R216">
        <v>33.252299999999998</v>
      </c>
      <c r="S216">
        <v>61.9621</v>
      </c>
      <c r="T216">
        <v>3.0521099999999999</v>
      </c>
      <c r="U216">
        <v>0.35851899999999998</v>
      </c>
      <c r="V216">
        <v>3.2226400000000002E-2</v>
      </c>
      <c r="W216">
        <v>38.692</v>
      </c>
      <c r="X216">
        <v>16.7591</v>
      </c>
      <c r="Y216">
        <v>54.171300000000002</v>
      </c>
      <c r="Z216">
        <v>12.2058</v>
      </c>
      <c r="AA216">
        <v>4.4150200000000002</v>
      </c>
      <c r="AB216">
        <v>1.8570500000000001</v>
      </c>
      <c r="AC216">
        <v>10.591799999999999</v>
      </c>
      <c r="AD216">
        <v>1.72906</v>
      </c>
      <c r="AE216">
        <v>23.126100000000001</v>
      </c>
      <c r="AF216">
        <v>0</v>
      </c>
      <c r="AG216">
        <v>72.450400000000002</v>
      </c>
      <c r="AH216">
        <v>18.5275</v>
      </c>
      <c r="AI216">
        <v>1.76708</v>
      </c>
      <c r="AJ216">
        <v>7.2549799999999998</v>
      </c>
      <c r="AK216">
        <v>0</v>
      </c>
      <c r="AL216">
        <v>4.7979500000000001E-2</v>
      </c>
      <c r="AM216">
        <v>33.574599999999997</v>
      </c>
      <c r="AN216">
        <v>51.264200000000002</v>
      </c>
      <c r="AO216">
        <v>10.7448</v>
      </c>
      <c r="AP216">
        <v>3.0078</v>
      </c>
      <c r="AQ216">
        <v>1.0258799999999999</v>
      </c>
      <c r="AR216">
        <v>0.382689</v>
      </c>
      <c r="AS216">
        <v>0.24126</v>
      </c>
      <c r="AT216">
        <v>1.4031899999999999</v>
      </c>
      <c r="AU216">
        <v>6.5110799999999998</v>
      </c>
      <c r="AV216">
        <v>27.726800000000001</v>
      </c>
      <c r="AW216">
        <v>52.008099999999999</v>
      </c>
      <c r="AX216">
        <v>9.6316799999999994</v>
      </c>
      <c r="AY216">
        <v>2.7191100000000001</v>
      </c>
      <c r="AZ216">
        <v>629.471</v>
      </c>
      <c r="BA216">
        <v>749.99900000000002</v>
      </c>
      <c r="BB216">
        <v>17663.3</v>
      </c>
      <c r="BC216">
        <v>0.31981900000000002</v>
      </c>
      <c r="BD216">
        <v>0.66601299999999997</v>
      </c>
      <c r="BE216">
        <v>0.83788799999999997</v>
      </c>
      <c r="BF216">
        <v>1.40588</v>
      </c>
      <c r="BG216">
        <v>5.0045000000000002</v>
      </c>
      <c r="BH216">
        <v>15.021599999999999</v>
      </c>
      <c r="BI216">
        <v>77.0642</v>
      </c>
      <c r="BJ216">
        <v>29.1066</v>
      </c>
      <c r="BK216">
        <v>0</v>
      </c>
      <c r="BL216">
        <v>42.772500000000001</v>
      </c>
      <c r="BM216">
        <v>49.928199999999997</v>
      </c>
      <c r="BN216">
        <v>4.1491499999999997</v>
      </c>
      <c r="BO216">
        <v>1.40856</v>
      </c>
      <c r="BP216">
        <v>1.7415700000000001</v>
      </c>
      <c r="BQ216">
        <v>35.360300000000002</v>
      </c>
      <c r="BR216">
        <v>74473</v>
      </c>
    </row>
    <row r="217" spans="1:70" x14ac:dyDescent="0.25">
      <c r="A217">
        <v>38</v>
      </c>
      <c r="B217" s="7">
        <v>46024.533067129632</v>
      </c>
      <c r="C217" t="s">
        <v>142</v>
      </c>
      <c r="D217" s="6" t="s">
        <v>287</v>
      </c>
      <c r="E217" s="6" t="str">
        <f>VLOOKUP(F217,Germplasm!$A$1:$B$21,2,FALSE)</f>
        <v>Ismena</v>
      </c>
      <c r="F217" t="s">
        <v>63</v>
      </c>
      <c r="G217" s="6" t="s">
        <v>113</v>
      </c>
      <c r="H217">
        <v>27491.7</v>
      </c>
      <c r="I217">
        <v>452.80099999999999</v>
      </c>
      <c r="J217">
        <v>84205.6</v>
      </c>
      <c r="K217">
        <v>18.916599999999999</v>
      </c>
      <c r="L217">
        <v>81.154799999999994</v>
      </c>
      <c r="M217">
        <v>1102.94</v>
      </c>
      <c r="N217">
        <v>370.26299999999998</v>
      </c>
      <c r="O217">
        <v>14707500</v>
      </c>
      <c r="P217">
        <v>1.13817E-2</v>
      </c>
      <c r="Q217">
        <v>1.2709699999999999</v>
      </c>
      <c r="R217">
        <v>31.895800000000001</v>
      </c>
      <c r="S217">
        <v>65.278300000000002</v>
      </c>
      <c r="T217">
        <v>1.4197900000000001</v>
      </c>
      <c r="U217">
        <v>0.11844200000000001</v>
      </c>
      <c r="V217">
        <v>1.67034E-2</v>
      </c>
      <c r="W217">
        <v>39.104500000000002</v>
      </c>
      <c r="X217">
        <v>16.150600000000001</v>
      </c>
      <c r="Y217">
        <v>55.206099999999999</v>
      </c>
      <c r="Z217">
        <v>11.2247</v>
      </c>
      <c r="AA217">
        <v>4.1348399999999996</v>
      </c>
      <c r="AB217">
        <v>2.1000700000000001</v>
      </c>
      <c r="AC217">
        <v>11.1837</v>
      </c>
      <c r="AD217">
        <v>1.7259100000000001</v>
      </c>
      <c r="AE217">
        <v>25.985700000000001</v>
      </c>
      <c r="AF217">
        <v>0</v>
      </c>
      <c r="AG217">
        <v>63.864600000000003</v>
      </c>
      <c r="AH217">
        <v>26.189399999999999</v>
      </c>
      <c r="AI217">
        <v>1.7827</v>
      </c>
      <c r="AJ217">
        <v>8.1633899999999997</v>
      </c>
      <c r="AK217">
        <v>0</v>
      </c>
      <c r="AL217">
        <v>3.5007999999999997E-2</v>
      </c>
      <c r="AM217">
        <v>38.168700000000001</v>
      </c>
      <c r="AN217">
        <v>49.0229</v>
      </c>
      <c r="AO217">
        <v>8.9818499999999997</v>
      </c>
      <c r="AP217">
        <v>2.7271999999999998</v>
      </c>
      <c r="AQ217">
        <v>0.88072300000000003</v>
      </c>
      <c r="AR217">
        <v>0.218662</v>
      </c>
      <c r="AS217">
        <v>0.20910400000000001</v>
      </c>
      <c r="AT217">
        <v>1.6338900000000001</v>
      </c>
      <c r="AU217">
        <v>7.1490400000000003</v>
      </c>
      <c r="AV217">
        <v>34.568399999999997</v>
      </c>
      <c r="AW217">
        <v>48.928699999999999</v>
      </c>
      <c r="AX217">
        <v>5.7580999999999998</v>
      </c>
      <c r="AY217">
        <v>1.9618899999999999</v>
      </c>
      <c r="AZ217">
        <v>534.97699999999998</v>
      </c>
      <c r="BA217">
        <v>607.79999999999995</v>
      </c>
      <c r="BB217">
        <v>15928.8</v>
      </c>
      <c r="BC217">
        <v>0.29117599999999999</v>
      </c>
      <c r="BD217">
        <v>0.77746599999999999</v>
      </c>
      <c r="BE217">
        <v>0.89135200000000003</v>
      </c>
      <c r="BF217">
        <v>1.5883400000000001</v>
      </c>
      <c r="BG217">
        <v>5.5257800000000001</v>
      </c>
      <c r="BH217">
        <v>16.716999999999999</v>
      </c>
      <c r="BI217">
        <v>74.5</v>
      </c>
      <c r="BJ217">
        <v>26.327999999999999</v>
      </c>
      <c r="BK217">
        <v>0</v>
      </c>
      <c r="BL217">
        <v>52.948099999999997</v>
      </c>
      <c r="BM217">
        <v>41.386400000000002</v>
      </c>
      <c r="BN217">
        <v>2.8820899999999998</v>
      </c>
      <c r="BO217">
        <v>1.3119700000000001</v>
      </c>
      <c r="BP217">
        <v>1.4714100000000001</v>
      </c>
      <c r="BQ217">
        <v>35.430300000000003</v>
      </c>
      <c r="BR217">
        <v>65855</v>
      </c>
    </row>
    <row r="218" spans="1:70" x14ac:dyDescent="0.25">
      <c r="A218">
        <v>31</v>
      </c>
      <c r="B218" s="7">
        <v>45966.573206018518</v>
      </c>
      <c r="C218" t="s">
        <v>133</v>
      </c>
      <c r="D218" s="6" t="s">
        <v>452</v>
      </c>
      <c r="E218" s="6" t="str">
        <f>VLOOKUP(F218,Germplasm!$A$1:$B$21,2,FALSE)</f>
        <v>Olve</v>
      </c>
      <c r="F218" t="s">
        <v>62</v>
      </c>
      <c r="G218" s="6" t="s">
        <v>113</v>
      </c>
      <c r="H218">
        <v>49037.7</v>
      </c>
      <c r="I218">
        <v>494.84300000000002</v>
      </c>
      <c r="J218">
        <v>188637</v>
      </c>
      <c r="K218">
        <v>14.7233</v>
      </c>
      <c r="L218">
        <v>86.290999999999997</v>
      </c>
      <c r="M218">
        <v>1612.39</v>
      </c>
      <c r="N218">
        <v>549.29499999999996</v>
      </c>
      <c r="O218">
        <v>28479900</v>
      </c>
      <c r="P218">
        <v>0.20119999999999999</v>
      </c>
      <c r="Q218">
        <v>0.67141799999999996</v>
      </c>
      <c r="R218">
        <v>6.4703900000000001</v>
      </c>
      <c r="S218">
        <v>28.494499999999999</v>
      </c>
      <c r="T218">
        <v>39.084800000000001</v>
      </c>
      <c r="U218">
        <v>24.537700000000001</v>
      </c>
      <c r="V218">
        <v>0.74121400000000004</v>
      </c>
      <c r="W218">
        <v>110.04300000000001</v>
      </c>
      <c r="X218">
        <v>2.37601</v>
      </c>
      <c r="Y218">
        <v>6.3081800000000001</v>
      </c>
      <c r="Z218">
        <v>7.6392199999999999</v>
      </c>
      <c r="AA218">
        <v>19.5045</v>
      </c>
      <c r="AB218">
        <v>28.93</v>
      </c>
      <c r="AC218">
        <v>35.242100000000001</v>
      </c>
      <c r="AD218">
        <v>1.76563</v>
      </c>
      <c r="AE218">
        <v>11.7098</v>
      </c>
      <c r="AF218">
        <v>0</v>
      </c>
      <c r="AG218">
        <v>92.653700000000001</v>
      </c>
      <c r="AH218">
        <v>0.80511200000000005</v>
      </c>
      <c r="AI218">
        <v>1.0607</v>
      </c>
      <c r="AJ218">
        <v>5.4804599999999999</v>
      </c>
      <c r="AK218">
        <v>0</v>
      </c>
      <c r="AL218">
        <v>0.44477699999999998</v>
      </c>
      <c r="AM218">
        <v>6.99533</v>
      </c>
      <c r="AN218">
        <v>6.3042499999999997</v>
      </c>
      <c r="AO218">
        <v>10.5618</v>
      </c>
      <c r="AP218">
        <v>16.389299999999999</v>
      </c>
      <c r="AQ218">
        <v>32.093400000000003</v>
      </c>
      <c r="AR218">
        <v>27.655899999999999</v>
      </c>
      <c r="AS218">
        <v>7.7270000000000005E-2</v>
      </c>
      <c r="AT218">
        <v>6.5136399999999997</v>
      </c>
      <c r="AU218">
        <v>32.097299999999997</v>
      </c>
      <c r="AV218">
        <v>37.174700000000001</v>
      </c>
      <c r="AW218">
        <v>15.6235</v>
      </c>
      <c r="AX218">
        <v>5.9867299999999997</v>
      </c>
      <c r="AY218">
        <v>2.6040800000000002</v>
      </c>
      <c r="AZ218">
        <v>580.77499999999998</v>
      </c>
      <c r="BA218">
        <v>623.99900000000002</v>
      </c>
      <c r="BB218">
        <v>27773.5</v>
      </c>
      <c r="BC218">
        <v>3.8305800000000001E-2</v>
      </c>
      <c r="BD218">
        <v>0.45121699999999998</v>
      </c>
      <c r="BE218">
        <v>0.57704599999999995</v>
      </c>
      <c r="BF218">
        <v>3.4091900000000002</v>
      </c>
      <c r="BG218">
        <v>34.172499999999999</v>
      </c>
      <c r="BH218">
        <v>48.610500000000002</v>
      </c>
      <c r="BI218">
        <v>12.7796</v>
      </c>
      <c r="BJ218">
        <v>33.108400000000003</v>
      </c>
      <c r="BK218">
        <v>0</v>
      </c>
      <c r="BL218">
        <v>34.855699999999999</v>
      </c>
      <c r="BM218">
        <v>51.448500000000003</v>
      </c>
      <c r="BN218">
        <v>10.404500000000001</v>
      </c>
      <c r="BO218">
        <v>1.55124</v>
      </c>
      <c r="BP218">
        <v>1.7399899999999999</v>
      </c>
      <c r="BQ218">
        <v>34.536799999999999</v>
      </c>
      <c r="BR218">
        <v>101725</v>
      </c>
    </row>
    <row r="219" spans="1:70" x14ac:dyDescent="0.25">
      <c r="A219">
        <v>31</v>
      </c>
      <c r="B219" s="7">
        <v>45966.573206018518</v>
      </c>
      <c r="C219" t="s">
        <v>130</v>
      </c>
      <c r="D219" s="6" t="s">
        <v>452</v>
      </c>
      <c r="E219" s="6" t="str">
        <f>VLOOKUP(F219,Germplasm!$A$1:$B$21,2,FALSE)</f>
        <v>Ismena</v>
      </c>
      <c r="F219" t="s">
        <v>63</v>
      </c>
      <c r="G219" s="6" t="s">
        <v>113</v>
      </c>
      <c r="H219">
        <v>66074.100000000006</v>
      </c>
      <c r="I219">
        <v>513.63699999999994</v>
      </c>
      <c r="J219">
        <v>235401</v>
      </c>
      <c r="K219">
        <v>15.739000000000001</v>
      </c>
      <c r="L219">
        <v>76.799300000000002</v>
      </c>
      <c r="M219">
        <v>1848.95</v>
      </c>
      <c r="N219">
        <v>651.57399999999996</v>
      </c>
      <c r="O219">
        <v>40064200</v>
      </c>
      <c r="P219">
        <v>0.22269900000000001</v>
      </c>
      <c r="Q219">
        <v>0.60162000000000004</v>
      </c>
      <c r="R219">
        <v>4.1737900000000003</v>
      </c>
      <c r="S219">
        <v>22.435199999999998</v>
      </c>
      <c r="T219">
        <v>45.061900000000001</v>
      </c>
      <c r="U219">
        <v>27.186299999999999</v>
      </c>
      <c r="V219">
        <v>0.54123699999999997</v>
      </c>
      <c r="W219">
        <v>119.505</v>
      </c>
      <c r="X219">
        <v>1.1133999999999999</v>
      </c>
      <c r="Y219">
        <v>2.1045699999999998</v>
      </c>
      <c r="Z219">
        <v>3.6089799999999999</v>
      </c>
      <c r="AA219">
        <v>14.3233</v>
      </c>
      <c r="AB219">
        <v>36.3063</v>
      </c>
      <c r="AC219">
        <v>42.543399999999998</v>
      </c>
      <c r="AD219">
        <v>1.78339</v>
      </c>
      <c r="AE219">
        <v>6.9254600000000002</v>
      </c>
      <c r="AF219">
        <v>0</v>
      </c>
      <c r="AG219">
        <v>99.8108</v>
      </c>
      <c r="AH219">
        <v>0.184831</v>
      </c>
      <c r="AI219">
        <v>3.6818900000000002E-3</v>
      </c>
      <c r="AJ219">
        <v>7.3637699999999997E-4</v>
      </c>
      <c r="AK219">
        <v>0</v>
      </c>
      <c r="AL219">
        <v>0.49569600000000003</v>
      </c>
      <c r="AM219">
        <v>0.94477199999999995</v>
      </c>
      <c r="AN219">
        <v>3.9101599999999999</v>
      </c>
      <c r="AO219">
        <v>8.8748199999999997</v>
      </c>
      <c r="AP219">
        <v>18.285</v>
      </c>
      <c r="AQ219">
        <v>37.638399999999997</v>
      </c>
      <c r="AR219">
        <v>30.346800000000002</v>
      </c>
      <c r="AS219">
        <v>2.5128600000000001E-2</v>
      </c>
      <c r="AT219">
        <v>6.1877800000000001</v>
      </c>
      <c r="AU219">
        <v>42.366700000000002</v>
      </c>
      <c r="AV219">
        <v>38.6922</v>
      </c>
      <c r="AW219">
        <v>9.1862999999999992</v>
      </c>
      <c r="AX219">
        <v>2.11782</v>
      </c>
      <c r="AY219">
        <v>1.44919</v>
      </c>
      <c r="AZ219">
        <v>606.35199999999998</v>
      </c>
      <c r="BA219">
        <v>701.99900000000002</v>
      </c>
      <c r="BB219">
        <v>37049.800000000003</v>
      </c>
      <c r="BC219">
        <v>5.6928200000000003E-3</v>
      </c>
      <c r="BD219">
        <v>5.30191E-2</v>
      </c>
      <c r="BE219">
        <v>0.50662700000000005</v>
      </c>
      <c r="BF219">
        <v>2.8159100000000001</v>
      </c>
      <c r="BG219">
        <v>45.177500000000002</v>
      </c>
      <c r="BH219">
        <v>46.444000000000003</v>
      </c>
      <c r="BI219">
        <v>5.0029500000000002</v>
      </c>
      <c r="BJ219">
        <v>30.233499999999999</v>
      </c>
      <c r="BK219">
        <v>0</v>
      </c>
      <c r="BL219">
        <v>38.413800000000002</v>
      </c>
      <c r="BM219">
        <v>53.400599999999997</v>
      </c>
      <c r="BN219">
        <v>6.6730499999999999</v>
      </c>
      <c r="BO219">
        <v>0.94624399999999997</v>
      </c>
      <c r="BP219">
        <v>0.56627400000000006</v>
      </c>
      <c r="BQ219">
        <v>34.151899999999998</v>
      </c>
      <c r="BR219">
        <v>135800</v>
      </c>
    </row>
    <row r="220" spans="1:70" x14ac:dyDescent="0.25">
      <c r="A220">
        <v>31</v>
      </c>
      <c r="B220" s="7">
        <v>45966.573206018518</v>
      </c>
      <c r="C220" t="s">
        <v>131</v>
      </c>
      <c r="D220" s="6" t="s">
        <v>452</v>
      </c>
      <c r="E220" s="6" t="str">
        <f>VLOOKUP(F220,Germplasm!$A$1:$B$21,2,FALSE)</f>
        <v>Tiril</v>
      </c>
      <c r="F220" t="s">
        <v>64</v>
      </c>
      <c r="G220" s="6" t="s">
        <v>113</v>
      </c>
      <c r="H220">
        <v>50865.8</v>
      </c>
      <c r="I220">
        <v>437.01400000000001</v>
      </c>
      <c r="J220">
        <v>143626</v>
      </c>
      <c r="K220">
        <v>20.402000000000001</v>
      </c>
      <c r="L220">
        <v>73.542500000000004</v>
      </c>
      <c r="M220">
        <v>1406.45</v>
      </c>
      <c r="N220">
        <v>511.601</v>
      </c>
      <c r="O220">
        <v>27698800</v>
      </c>
      <c r="P220">
        <v>0.24458199999999999</v>
      </c>
      <c r="Q220">
        <v>0.60480599999999995</v>
      </c>
      <c r="R220">
        <v>3.5088200000000001</v>
      </c>
      <c r="S220">
        <v>19.082599999999999</v>
      </c>
      <c r="T220">
        <v>43.418500000000002</v>
      </c>
      <c r="U220">
        <v>31.827000000000002</v>
      </c>
      <c r="V220">
        <v>1.5583199999999999</v>
      </c>
      <c r="W220">
        <v>118.565</v>
      </c>
      <c r="X220">
        <v>1.00549</v>
      </c>
      <c r="Y220">
        <v>2.0072000000000001</v>
      </c>
      <c r="Z220">
        <v>3.8017699999999999</v>
      </c>
      <c r="AA220">
        <v>16.2957</v>
      </c>
      <c r="AB220">
        <v>36.411200000000001</v>
      </c>
      <c r="AC220">
        <v>40.4786</v>
      </c>
      <c r="AD220">
        <v>1.7358899999999999</v>
      </c>
      <c r="AE220">
        <v>5.96401</v>
      </c>
      <c r="AF220">
        <v>0</v>
      </c>
      <c r="AG220">
        <v>99.941400000000002</v>
      </c>
      <c r="AH220">
        <v>5.85906E-2</v>
      </c>
      <c r="AI220">
        <v>0</v>
      </c>
      <c r="AJ220">
        <v>0</v>
      </c>
      <c r="AK220">
        <v>0</v>
      </c>
      <c r="AL220">
        <v>0.52766500000000005</v>
      </c>
      <c r="AM220">
        <v>0.66623200000000005</v>
      </c>
      <c r="AN220">
        <v>3.2461099999999998</v>
      </c>
      <c r="AO220">
        <v>6.4090600000000002</v>
      </c>
      <c r="AP220">
        <v>14.9794</v>
      </c>
      <c r="AQ220">
        <v>36.857300000000002</v>
      </c>
      <c r="AR220">
        <v>37.841999999999999</v>
      </c>
      <c r="AS220">
        <v>4.4684000000000001E-2</v>
      </c>
      <c r="AT220">
        <v>7.5619699999999996</v>
      </c>
      <c r="AU220">
        <v>38.658499999999997</v>
      </c>
      <c r="AV220">
        <v>35.894300000000001</v>
      </c>
      <c r="AW220">
        <v>11.621700000000001</v>
      </c>
      <c r="AX220">
        <v>3.6571899999999999</v>
      </c>
      <c r="AY220">
        <v>2.6063399999999999</v>
      </c>
      <c r="AZ220">
        <v>544.54600000000005</v>
      </c>
      <c r="BA220">
        <v>583.79899999999998</v>
      </c>
      <c r="BB220">
        <v>29302.5</v>
      </c>
      <c r="BC220">
        <v>1.2919E-2</v>
      </c>
      <c r="BD220">
        <v>6.8985699999999997E-2</v>
      </c>
      <c r="BE220">
        <v>0.38839899999999999</v>
      </c>
      <c r="BF220">
        <v>3.25556</v>
      </c>
      <c r="BG220">
        <v>42.506500000000003</v>
      </c>
      <c r="BH220">
        <v>47.277900000000002</v>
      </c>
      <c r="BI220">
        <v>6.5026099999999998</v>
      </c>
      <c r="BJ220">
        <v>33.556899999999999</v>
      </c>
      <c r="BK220">
        <v>0</v>
      </c>
      <c r="BL220">
        <v>32.701099999999997</v>
      </c>
      <c r="BM220">
        <v>53.914700000000003</v>
      </c>
      <c r="BN220">
        <v>10.2987</v>
      </c>
      <c r="BO220">
        <v>1.8182</v>
      </c>
      <c r="BP220">
        <v>1.2672600000000001</v>
      </c>
      <c r="BQ220">
        <v>35.217300000000002</v>
      </c>
      <c r="BR220">
        <v>105819</v>
      </c>
    </row>
    <row r="221" spans="1:70" x14ac:dyDescent="0.25">
      <c r="A221">
        <v>31</v>
      </c>
      <c r="B221" s="7">
        <v>45966.573206018518</v>
      </c>
      <c r="C221" t="s">
        <v>132</v>
      </c>
      <c r="D221" s="6" t="s">
        <v>452</v>
      </c>
      <c r="E221" s="6" t="str">
        <f>VLOOKUP(F221,Germplasm!$A$1:$B$21,2,FALSE)</f>
        <v>Sunnita</v>
      </c>
      <c r="F221" t="s">
        <v>65</v>
      </c>
      <c r="G221" s="6" t="s">
        <v>113</v>
      </c>
      <c r="H221">
        <v>32832.199999999997</v>
      </c>
      <c r="I221">
        <v>461.17700000000002</v>
      </c>
      <c r="J221">
        <v>115329</v>
      </c>
      <c r="K221">
        <v>14.905099999999999</v>
      </c>
      <c r="L221">
        <v>67.937399999999997</v>
      </c>
      <c r="M221">
        <v>1306.1099999999999</v>
      </c>
      <c r="N221">
        <v>484.45100000000002</v>
      </c>
      <c r="O221">
        <v>19983500</v>
      </c>
      <c r="P221">
        <v>0.18403700000000001</v>
      </c>
      <c r="Q221">
        <v>0.81701199999999996</v>
      </c>
      <c r="R221">
        <v>6.2260999999999997</v>
      </c>
      <c r="S221">
        <v>32.266199999999998</v>
      </c>
      <c r="T221">
        <v>42.491900000000001</v>
      </c>
      <c r="U221">
        <v>17.529599999999999</v>
      </c>
      <c r="V221">
        <v>0.66925500000000004</v>
      </c>
      <c r="W221">
        <v>105.15300000000001</v>
      </c>
      <c r="X221">
        <v>1.9498200000000001</v>
      </c>
      <c r="Y221">
        <v>8.6785800000000002</v>
      </c>
      <c r="Z221">
        <v>11.484500000000001</v>
      </c>
      <c r="AA221">
        <v>20.255800000000001</v>
      </c>
      <c r="AB221">
        <v>23.3674</v>
      </c>
      <c r="AC221">
        <v>34.263800000000003</v>
      </c>
      <c r="AD221">
        <v>1.90998</v>
      </c>
      <c r="AE221">
        <v>6.82653</v>
      </c>
      <c r="AF221">
        <v>0</v>
      </c>
      <c r="AG221">
        <v>99.548000000000002</v>
      </c>
      <c r="AH221">
        <v>0.44617000000000001</v>
      </c>
      <c r="AI221">
        <v>5.7944099999999998E-3</v>
      </c>
      <c r="AJ221">
        <v>0</v>
      </c>
      <c r="AK221">
        <v>0</v>
      </c>
      <c r="AL221">
        <v>0.41572100000000001</v>
      </c>
      <c r="AM221">
        <v>1.4457100000000001</v>
      </c>
      <c r="AN221">
        <v>9.6578400000000002</v>
      </c>
      <c r="AO221">
        <v>15.6609</v>
      </c>
      <c r="AP221">
        <v>24.340900000000001</v>
      </c>
      <c r="AQ221">
        <v>33.409100000000002</v>
      </c>
      <c r="AR221">
        <v>15.4856</v>
      </c>
      <c r="AS221">
        <v>0.111623</v>
      </c>
      <c r="AT221">
        <v>4.9658100000000003</v>
      </c>
      <c r="AU221">
        <v>31.740400000000001</v>
      </c>
      <c r="AV221">
        <v>31.5593</v>
      </c>
      <c r="AW221">
        <v>18.465299999999999</v>
      </c>
      <c r="AX221">
        <v>10.456</v>
      </c>
      <c r="AY221">
        <v>2.8131900000000001</v>
      </c>
      <c r="AZ221">
        <v>608.65599999999995</v>
      </c>
      <c r="BA221">
        <v>663.59900000000005</v>
      </c>
      <c r="BB221">
        <v>17189.8</v>
      </c>
      <c r="BC221">
        <v>7.6229199999999997E-2</v>
      </c>
      <c r="BD221">
        <v>7.5327400000000003E-2</v>
      </c>
      <c r="BE221">
        <v>0.45051600000000003</v>
      </c>
      <c r="BF221">
        <v>3.10581</v>
      </c>
      <c r="BG221">
        <v>33.071599999999997</v>
      </c>
      <c r="BH221">
        <v>42.019599999999997</v>
      </c>
      <c r="BI221">
        <v>21.277100000000001</v>
      </c>
      <c r="BJ221">
        <v>31.515499999999999</v>
      </c>
      <c r="BK221">
        <v>0</v>
      </c>
      <c r="BL221">
        <v>39.490400000000001</v>
      </c>
      <c r="BM221">
        <v>47.770600000000002</v>
      </c>
      <c r="BN221">
        <v>10.670400000000001</v>
      </c>
      <c r="BO221">
        <v>1.1820600000000001</v>
      </c>
      <c r="BP221">
        <v>0.88654500000000003</v>
      </c>
      <c r="BQ221">
        <v>31.594200000000001</v>
      </c>
      <c r="BR221">
        <v>69032</v>
      </c>
    </row>
    <row r="222" spans="1:70" x14ac:dyDescent="0.25">
      <c r="A222">
        <v>31</v>
      </c>
      <c r="B222" s="7">
        <v>45988.516157407408</v>
      </c>
      <c r="C222" t="s">
        <v>131</v>
      </c>
      <c r="D222" s="6" t="s">
        <v>216</v>
      </c>
      <c r="E222" s="6" t="str">
        <f>VLOOKUP(F222,Germplasm!$A$1:$B$21,2,FALSE)</f>
        <v>Tiril</v>
      </c>
      <c r="F222" t="s">
        <v>64</v>
      </c>
      <c r="G222" s="6" t="s">
        <v>113</v>
      </c>
      <c r="H222">
        <v>55781.4</v>
      </c>
      <c r="I222">
        <v>450.40600000000001</v>
      </c>
      <c r="J222">
        <v>214378</v>
      </c>
      <c r="K222">
        <v>14.468</v>
      </c>
      <c r="L222">
        <v>86.096999999999994</v>
      </c>
      <c r="M222">
        <v>1702.67</v>
      </c>
      <c r="N222">
        <v>582.00300000000004</v>
      </c>
      <c r="O222">
        <v>33106300</v>
      </c>
      <c r="P222">
        <v>0.127359</v>
      </c>
      <c r="Q222">
        <v>1.1757299999999999</v>
      </c>
      <c r="R222">
        <v>18.061800000000002</v>
      </c>
      <c r="S222">
        <v>38.819800000000001</v>
      </c>
      <c r="T222">
        <v>29.8322</v>
      </c>
      <c r="U222">
        <v>11.417999999999999</v>
      </c>
      <c r="V222">
        <v>0.69241799999999998</v>
      </c>
      <c r="W222">
        <v>68.342699999999994</v>
      </c>
      <c r="X222">
        <v>10.2484</v>
      </c>
      <c r="Y222">
        <v>23.7498</v>
      </c>
      <c r="Z222">
        <v>15.8827</v>
      </c>
      <c r="AA222">
        <v>25.0519</v>
      </c>
      <c r="AB222">
        <v>14.058999999999999</v>
      </c>
      <c r="AC222">
        <v>11.0082</v>
      </c>
      <c r="AD222">
        <v>1.7984599999999999</v>
      </c>
      <c r="AE222">
        <v>9.5641400000000001</v>
      </c>
      <c r="AF222">
        <v>0</v>
      </c>
      <c r="AG222">
        <v>97.907399999999996</v>
      </c>
      <c r="AH222">
        <v>2.09104</v>
      </c>
      <c r="AI222">
        <v>1.5319000000000001E-3</v>
      </c>
      <c r="AJ222">
        <v>0</v>
      </c>
      <c r="AK222">
        <v>0</v>
      </c>
      <c r="AL222">
        <v>0.27341300000000002</v>
      </c>
      <c r="AM222">
        <v>4.1261700000000001</v>
      </c>
      <c r="AN222">
        <v>26.033100000000001</v>
      </c>
      <c r="AO222">
        <v>27.802399999999999</v>
      </c>
      <c r="AP222">
        <v>23.4725</v>
      </c>
      <c r="AQ222">
        <v>13.1751</v>
      </c>
      <c r="AR222">
        <v>5.3907499999999997</v>
      </c>
      <c r="AS222">
        <v>0.23941799999999999</v>
      </c>
      <c r="AT222">
        <v>1.0639000000000001</v>
      </c>
      <c r="AU222">
        <v>9.0052599999999998</v>
      </c>
      <c r="AV222">
        <v>32.033499999999997</v>
      </c>
      <c r="AW222">
        <v>40.088999999999999</v>
      </c>
      <c r="AX222">
        <v>14.082700000000001</v>
      </c>
      <c r="AY222">
        <v>3.7255799999999999</v>
      </c>
      <c r="AZ222">
        <v>593.50199999999995</v>
      </c>
      <c r="BA222">
        <v>654.6</v>
      </c>
      <c r="BB222">
        <v>31016.2</v>
      </c>
      <c r="BC222">
        <v>0.21617</v>
      </c>
      <c r="BD222">
        <v>4.6722899999999998E-2</v>
      </c>
      <c r="BE222">
        <v>0.18229600000000001</v>
      </c>
      <c r="BF222">
        <v>0.97888299999999995</v>
      </c>
      <c r="BG222">
        <v>8.8605</v>
      </c>
      <c r="BH222">
        <v>39.684600000000003</v>
      </c>
      <c r="BI222">
        <v>50.247</v>
      </c>
      <c r="BJ222">
        <v>33.053600000000003</v>
      </c>
      <c r="BK222">
        <v>0</v>
      </c>
      <c r="BL222">
        <v>33.5777</v>
      </c>
      <c r="BM222">
        <v>53.918199999999999</v>
      </c>
      <c r="BN222">
        <v>9.7390399999999993</v>
      </c>
      <c r="BO222">
        <v>1.92866</v>
      </c>
      <c r="BP222">
        <v>0.83641600000000005</v>
      </c>
      <c r="BQ222">
        <v>33.822899999999997</v>
      </c>
      <c r="BR222">
        <v>130557</v>
      </c>
    </row>
    <row r="223" spans="1:70" x14ac:dyDescent="0.25">
      <c r="A223">
        <v>31</v>
      </c>
      <c r="B223" s="7">
        <v>45994.530671296299</v>
      </c>
      <c r="C223" t="s">
        <v>131</v>
      </c>
      <c r="D223" s="6" t="s">
        <v>217</v>
      </c>
      <c r="E223" s="6" t="str">
        <f>VLOOKUP(F223,Germplasm!$A$1:$B$21,2,FALSE)</f>
        <v>Tiril</v>
      </c>
      <c r="F223" t="s">
        <v>64</v>
      </c>
      <c r="G223" s="6" t="s">
        <v>113</v>
      </c>
      <c r="H223">
        <v>50696.3</v>
      </c>
      <c r="I223">
        <v>469.71899999999999</v>
      </c>
      <c r="J223">
        <v>195497</v>
      </c>
      <c r="K223">
        <v>13.8666</v>
      </c>
      <c r="L223">
        <v>61.357500000000002</v>
      </c>
      <c r="M223">
        <v>1767.89</v>
      </c>
      <c r="N223">
        <v>648.84900000000005</v>
      </c>
      <c r="O223">
        <v>30845700</v>
      </c>
      <c r="P223">
        <v>7.7456200000000003E-2</v>
      </c>
      <c r="Q223">
        <v>1.2848900000000001</v>
      </c>
      <c r="R223">
        <v>25.9145</v>
      </c>
      <c r="S223">
        <v>48.400599999999997</v>
      </c>
      <c r="T223">
        <v>17.500699999999998</v>
      </c>
      <c r="U223">
        <v>6.4703900000000001</v>
      </c>
      <c r="V223">
        <v>0.42887599999999998</v>
      </c>
      <c r="W223">
        <v>52.707599999999999</v>
      </c>
      <c r="X223">
        <v>13.9961</v>
      </c>
      <c r="Y223">
        <v>38.233199999999997</v>
      </c>
      <c r="Z223">
        <v>15.1441</v>
      </c>
      <c r="AA223">
        <v>16.581499999999998</v>
      </c>
      <c r="AB223">
        <v>7.16873</v>
      </c>
      <c r="AC223">
        <v>8.8764299999999992</v>
      </c>
      <c r="AD223">
        <v>1.8701099999999999</v>
      </c>
      <c r="AE223">
        <v>12.0215</v>
      </c>
      <c r="AF223">
        <v>0</v>
      </c>
      <c r="AG223">
        <v>94.105800000000002</v>
      </c>
      <c r="AH223">
        <v>5.8925000000000001</v>
      </c>
      <c r="AI223">
        <v>1.7328300000000001E-3</v>
      </c>
      <c r="AJ223">
        <v>0</v>
      </c>
      <c r="AK223">
        <v>0</v>
      </c>
      <c r="AL223">
        <v>0.201178</v>
      </c>
      <c r="AM223">
        <v>6.1541499999999996</v>
      </c>
      <c r="AN223">
        <v>41.127000000000002</v>
      </c>
      <c r="AO223">
        <v>28.479099999999999</v>
      </c>
      <c r="AP223">
        <v>14.095700000000001</v>
      </c>
      <c r="AQ223">
        <v>7.141</v>
      </c>
      <c r="AR223">
        <v>3.0030000000000001</v>
      </c>
      <c r="AS223">
        <v>0.26554899999999998</v>
      </c>
      <c r="AT223">
        <v>0.75811399999999995</v>
      </c>
      <c r="AU223">
        <v>6.3742200000000002</v>
      </c>
      <c r="AV223">
        <v>26.624099999999999</v>
      </c>
      <c r="AW223">
        <v>47.534999999999997</v>
      </c>
      <c r="AX223">
        <v>14.4293</v>
      </c>
      <c r="AY223">
        <v>4.2792300000000001</v>
      </c>
      <c r="AZ223">
        <v>608.44100000000003</v>
      </c>
      <c r="BA223">
        <v>668.399</v>
      </c>
      <c r="BB223">
        <v>27108.7</v>
      </c>
      <c r="BC223">
        <v>0.27153100000000002</v>
      </c>
      <c r="BD223">
        <v>8.7508000000000002E-2</v>
      </c>
      <c r="BE223">
        <v>0.25472600000000001</v>
      </c>
      <c r="BF223">
        <v>0.75031599999999998</v>
      </c>
      <c r="BG223">
        <v>6.0389200000000001</v>
      </c>
      <c r="BH223">
        <v>26.787800000000001</v>
      </c>
      <c r="BI223">
        <v>66.080699999999993</v>
      </c>
      <c r="BJ223">
        <v>31.985600000000002</v>
      </c>
      <c r="BK223">
        <v>0</v>
      </c>
      <c r="BL223">
        <v>35.430300000000003</v>
      </c>
      <c r="BM223">
        <v>53.2057</v>
      </c>
      <c r="BN223">
        <v>8.5541199999999993</v>
      </c>
      <c r="BO223">
        <v>1.9684999999999999</v>
      </c>
      <c r="BP223">
        <v>0.84128999999999998</v>
      </c>
      <c r="BQ223">
        <v>32.361400000000003</v>
      </c>
      <c r="BR223">
        <v>115418</v>
      </c>
    </row>
    <row r="224" spans="1:70" x14ac:dyDescent="0.25">
      <c r="A224">
        <v>31</v>
      </c>
      <c r="B224" s="7">
        <v>46002.579004629632</v>
      </c>
      <c r="C224" t="s">
        <v>131</v>
      </c>
      <c r="D224" s="6" t="s">
        <v>218</v>
      </c>
      <c r="E224" s="6" t="str">
        <f>VLOOKUP(F224,Germplasm!$A$1:$B$21,2,FALSE)</f>
        <v>Tiril</v>
      </c>
      <c r="F224" t="s">
        <v>64</v>
      </c>
      <c r="G224" s="6" t="s">
        <v>113</v>
      </c>
      <c r="H224">
        <v>40129.9</v>
      </c>
      <c r="I224">
        <v>455.99599999999998</v>
      </c>
      <c r="J224">
        <v>204783</v>
      </c>
      <c r="K224">
        <v>10.776899999999999</v>
      </c>
      <c r="L224">
        <v>67.598399999999998</v>
      </c>
      <c r="M224">
        <v>1721.8</v>
      </c>
      <c r="N224">
        <v>640.37900000000002</v>
      </c>
      <c r="O224">
        <v>19755000</v>
      </c>
      <c r="P224">
        <v>8.2319999999999997E-3</v>
      </c>
      <c r="Q224">
        <v>1.54114</v>
      </c>
      <c r="R224">
        <v>40.293500000000002</v>
      </c>
      <c r="S224">
        <v>55.147199999999998</v>
      </c>
      <c r="T224">
        <v>2.2633200000000002</v>
      </c>
      <c r="U224">
        <v>0.71008599999999999</v>
      </c>
      <c r="V224">
        <v>4.4758399999999997E-2</v>
      </c>
      <c r="W224">
        <v>34.590699999999998</v>
      </c>
      <c r="X224">
        <v>22.374400000000001</v>
      </c>
      <c r="Y224">
        <v>57.139600000000002</v>
      </c>
      <c r="Z224">
        <v>8.4823299999999993</v>
      </c>
      <c r="AA224">
        <v>3.0072800000000002</v>
      </c>
      <c r="AB224">
        <v>1.40808</v>
      </c>
      <c r="AC224">
        <v>7.5883700000000003</v>
      </c>
      <c r="AD224">
        <v>1.81837</v>
      </c>
      <c r="AE224">
        <v>17.623699999999999</v>
      </c>
      <c r="AF224">
        <v>0</v>
      </c>
      <c r="AG224">
        <v>78.848600000000005</v>
      </c>
      <c r="AH224">
        <v>21.0062</v>
      </c>
      <c r="AI224">
        <v>0.14516200000000001</v>
      </c>
      <c r="AJ224">
        <v>0</v>
      </c>
      <c r="AK224">
        <v>0</v>
      </c>
      <c r="AL224">
        <v>0.101839</v>
      </c>
      <c r="AM224">
        <v>14.7255</v>
      </c>
      <c r="AN224">
        <v>58.513800000000003</v>
      </c>
      <c r="AO224">
        <v>20.852599999999999</v>
      </c>
      <c r="AP224">
        <v>3.9834999999999998</v>
      </c>
      <c r="AQ224">
        <v>1.3814599999999999</v>
      </c>
      <c r="AR224">
        <v>0.54315000000000002</v>
      </c>
      <c r="AS224">
        <v>0.28320699999999999</v>
      </c>
      <c r="AT224">
        <v>0.51774600000000004</v>
      </c>
      <c r="AU224">
        <v>4.3222100000000001</v>
      </c>
      <c r="AV224">
        <v>22.006599999999999</v>
      </c>
      <c r="AW224">
        <v>55.259700000000002</v>
      </c>
      <c r="AX224">
        <v>13.6356</v>
      </c>
      <c r="AY224">
        <v>4.2580999999999998</v>
      </c>
      <c r="AZ224">
        <v>492.27600000000001</v>
      </c>
      <c r="BA224">
        <v>606.59900000000005</v>
      </c>
      <c r="BB224">
        <v>22069.200000000001</v>
      </c>
      <c r="BC224">
        <v>0.34026800000000001</v>
      </c>
      <c r="BD224">
        <v>0.11613</v>
      </c>
      <c r="BE224">
        <v>0.27459899999999998</v>
      </c>
      <c r="BF224">
        <v>0.68468300000000004</v>
      </c>
      <c r="BG224">
        <v>3.7597100000000001</v>
      </c>
      <c r="BH224">
        <v>11.893599999999999</v>
      </c>
      <c r="BI224">
        <v>83.271199999999993</v>
      </c>
      <c r="BJ224">
        <v>30.107199999999999</v>
      </c>
      <c r="BK224">
        <v>0</v>
      </c>
      <c r="BL224">
        <v>38.876899999999999</v>
      </c>
      <c r="BM224">
        <v>52.726599999999998</v>
      </c>
      <c r="BN224">
        <v>6.2444100000000002</v>
      </c>
      <c r="BO224">
        <v>1.38872</v>
      </c>
      <c r="BP224">
        <v>0.76331300000000002</v>
      </c>
      <c r="BQ224">
        <v>33.395000000000003</v>
      </c>
      <c r="BR224">
        <v>82666</v>
      </c>
    </row>
    <row r="225" spans="1:70" x14ac:dyDescent="0.25">
      <c r="A225">
        <v>31</v>
      </c>
      <c r="B225" s="7">
        <v>46013.591331018521</v>
      </c>
      <c r="C225" t="s">
        <v>131</v>
      </c>
      <c r="D225" s="6" t="s">
        <v>219</v>
      </c>
      <c r="E225" s="6" t="str">
        <f>VLOOKUP(F225,Germplasm!$A$1:$B$21,2,FALSE)</f>
        <v>Tiril</v>
      </c>
      <c r="F225" t="s">
        <v>64</v>
      </c>
      <c r="G225" s="6" t="s">
        <v>113</v>
      </c>
      <c r="H225">
        <v>24868.6</v>
      </c>
      <c r="I225">
        <v>169.98599999999999</v>
      </c>
      <c r="J225">
        <v>69052.399999999994</v>
      </c>
      <c r="K225">
        <v>19.524699999999999</v>
      </c>
      <c r="L225">
        <v>77.004300000000001</v>
      </c>
      <c r="M225">
        <v>1003.02</v>
      </c>
      <c r="N225">
        <v>357.31599999999997</v>
      </c>
      <c r="O225">
        <v>4802360</v>
      </c>
      <c r="P225">
        <v>-2.3228099999999998E-3</v>
      </c>
      <c r="Q225">
        <v>2.1122800000000002</v>
      </c>
      <c r="R225">
        <v>44.757899999999999</v>
      </c>
      <c r="S225">
        <v>50.875399999999999</v>
      </c>
      <c r="T225">
        <v>1.80762</v>
      </c>
      <c r="U225">
        <v>0.355431</v>
      </c>
      <c r="V225">
        <v>9.1396500000000006E-2</v>
      </c>
      <c r="W225">
        <v>31.9346</v>
      </c>
      <c r="X225">
        <v>25.997199999999999</v>
      </c>
      <c r="Y225">
        <v>59.7774</v>
      </c>
      <c r="Z225">
        <v>6.4180700000000002</v>
      </c>
      <c r="AA225">
        <v>1.73044</v>
      </c>
      <c r="AB225">
        <v>0.76163800000000004</v>
      </c>
      <c r="AC225">
        <v>5.3152200000000001</v>
      </c>
      <c r="AD225">
        <v>1.8445400000000001</v>
      </c>
      <c r="AE225">
        <v>15.845000000000001</v>
      </c>
      <c r="AF225">
        <v>0</v>
      </c>
      <c r="AG225">
        <v>88.579499999999996</v>
      </c>
      <c r="AH225">
        <v>11.349399999999999</v>
      </c>
      <c r="AI225">
        <v>6.2962099999999993E-2</v>
      </c>
      <c r="AJ225">
        <v>8.1241400000000002E-3</v>
      </c>
      <c r="AK225">
        <v>0</v>
      </c>
      <c r="AL225">
        <v>0.117658</v>
      </c>
      <c r="AM225">
        <v>10.059699999999999</v>
      </c>
      <c r="AN225">
        <v>59.395600000000002</v>
      </c>
      <c r="AO225">
        <v>24.0596</v>
      </c>
      <c r="AP225">
        <v>4.5271800000000004</v>
      </c>
      <c r="AQ225">
        <v>1.3445400000000001</v>
      </c>
      <c r="AR225">
        <v>0.61337200000000003</v>
      </c>
      <c r="AS225">
        <v>0.32994000000000001</v>
      </c>
      <c r="AT225">
        <v>0.48541699999999999</v>
      </c>
      <c r="AU225">
        <v>2.45146</v>
      </c>
      <c r="AV225">
        <v>16.508199999999999</v>
      </c>
      <c r="AW225">
        <v>54.027500000000003</v>
      </c>
      <c r="AX225">
        <v>18.433700000000002</v>
      </c>
      <c r="AY225">
        <v>8.0936699999999995</v>
      </c>
      <c r="AZ225">
        <v>193.10900000000001</v>
      </c>
      <c r="BA225">
        <v>203.35300000000001</v>
      </c>
      <c r="BB225">
        <v>13482.3</v>
      </c>
      <c r="BC225">
        <v>0.365624</v>
      </c>
      <c r="BD225">
        <v>0.14217199999999999</v>
      </c>
      <c r="BE225">
        <v>0.26200299999999999</v>
      </c>
      <c r="BF225">
        <v>0.49354100000000001</v>
      </c>
      <c r="BG225">
        <v>2.0391599999999999</v>
      </c>
      <c r="BH225">
        <v>7.984</v>
      </c>
      <c r="BI225">
        <v>89.079099999999997</v>
      </c>
      <c r="BJ225">
        <v>34.275500000000001</v>
      </c>
      <c r="BK225">
        <v>0</v>
      </c>
      <c r="BL225">
        <v>30.4147</v>
      </c>
      <c r="BM225">
        <v>55.010599999999997</v>
      </c>
      <c r="BN225">
        <v>10.640599999999999</v>
      </c>
      <c r="BO225">
        <v>2.7236199999999999</v>
      </c>
      <c r="BP225">
        <v>1.2104999999999999</v>
      </c>
      <c r="BQ225">
        <v>32.8431</v>
      </c>
      <c r="BR225">
        <v>49236</v>
      </c>
    </row>
    <row r="226" spans="1:70" x14ac:dyDescent="0.25">
      <c r="A226">
        <v>31</v>
      </c>
      <c r="B226" s="7">
        <v>46024.538738425923</v>
      </c>
      <c r="C226" t="s">
        <v>131</v>
      </c>
      <c r="D226" s="6" t="s">
        <v>220</v>
      </c>
      <c r="E226" s="6" t="str">
        <f>VLOOKUP(F226,Germplasm!$A$1:$B$21,2,FALSE)</f>
        <v>Tiril</v>
      </c>
      <c r="F226" t="s">
        <v>64</v>
      </c>
      <c r="G226" s="6" t="s">
        <v>113</v>
      </c>
      <c r="H226">
        <v>24676.3</v>
      </c>
      <c r="I226">
        <v>359.63200000000001</v>
      </c>
      <c r="J226">
        <v>120894</v>
      </c>
      <c r="K226">
        <v>10.8474</v>
      </c>
      <c r="L226">
        <v>69.812399999999997</v>
      </c>
      <c r="M226">
        <v>1466.53</v>
      </c>
      <c r="N226">
        <v>527.78099999999995</v>
      </c>
      <c r="O226">
        <v>9620770</v>
      </c>
      <c r="P226">
        <v>1.43786E-3</v>
      </c>
      <c r="Q226">
        <v>1.93245</v>
      </c>
      <c r="R226">
        <v>41.371000000000002</v>
      </c>
      <c r="S226">
        <v>54.3277</v>
      </c>
      <c r="T226">
        <v>1.93651</v>
      </c>
      <c r="U226">
        <v>0.36740800000000001</v>
      </c>
      <c r="V226">
        <v>6.4956200000000006E-2</v>
      </c>
      <c r="W226">
        <v>33.364600000000003</v>
      </c>
      <c r="X226">
        <v>22.9194</v>
      </c>
      <c r="Y226">
        <v>60.098700000000001</v>
      </c>
      <c r="Z226">
        <v>7.4435700000000002</v>
      </c>
      <c r="AA226">
        <v>2.35466</v>
      </c>
      <c r="AB226">
        <v>0.97637200000000002</v>
      </c>
      <c r="AC226">
        <v>6.2073700000000001</v>
      </c>
      <c r="AD226">
        <v>1.8816999999999999</v>
      </c>
      <c r="AE226">
        <v>17.5474</v>
      </c>
      <c r="AF226">
        <v>0</v>
      </c>
      <c r="AG226">
        <v>81.617400000000004</v>
      </c>
      <c r="AH226">
        <v>17.388000000000002</v>
      </c>
      <c r="AI226">
        <v>0.994641</v>
      </c>
      <c r="AJ226">
        <v>0</v>
      </c>
      <c r="AK226">
        <v>0</v>
      </c>
      <c r="AL226">
        <v>0.109497</v>
      </c>
      <c r="AM226">
        <v>13.358599999999999</v>
      </c>
      <c r="AN226">
        <v>57.472000000000001</v>
      </c>
      <c r="AO226">
        <v>22.815799999999999</v>
      </c>
      <c r="AP226">
        <v>4.3053800000000004</v>
      </c>
      <c r="AQ226">
        <v>1.46963</v>
      </c>
      <c r="AR226">
        <v>0.57851600000000003</v>
      </c>
      <c r="AS226">
        <v>0.30874299999999999</v>
      </c>
      <c r="AT226">
        <v>0.56024700000000005</v>
      </c>
      <c r="AU226">
        <v>3.0975999999999999</v>
      </c>
      <c r="AV226">
        <v>21.7563</v>
      </c>
      <c r="AW226">
        <v>51.100200000000001</v>
      </c>
      <c r="AX226">
        <v>16.275600000000001</v>
      </c>
      <c r="AY226">
        <v>7.2101300000000004</v>
      </c>
      <c r="AZ226">
        <v>389.87900000000002</v>
      </c>
      <c r="BA226">
        <v>395.399</v>
      </c>
      <c r="BB226">
        <v>13113.8</v>
      </c>
      <c r="BC226">
        <v>0.34912399999999999</v>
      </c>
      <c r="BD226">
        <v>0.121793</v>
      </c>
      <c r="BE226">
        <v>0.32275100000000001</v>
      </c>
      <c r="BF226">
        <v>0.54197799999999996</v>
      </c>
      <c r="BG226">
        <v>2.6692900000000002</v>
      </c>
      <c r="BH226">
        <v>10.313800000000001</v>
      </c>
      <c r="BI226">
        <v>86.0304</v>
      </c>
      <c r="BJ226">
        <v>32.347499999999997</v>
      </c>
      <c r="BK226">
        <v>0</v>
      </c>
      <c r="BL226">
        <v>36.653500000000001</v>
      </c>
      <c r="BM226">
        <v>50.556199999999997</v>
      </c>
      <c r="BN226">
        <v>9.1263400000000008</v>
      </c>
      <c r="BO226">
        <v>2.53938</v>
      </c>
      <c r="BP226">
        <v>1.1245499999999999</v>
      </c>
      <c r="BQ226">
        <v>32.113700000000001</v>
      </c>
      <c r="BR226">
        <v>49264</v>
      </c>
    </row>
    <row r="227" spans="1:70" x14ac:dyDescent="0.25">
      <c r="A227">
        <v>38</v>
      </c>
      <c r="B227" s="7">
        <v>45952.562222222223</v>
      </c>
      <c r="C227" t="s">
        <v>143</v>
      </c>
      <c r="D227" s="6" t="s">
        <v>278</v>
      </c>
      <c r="E227" s="6" t="str">
        <f>VLOOKUP(F227,Germplasm!$A$1:$B$21,2,FALSE)</f>
        <v>Thule</v>
      </c>
      <c r="F227" t="s">
        <v>78</v>
      </c>
      <c r="G227" s="6" t="s">
        <v>113</v>
      </c>
      <c r="H227">
        <v>37254.699999999997</v>
      </c>
      <c r="I227">
        <v>187.12899999999999</v>
      </c>
      <c r="J227">
        <v>119224</v>
      </c>
      <c r="K227">
        <v>19.418700000000001</v>
      </c>
      <c r="L227">
        <v>80.783500000000004</v>
      </c>
      <c r="M227">
        <v>1296.06</v>
      </c>
      <c r="N227">
        <v>436.99900000000002</v>
      </c>
      <c r="O227">
        <v>8657500</v>
      </c>
      <c r="P227">
        <v>0.25276599999999999</v>
      </c>
      <c r="Q227">
        <v>0.450986</v>
      </c>
      <c r="R227">
        <v>2.7821600000000002</v>
      </c>
      <c r="S227">
        <v>15.3284</v>
      </c>
      <c r="T227">
        <v>44.788499999999999</v>
      </c>
      <c r="U227">
        <v>36.368299999999998</v>
      </c>
      <c r="V227">
        <v>0.28170499999999998</v>
      </c>
      <c r="W227">
        <v>115.913</v>
      </c>
      <c r="X227">
        <v>0.74044399999999999</v>
      </c>
      <c r="Y227">
        <v>1.56101</v>
      </c>
      <c r="Z227">
        <v>3.5213100000000002</v>
      </c>
      <c r="AA227">
        <v>17.553599999999999</v>
      </c>
      <c r="AB227">
        <v>41.874499999999998</v>
      </c>
      <c r="AC227">
        <v>34.749200000000002</v>
      </c>
      <c r="AD227">
        <v>1.6091599999999999</v>
      </c>
      <c r="AE227">
        <v>7.1897700000000002</v>
      </c>
      <c r="AF227">
        <v>0</v>
      </c>
      <c r="AG227">
        <v>99.828100000000006</v>
      </c>
      <c r="AH227">
        <v>0.126638</v>
      </c>
      <c r="AI227">
        <v>4.0058900000000001E-2</v>
      </c>
      <c r="AJ227">
        <v>5.1688899999999998E-3</v>
      </c>
      <c r="AK227">
        <v>0</v>
      </c>
      <c r="AL227">
        <v>0.54780300000000004</v>
      </c>
      <c r="AM227">
        <v>0.32822499999999999</v>
      </c>
      <c r="AN227">
        <v>1.51061</v>
      </c>
      <c r="AO227">
        <v>3.4709099999999999</v>
      </c>
      <c r="AP227">
        <v>12.919600000000001</v>
      </c>
      <c r="AQ227">
        <v>42.877299999999998</v>
      </c>
      <c r="AR227">
        <v>38.893300000000004</v>
      </c>
      <c r="AS227">
        <v>4.0098200000000001E-2</v>
      </c>
      <c r="AT227">
        <v>6.6058500000000002</v>
      </c>
      <c r="AU227">
        <v>34.722000000000001</v>
      </c>
      <c r="AV227">
        <v>43.878700000000002</v>
      </c>
      <c r="AW227">
        <v>11.757899999999999</v>
      </c>
      <c r="AX227">
        <v>1.90991</v>
      </c>
      <c r="AY227">
        <v>1.1255299999999999</v>
      </c>
      <c r="AZ227">
        <v>232.386</v>
      </c>
      <c r="BA227">
        <v>236.655</v>
      </c>
      <c r="BB227">
        <v>23151.7</v>
      </c>
      <c r="BC227">
        <v>1.452E-2</v>
      </c>
      <c r="BD227">
        <v>1.9383399999999999E-2</v>
      </c>
      <c r="BE227">
        <v>0.30237999999999998</v>
      </c>
      <c r="BF227">
        <v>2.3389199999999999</v>
      </c>
      <c r="BG227">
        <v>38.667200000000001</v>
      </c>
      <c r="BH227">
        <v>55.329099999999997</v>
      </c>
      <c r="BI227">
        <v>3.3429799999999998</v>
      </c>
      <c r="BJ227">
        <v>33.0794</v>
      </c>
      <c r="BK227">
        <v>0</v>
      </c>
      <c r="BL227">
        <v>28.0154</v>
      </c>
      <c r="BM227">
        <v>62.661200000000001</v>
      </c>
      <c r="BN227">
        <v>8.26248</v>
      </c>
      <c r="BO227">
        <v>0.74432100000000001</v>
      </c>
      <c r="BP227">
        <v>0.31659500000000002</v>
      </c>
      <c r="BQ227">
        <v>38.462299999999999</v>
      </c>
      <c r="BR227">
        <v>77386</v>
      </c>
    </row>
    <row r="228" spans="1:70" x14ac:dyDescent="0.25">
      <c r="A228">
        <v>38</v>
      </c>
      <c r="B228" s="7">
        <v>45959.524085648147</v>
      </c>
      <c r="C228" t="s">
        <v>143</v>
      </c>
      <c r="D228" s="6" t="s">
        <v>279</v>
      </c>
      <c r="E228" s="6" t="str">
        <f>VLOOKUP(F228,Germplasm!$A$1:$B$21,2,FALSE)</f>
        <v>Thule</v>
      </c>
      <c r="F228" t="s">
        <v>78</v>
      </c>
      <c r="G228" s="6" t="s">
        <v>113</v>
      </c>
      <c r="H228">
        <v>75326.8</v>
      </c>
      <c r="I228">
        <v>270.48700000000002</v>
      </c>
      <c r="J228">
        <v>172866</v>
      </c>
      <c r="K228">
        <v>27.955300000000001</v>
      </c>
      <c r="L228">
        <v>87.425200000000004</v>
      </c>
      <c r="M228">
        <v>1543.91</v>
      </c>
      <c r="N228">
        <v>540.471</v>
      </c>
      <c r="O228">
        <v>23788700</v>
      </c>
      <c r="P228">
        <v>0.23764099999999999</v>
      </c>
      <c r="Q228">
        <v>0.44576700000000002</v>
      </c>
      <c r="R228">
        <v>2.9210199999999999</v>
      </c>
      <c r="S228">
        <v>17.709800000000001</v>
      </c>
      <c r="T228">
        <v>48.783900000000003</v>
      </c>
      <c r="U228">
        <v>29.738499999999998</v>
      </c>
      <c r="V228">
        <v>0.40101599999999998</v>
      </c>
      <c r="W228">
        <v>120.172</v>
      </c>
      <c r="X228">
        <v>0.69335100000000005</v>
      </c>
      <c r="Y228">
        <v>1.40065</v>
      </c>
      <c r="Z228">
        <v>2.8820800000000002</v>
      </c>
      <c r="AA228">
        <v>14.0954</v>
      </c>
      <c r="AB228">
        <v>39.056600000000003</v>
      </c>
      <c r="AC228">
        <v>41.871899999999997</v>
      </c>
      <c r="AD228">
        <v>1.5587500000000001</v>
      </c>
      <c r="AE228">
        <v>7.0483200000000004</v>
      </c>
      <c r="AF228">
        <v>0</v>
      </c>
      <c r="AG228">
        <v>99.971500000000006</v>
      </c>
      <c r="AH228">
        <v>2.7315599999999999E-2</v>
      </c>
      <c r="AI228">
        <v>5.8118199999999997E-4</v>
      </c>
      <c r="AJ228">
        <v>5.8118199999999997E-4</v>
      </c>
      <c r="AK228">
        <v>0</v>
      </c>
      <c r="AL228">
        <v>0.53756899999999996</v>
      </c>
      <c r="AM228">
        <v>0.28942899999999999</v>
      </c>
      <c r="AN228">
        <v>1.3564799999999999</v>
      </c>
      <c r="AO228">
        <v>3.6207699999999998</v>
      </c>
      <c r="AP228">
        <v>14.586499999999999</v>
      </c>
      <c r="AQ228">
        <v>46.839799999999997</v>
      </c>
      <c r="AR228">
        <v>33.307000000000002</v>
      </c>
      <c r="AS228">
        <v>1.53931E-2</v>
      </c>
      <c r="AT228">
        <v>7.5489800000000002</v>
      </c>
      <c r="AU228">
        <v>40.937899999999999</v>
      </c>
      <c r="AV228">
        <v>40.477600000000002</v>
      </c>
      <c r="AW228">
        <v>8.3597300000000008</v>
      </c>
      <c r="AX228">
        <v>1.55989</v>
      </c>
      <c r="AY228">
        <v>1.1158699999999999</v>
      </c>
      <c r="AZ228">
        <v>315.80700000000002</v>
      </c>
      <c r="BA228">
        <v>335.99900000000002</v>
      </c>
      <c r="BB228">
        <v>48325.2</v>
      </c>
      <c r="BC228">
        <v>-2.92341E-4</v>
      </c>
      <c r="BD228">
        <v>3.4870900000000003E-2</v>
      </c>
      <c r="BE228">
        <v>0.355684</v>
      </c>
      <c r="BF228">
        <v>2.7379500000000001</v>
      </c>
      <c r="BG228">
        <v>45.358400000000003</v>
      </c>
      <c r="BH228">
        <v>48.7577</v>
      </c>
      <c r="BI228">
        <v>2.7553899999999998</v>
      </c>
      <c r="BJ228">
        <v>31.213699999999999</v>
      </c>
      <c r="BK228">
        <v>0</v>
      </c>
      <c r="BL228">
        <v>33.359900000000003</v>
      </c>
      <c r="BM228">
        <v>59.143500000000003</v>
      </c>
      <c r="BN228">
        <v>6.3098999999999998</v>
      </c>
      <c r="BO228">
        <v>0.72299100000000005</v>
      </c>
      <c r="BP228">
        <v>0.46378399999999997</v>
      </c>
      <c r="BQ228">
        <v>39.969299999999997</v>
      </c>
      <c r="BR228">
        <v>172063</v>
      </c>
    </row>
    <row r="229" spans="1:70" x14ac:dyDescent="0.25">
      <c r="A229">
        <v>38</v>
      </c>
      <c r="B229" s="7">
        <v>45966.554351851853</v>
      </c>
      <c r="C229" t="s">
        <v>143</v>
      </c>
      <c r="D229" s="6" t="s">
        <v>280</v>
      </c>
      <c r="E229" s="6" t="str">
        <f>VLOOKUP(F229,Germplasm!$A$1:$B$21,2,FALSE)</f>
        <v>Thule</v>
      </c>
      <c r="F229" t="s">
        <v>78</v>
      </c>
      <c r="G229" s="6" t="s">
        <v>113</v>
      </c>
      <c r="H229">
        <v>52145</v>
      </c>
      <c r="I229">
        <v>313.51</v>
      </c>
      <c r="J229">
        <v>117458</v>
      </c>
      <c r="K229">
        <v>25.421600000000002</v>
      </c>
      <c r="L229">
        <v>75.858500000000006</v>
      </c>
      <c r="M229">
        <v>1308.8599999999999</v>
      </c>
      <c r="N229">
        <v>494.25</v>
      </c>
      <c r="O229">
        <v>18898600</v>
      </c>
      <c r="P229">
        <v>0.23569200000000001</v>
      </c>
      <c r="Q229">
        <v>0.39350000000000002</v>
      </c>
      <c r="R229">
        <v>2.1230500000000001</v>
      </c>
      <c r="S229">
        <v>16.491800000000001</v>
      </c>
      <c r="T229">
        <v>53.396599999999999</v>
      </c>
      <c r="U229">
        <v>27.285799999999998</v>
      </c>
      <c r="V229">
        <v>0.30924499999999999</v>
      </c>
      <c r="W229">
        <v>115.15900000000001</v>
      </c>
      <c r="X229">
        <v>0.67033900000000002</v>
      </c>
      <c r="Y229">
        <v>2.0813899999999999</v>
      </c>
      <c r="Z229">
        <v>3.9692599999999998</v>
      </c>
      <c r="AA229">
        <v>18.531500000000001</v>
      </c>
      <c r="AB229">
        <v>40.504600000000003</v>
      </c>
      <c r="AC229">
        <v>34.242899999999999</v>
      </c>
      <c r="AD229">
        <v>1.74634</v>
      </c>
      <c r="AE229">
        <v>8.0640999999999998</v>
      </c>
      <c r="AF229">
        <v>0</v>
      </c>
      <c r="AG229">
        <v>99.672200000000004</v>
      </c>
      <c r="AH229">
        <v>0.32498500000000002</v>
      </c>
      <c r="AI229">
        <v>2.77765E-3</v>
      </c>
      <c r="AJ229">
        <v>0</v>
      </c>
      <c r="AK229">
        <v>0</v>
      </c>
      <c r="AL229">
        <v>0.48984699999999998</v>
      </c>
      <c r="AM229">
        <v>0.35091</v>
      </c>
      <c r="AN229">
        <v>2.4776600000000002</v>
      </c>
      <c r="AO229">
        <v>5.8089899999999997</v>
      </c>
      <c r="AP229">
        <v>22.123999999999999</v>
      </c>
      <c r="AQ229">
        <v>50.950400000000002</v>
      </c>
      <c r="AR229">
        <v>18.288</v>
      </c>
      <c r="AS229">
        <v>5.5954700000000003E-2</v>
      </c>
      <c r="AT229">
        <v>3.9785200000000001</v>
      </c>
      <c r="AU229">
        <v>36.813099999999999</v>
      </c>
      <c r="AV229">
        <v>42.532299999999999</v>
      </c>
      <c r="AW229">
        <v>12.0319</v>
      </c>
      <c r="AX229">
        <v>3.0091199999999998</v>
      </c>
      <c r="AY229">
        <v>1.6351100000000001</v>
      </c>
      <c r="AZ229">
        <v>362.423</v>
      </c>
      <c r="BA229">
        <v>457.79899999999998</v>
      </c>
      <c r="BB229">
        <v>29859.599999999999</v>
      </c>
      <c r="BC229">
        <v>2.6952400000000001E-2</v>
      </c>
      <c r="BD229">
        <v>3.8887100000000001E-2</v>
      </c>
      <c r="BE229">
        <v>0.281468</v>
      </c>
      <c r="BF229">
        <v>2.3906299999999998</v>
      </c>
      <c r="BG229">
        <v>38.080599999999997</v>
      </c>
      <c r="BH229">
        <v>52.465200000000003</v>
      </c>
      <c r="BI229">
        <v>6.7432100000000004</v>
      </c>
      <c r="BJ229">
        <v>31.546399999999998</v>
      </c>
      <c r="BK229">
        <v>0</v>
      </c>
      <c r="BL229">
        <v>31.1874</v>
      </c>
      <c r="BM229">
        <v>61.598999999999997</v>
      </c>
      <c r="BN229">
        <v>5.8913900000000003</v>
      </c>
      <c r="BO229">
        <v>0.84625700000000004</v>
      </c>
      <c r="BP229">
        <v>0.47590399999999999</v>
      </c>
      <c r="BQ229">
        <v>34.974600000000002</v>
      </c>
      <c r="BR229">
        <v>108005</v>
      </c>
    </row>
    <row r="230" spans="1:70" x14ac:dyDescent="0.25">
      <c r="A230">
        <v>38</v>
      </c>
      <c r="B230" s="7">
        <v>45973.556273148148</v>
      </c>
      <c r="C230" t="s">
        <v>143</v>
      </c>
      <c r="D230" s="6" t="s">
        <v>281</v>
      </c>
      <c r="E230" s="6" t="str">
        <f>VLOOKUP(F230,Germplasm!$A$1:$B$21,2,FALSE)</f>
        <v>Thule</v>
      </c>
      <c r="F230" t="s">
        <v>78</v>
      </c>
      <c r="G230" s="6" t="s">
        <v>113</v>
      </c>
      <c r="H230">
        <v>75933.899999999994</v>
      </c>
      <c r="I230">
        <v>446.42700000000002</v>
      </c>
      <c r="J230">
        <v>196382</v>
      </c>
      <c r="K230">
        <v>22.6191</v>
      </c>
      <c r="L230">
        <v>71.510000000000005</v>
      </c>
      <c r="M230">
        <v>1653.44</v>
      </c>
      <c r="N230">
        <v>599.024</v>
      </c>
      <c r="O230">
        <v>38398200</v>
      </c>
      <c r="P230">
        <v>0.21365899999999999</v>
      </c>
      <c r="Q230">
        <v>0.32135399999999997</v>
      </c>
      <c r="R230">
        <v>4.1573099999999998</v>
      </c>
      <c r="S230">
        <v>22.557600000000001</v>
      </c>
      <c r="T230">
        <v>50.334800000000001</v>
      </c>
      <c r="U230">
        <v>22.366499999999998</v>
      </c>
      <c r="V230">
        <v>0.26245000000000002</v>
      </c>
      <c r="W230">
        <v>115.6</v>
      </c>
      <c r="X230">
        <v>1.8587499999999999</v>
      </c>
      <c r="Y230">
        <v>3.59314</v>
      </c>
      <c r="Z230">
        <v>4.2005100000000004</v>
      </c>
      <c r="AA230">
        <v>17.230699999999999</v>
      </c>
      <c r="AB230">
        <v>34.583799999999997</v>
      </c>
      <c r="AC230">
        <v>38.533000000000001</v>
      </c>
      <c r="AD230">
        <v>1.70946</v>
      </c>
      <c r="AE230">
        <v>8.1526899999999998</v>
      </c>
      <c r="AF230">
        <v>0</v>
      </c>
      <c r="AG230">
        <v>99.651799999999994</v>
      </c>
      <c r="AH230">
        <v>0.34426099999999998</v>
      </c>
      <c r="AI230">
        <v>3.2724400000000002E-3</v>
      </c>
      <c r="AJ230">
        <v>6.5448899999999996E-4</v>
      </c>
      <c r="AK230">
        <v>0</v>
      </c>
      <c r="AL230">
        <v>0.473939</v>
      </c>
      <c r="AM230">
        <v>0.68394100000000002</v>
      </c>
      <c r="AN230">
        <v>4.9806600000000003</v>
      </c>
      <c r="AO230">
        <v>7.9618599999999997</v>
      </c>
      <c r="AP230">
        <v>20.232199999999999</v>
      </c>
      <c r="AQ230">
        <v>46.896700000000003</v>
      </c>
      <c r="AR230">
        <v>19.244599999999998</v>
      </c>
      <c r="AS230">
        <v>4.6504299999999998E-2</v>
      </c>
      <c r="AT230">
        <v>4.3215899999999996</v>
      </c>
      <c r="AU230">
        <v>39.596600000000002</v>
      </c>
      <c r="AV230">
        <v>39.043500000000002</v>
      </c>
      <c r="AW230">
        <v>13.2403</v>
      </c>
      <c r="AX230">
        <v>2.6925699999999999</v>
      </c>
      <c r="AY230">
        <v>1.1054299999999999</v>
      </c>
      <c r="AZ230">
        <v>505.67899999999997</v>
      </c>
      <c r="BA230">
        <v>617.69899999999996</v>
      </c>
      <c r="BB230">
        <v>44419.8</v>
      </c>
      <c r="BC230">
        <v>2.88401E-2</v>
      </c>
      <c r="BD230">
        <v>2.5525099999999998E-2</v>
      </c>
      <c r="BE230">
        <v>0.217945</v>
      </c>
      <c r="BF230">
        <v>2.0950199999999999</v>
      </c>
      <c r="BG230">
        <v>41.579700000000003</v>
      </c>
      <c r="BH230">
        <v>46.752099999999999</v>
      </c>
      <c r="BI230">
        <v>9.3297399999999993</v>
      </c>
      <c r="BJ230">
        <v>29.645900000000001</v>
      </c>
      <c r="BK230">
        <v>0</v>
      </c>
      <c r="BL230">
        <v>38.385800000000003</v>
      </c>
      <c r="BM230">
        <v>55.460700000000003</v>
      </c>
      <c r="BN230">
        <v>5.1953300000000002</v>
      </c>
      <c r="BO230">
        <v>0.65056199999999997</v>
      </c>
      <c r="BP230">
        <v>0.30760999999999999</v>
      </c>
      <c r="BQ230">
        <v>35.855699999999999</v>
      </c>
      <c r="BR230">
        <v>152791</v>
      </c>
    </row>
    <row r="231" spans="1:70" x14ac:dyDescent="0.25">
      <c r="A231">
        <v>38</v>
      </c>
      <c r="B231" s="7">
        <v>45988.544247685182</v>
      </c>
      <c r="C231" t="s">
        <v>143</v>
      </c>
      <c r="D231" s="6" t="s">
        <v>282</v>
      </c>
      <c r="E231" s="6" t="str">
        <f>VLOOKUP(F231,Germplasm!$A$1:$B$21,2,FALSE)</f>
        <v>Thule</v>
      </c>
      <c r="F231" t="s">
        <v>78</v>
      </c>
      <c r="G231" s="6" t="s">
        <v>113</v>
      </c>
      <c r="H231">
        <v>60608.3</v>
      </c>
      <c r="I231">
        <v>425.25599999999997</v>
      </c>
      <c r="J231">
        <v>152509</v>
      </c>
      <c r="K231">
        <v>22.225300000000001</v>
      </c>
      <c r="L231">
        <v>66.381200000000007</v>
      </c>
      <c r="M231">
        <v>1476.01</v>
      </c>
      <c r="N231">
        <v>546.80700000000002</v>
      </c>
      <c r="O231">
        <v>32210300</v>
      </c>
      <c r="P231">
        <v>0.14930499999999999</v>
      </c>
      <c r="Q231">
        <v>0.61141599999999996</v>
      </c>
      <c r="R231">
        <v>12.625999999999999</v>
      </c>
      <c r="S231">
        <v>33.0047</v>
      </c>
      <c r="T231">
        <v>43.759900000000002</v>
      </c>
      <c r="U231">
        <v>9.8122900000000008</v>
      </c>
      <c r="V231">
        <v>0.185608</v>
      </c>
      <c r="W231">
        <v>84.221000000000004</v>
      </c>
      <c r="X231">
        <v>7.0242599999999999</v>
      </c>
      <c r="Y231">
        <v>18.004799999999999</v>
      </c>
      <c r="Z231">
        <v>9.6851699999999994</v>
      </c>
      <c r="AA231">
        <v>24.595400000000001</v>
      </c>
      <c r="AB231">
        <v>25.037600000000001</v>
      </c>
      <c r="AC231">
        <v>15.652699999999999</v>
      </c>
      <c r="AD231">
        <v>1.78809</v>
      </c>
      <c r="AE231">
        <v>10.8041</v>
      </c>
      <c r="AF231">
        <v>0</v>
      </c>
      <c r="AG231">
        <v>95.028400000000005</v>
      </c>
      <c r="AH231">
        <v>4.9654100000000003</v>
      </c>
      <c r="AI231">
        <v>6.2389400000000001E-3</v>
      </c>
      <c r="AJ231">
        <v>0</v>
      </c>
      <c r="AK231">
        <v>0</v>
      </c>
      <c r="AL231">
        <v>0.32525300000000001</v>
      </c>
      <c r="AM231">
        <v>4.6222700000000003</v>
      </c>
      <c r="AN231">
        <v>22.337700000000002</v>
      </c>
      <c r="AO231">
        <v>13.611000000000001</v>
      </c>
      <c r="AP231">
        <v>24.087</v>
      </c>
      <c r="AQ231">
        <v>30.932600000000001</v>
      </c>
      <c r="AR231">
        <v>4.40937</v>
      </c>
      <c r="AS231">
        <v>0.16824</v>
      </c>
      <c r="AT231">
        <v>0.82821900000000004</v>
      </c>
      <c r="AU231">
        <v>16.4451</v>
      </c>
      <c r="AV231">
        <v>41.973199999999999</v>
      </c>
      <c r="AW231">
        <v>31.523</v>
      </c>
      <c r="AX231">
        <v>7.4126399999999997</v>
      </c>
      <c r="AY231">
        <v>1.8178700000000001</v>
      </c>
      <c r="AZ231">
        <v>531.45100000000002</v>
      </c>
      <c r="BA231">
        <v>606.59900000000005</v>
      </c>
      <c r="BB231">
        <v>33895.599999999999</v>
      </c>
      <c r="BC231">
        <v>0.16159499999999999</v>
      </c>
      <c r="BD231">
        <v>2.1836299999999999E-2</v>
      </c>
      <c r="BE231">
        <v>0.11776</v>
      </c>
      <c r="BF231">
        <v>0.83445800000000003</v>
      </c>
      <c r="BG231">
        <v>16.298400000000001</v>
      </c>
      <c r="BH231">
        <v>48.272199999999998</v>
      </c>
      <c r="BI231">
        <v>34.455300000000001</v>
      </c>
      <c r="BJ231">
        <v>29.607199999999999</v>
      </c>
      <c r="BK231">
        <v>0</v>
      </c>
      <c r="BL231">
        <v>38.672800000000002</v>
      </c>
      <c r="BM231">
        <v>55.034399999999998</v>
      </c>
      <c r="BN231">
        <v>5.1611599999999997</v>
      </c>
      <c r="BO231">
        <v>0.78766599999999998</v>
      </c>
      <c r="BP231">
        <v>0.34392099999999998</v>
      </c>
      <c r="BQ231">
        <v>34.045499999999997</v>
      </c>
      <c r="BR231">
        <v>128227</v>
      </c>
    </row>
    <row r="232" spans="1:70" x14ac:dyDescent="0.25">
      <c r="A232">
        <v>38</v>
      </c>
      <c r="B232" s="7">
        <v>45994.551631944443</v>
      </c>
      <c r="C232" t="s">
        <v>143</v>
      </c>
      <c r="D232" s="6" t="s">
        <v>283</v>
      </c>
      <c r="E232" s="6" t="str">
        <f>VLOOKUP(F232,Germplasm!$A$1:$B$21,2,FALSE)</f>
        <v>Thule</v>
      </c>
      <c r="F232" t="s">
        <v>78</v>
      </c>
      <c r="G232" s="6" t="s">
        <v>113</v>
      </c>
      <c r="H232">
        <v>51719.6</v>
      </c>
      <c r="I232">
        <v>469.51299999999998</v>
      </c>
      <c r="J232">
        <v>134947</v>
      </c>
      <c r="K232">
        <v>22.426400000000001</v>
      </c>
      <c r="L232">
        <v>72.939899999999994</v>
      </c>
      <c r="M232">
        <v>1444.73</v>
      </c>
      <c r="N232">
        <v>524.52499999999998</v>
      </c>
      <c r="O232">
        <v>27775500</v>
      </c>
      <c r="P232">
        <v>0.126333</v>
      </c>
      <c r="Q232">
        <v>0.67910099999999995</v>
      </c>
      <c r="R232">
        <v>18.0596</v>
      </c>
      <c r="S232">
        <v>35.709499999999998</v>
      </c>
      <c r="T232">
        <v>37.128100000000003</v>
      </c>
      <c r="U232">
        <v>8.2684200000000008</v>
      </c>
      <c r="V232">
        <v>0.15529499999999999</v>
      </c>
      <c r="W232">
        <v>71.945099999999996</v>
      </c>
      <c r="X232">
        <v>10.366199999999999</v>
      </c>
      <c r="Y232">
        <v>23.944800000000001</v>
      </c>
      <c r="Z232">
        <v>11.210599999999999</v>
      </c>
      <c r="AA232">
        <v>25.077200000000001</v>
      </c>
      <c r="AB232">
        <v>19.0182</v>
      </c>
      <c r="AC232">
        <v>10.382899999999999</v>
      </c>
      <c r="AD232">
        <v>1.7089700000000001</v>
      </c>
      <c r="AE232">
        <v>11.5083</v>
      </c>
      <c r="AF232">
        <v>0</v>
      </c>
      <c r="AG232">
        <v>93.848600000000005</v>
      </c>
      <c r="AH232">
        <v>6.1463299999999998</v>
      </c>
      <c r="AI232">
        <v>5.0365999999999996E-3</v>
      </c>
      <c r="AJ232">
        <v>0</v>
      </c>
      <c r="AK232">
        <v>0</v>
      </c>
      <c r="AL232">
        <v>0.27903099999999997</v>
      </c>
      <c r="AM232">
        <v>5.7148599999999998</v>
      </c>
      <c r="AN232">
        <v>29.222300000000001</v>
      </c>
      <c r="AO232">
        <v>16.453700000000001</v>
      </c>
      <c r="AP232">
        <v>23.461300000000001</v>
      </c>
      <c r="AQ232">
        <v>21.3904</v>
      </c>
      <c r="AR232">
        <v>3.7572999999999999</v>
      </c>
      <c r="AS232">
        <v>0.204263</v>
      </c>
      <c r="AT232">
        <v>0.62202000000000002</v>
      </c>
      <c r="AU232">
        <v>9.7735199999999995</v>
      </c>
      <c r="AV232">
        <v>39.706000000000003</v>
      </c>
      <c r="AW232">
        <v>38.704599999999999</v>
      </c>
      <c r="AX232">
        <v>9.3521300000000007</v>
      </c>
      <c r="AY232">
        <v>1.84172</v>
      </c>
      <c r="AZ232">
        <v>537.03899999999999</v>
      </c>
      <c r="BA232">
        <v>605.4</v>
      </c>
      <c r="BB232">
        <v>30263.7</v>
      </c>
      <c r="BC232">
        <v>0.20368</v>
      </c>
      <c r="BD232">
        <v>3.7774500000000003E-2</v>
      </c>
      <c r="BE232">
        <v>0.15781300000000001</v>
      </c>
      <c r="BF232">
        <v>0.68245900000000004</v>
      </c>
      <c r="BG232">
        <v>9.5166500000000003</v>
      </c>
      <c r="BH232">
        <v>45.223599999999998</v>
      </c>
      <c r="BI232">
        <v>44.381700000000002</v>
      </c>
      <c r="BJ232">
        <v>30.2349</v>
      </c>
      <c r="BK232">
        <v>0</v>
      </c>
      <c r="BL232">
        <v>35.273000000000003</v>
      </c>
      <c r="BM232">
        <v>58.48</v>
      </c>
      <c r="BN232">
        <v>5.1121499999999997</v>
      </c>
      <c r="BO232">
        <v>0.73366500000000001</v>
      </c>
      <c r="BP232">
        <v>0.40124900000000002</v>
      </c>
      <c r="BQ232">
        <v>35.857999999999997</v>
      </c>
      <c r="BR232">
        <v>119128</v>
      </c>
    </row>
    <row r="233" spans="1:70" x14ac:dyDescent="0.25">
      <c r="A233">
        <v>38</v>
      </c>
      <c r="B233" s="7">
        <v>45994.552152777775</v>
      </c>
      <c r="C233" t="s">
        <v>143</v>
      </c>
      <c r="D233" s="6" t="s">
        <v>284</v>
      </c>
      <c r="E233" s="6" t="str">
        <f>VLOOKUP(F233,Germplasm!$A$1:$B$21,2,FALSE)</f>
        <v>Thule</v>
      </c>
      <c r="F233" t="s">
        <v>78</v>
      </c>
      <c r="G233" s="6" t="s">
        <v>113</v>
      </c>
      <c r="H233">
        <v>52138.7</v>
      </c>
      <c r="I233">
        <v>473.87299999999999</v>
      </c>
      <c r="J233">
        <v>134755</v>
      </c>
      <c r="K233">
        <v>22.4574</v>
      </c>
      <c r="L233">
        <v>72.777699999999996</v>
      </c>
      <c r="M233">
        <v>1443.96</v>
      </c>
      <c r="N233">
        <v>524.50599999999997</v>
      </c>
      <c r="O233">
        <v>27917400</v>
      </c>
      <c r="P233">
        <v>0.124348</v>
      </c>
      <c r="Q233">
        <v>0.69493199999999999</v>
      </c>
      <c r="R233">
        <v>18.284700000000001</v>
      </c>
      <c r="S233">
        <v>35.908200000000001</v>
      </c>
      <c r="T233">
        <v>37.094299999999997</v>
      </c>
      <c r="U233">
        <v>7.8648999999999996</v>
      </c>
      <c r="V233">
        <v>0.15301999999999999</v>
      </c>
      <c r="W233">
        <v>71.421599999999998</v>
      </c>
      <c r="X233">
        <v>10.4916</v>
      </c>
      <c r="Y233">
        <v>24.277799999999999</v>
      </c>
      <c r="Z233">
        <v>11.230499999999999</v>
      </c>
      <c r="AA233">
        <v>24.857800000000001</v>
      </c>
      <c r="AB233">
        <v>19.073399999999999</v>
      </c>
      <c r="AC233">
        <v>10.068899999999999</v>
      </c>
      <c r="AD233">
        <v>1.72289</v>
      </c>
      <c r="AE233">
        <v>11.7407</v>
      </c>
      <c r="AF233">
        <v>0</v>
      </c>
      <c r="AG233">
        <v>93.662800000000004</v>
      </c>
      <c r="AH233">
        <v>6.3287800000000001</v>
      </c>
      <c r="AI233">
        <v>7.6087400000000001E-3</v>
      </c>
      <c r="AJ233">
        <v>8.4541599999999998E-4</v>
      </c>
      <c r="AK233">
        <v>0</v>
      </c>
      <c r="AL233">
        <v>0.27543499999999999</v>
      </c>
      <c r="AM233">
        <v>5.8181500000000002</v>
      </c>
      <c r="AN233">
        <v>29.8964</v>
      </c>
      <c r="AO233">
        <v>16.3157</v>
      </c>
      <c r="AP233">
        <v>23.6218</v>
      </c>
      <c r="AQ233">
        <v>20.745699999999999</v>
      </c>
      <c r="AR233">
        <v>3.6023200000000002</v>
      </c>
      <c r="AS233">
        <v>0.20565</v>
      </c>
      <c r="AT233">
        <v>0.54529300000000003</v>
      </c>
      <c r="AU233">
        <v>9.6123799999999999</v>
      </c>
      <c r="AV233">
        <v>39.698999999999998</v>
      </c>
      <c r="AW233">
        <v>38.964399999999998</v>
      </c>
      <c r="AX233">
        <v>9.3714300000000001</v>
      </c>
      <c r="AY233">
        <v>1.8075000000000001</v>
      </c>
      <c r="AZ233">
        <v>535.44500000000005</v>
      </c>
      <c r="BA233">
        <v>604.79899999999998</v>
      </c>
      <c r="BB233">
        <v>30262.400000000001</v>
      </c>
      <c r="BC233">
        <v>0.206453</v>
      </c>
      <c r="BD233">
        <v>2.8744100000000002E-2</v>
      </c>
      <c r="BE233">
        <v>0.15301999999999999</v>
      </c>
      <c r="BF233">
        <v>0.67633299999999996</v>
      </c>
      <c r="BG233">
        <v>9.2995699999999992</v>
      </c>
      <c r="BH233">
        <v>44.795999999999999</v>
      </c>
      <c r="BI233">
        <v>45.046300000000002</v>
      </c>
      <c r="BJ233">
        <v>30.147300000000001</v>
      </c>
      <c r="BK233">
        <v>0</v>
      </c>
      <c r="BL233">
        <v>35.595399999999998</v>
      </c>
      <c r="BM233">
        <v>58.323500000000003</v>
      </c>
      <c r="BN233">
        <v>4.9676600000000004</v>
      </c>
      <c r="BO233">
        <v>0.73551200000000005</v>
      </c>
      <c r="BP233">
        <v>0.37790099999999999</v>
      </c>
      <c r="BQ233">
        <v>35.523600000000002</v>
      </c>
      <c r="BR233">
        <v>118285</v>
      </c>
    </row>
    <row r="234" spans="1:70" x14ac:dyDescent="0.25">
      <c r="A234">
        <v>38</v>
      </c>
      <c r="B234" s="7">
        <v>46002.569953703707</v>
      </c>
      <c r="C234" t="s">
        <v>143</v>
      </c>
      <c r="D234" s="6" t="s">
        <v>285</v>
      </c>
      <c r="E234" s="6" t="str">
        <f>VLOOKUP(F234,Germplasm!$A$1:$B$21,2,FALSE)</f>
        <v>Thule</v>
      </c>
      <c r="F234" t="s">
        <v>78</v>
      </c>
      <c r="G234" s="6" t="s">
        <v>113</v>
      </c>
      <c r="H234">
        <v>38749</v>
      </c>
      <c r="I234">
        <v>503.44</v>
      </c>
      <c r="J234">
        <v>87564.2</v>
      </c>
      <c r="K234">
        <v>24.216000000000001</v>
      </c>
      <c r="L234">
        <v>84.637</v>
      </c>
      <c r="M234">
        <v>1123.75</v>
      </c>
      <c r="N234">
        <v>390.58100000000002</v>
      </c>
      <c r="O234">
        <v>20339900</v>
      </c>
      <c r="P234">
        <v>6.18936E-2</v>
      </c>
      <c r="Q234">
        <v>0.91942900000000005</v>
      </c>
      <c r="R234">
        <v>28.922000000000001</v>
      </c>
      <c r="S234">
        <v>50.256100000000004</v>
      </c>
      <c r="T234">
        <v>15.7521</v>
      </c>
      <c r="U234">
        <v>4.0545099999999996</v>
      </c>
      <c r="V234">
        <v>9.5891299999999999E-2</v>
      </c>
      <c r="W234">
        <v>48.848500000000001</v>
      </c>
      <c r="X234">
        <v>16.447099999999999</v>
      </c>
      <c r="Y234">
        <v>41.639400000000002</v>
      </c>
      <c r="Z234">
        <v>15.292999999999999</v>
      </c>
      <c r="AA234">
        <v>12.649800000000001</v>
      </c>
      <c r="AB234">
        <v>6.4010300000000004</v>
      </c>
      <c r="AC234">
        <v>7.5697799999999997</v>
      </c>
      <c r="AD234">
        <v>1.8273900000000001</v>
      </c>
      <c r="AE234">
        <v>14.6991</v>
      </c>
      <c r="AF234">
        <v>0</v>
      </c>
      <c r="AG234">
        <v>87.719099999999997</v>
      </c>
      <c r="AH234">
        <v>12.276300000000001</v>
      </c>
      <c r="AI234">
        <v>4.5125299999999998E-3</v>
      </c>
      <c r="AJ234">
        <v>0</v>
      </c>
      <c r="AK234">
        <v>0</v>
      </c>
      <c r="AL234">
        <v>0.166631</v>
      </c>
      <c r="AM234">
        <v>9.2867899999999999</v>
      </c>
      <c r="AN234">
        <v>47.584699999999998</v>
      </c>
      <c r="AO234">
        <v>23.132400000000001</v>
      </c>
      <c r="AP234">
        <v>12.9307</v>
      </c>
      <c r="AQ234">
        <v>5.6496899999999997</v>
      </c>
      <c r="AR234">
        <v>1.41581</v>
      </c>
      <c r="AS234">
        <v>0.253917</v>
      </c>
      <c r="AT234">
        <v>0.530223</v>
      </c>
      <c r="AU234">
        <v>5.4985200000000001</v>
      </c>
      <c r="AV234">
        <v>28.813700000000001</v>
      </c>
      <c r="AW234">
        <v>50.339599999999997</v>
      </c>
      <c r="AX234">
        <v>12.1669</v>
      </c>
      <c r="AY234">
        <v>2.6511100000000001</v>
      </c>
      <c r="AZ234">
        <v>524.91399999999999</v>
      </c>
      <c r="BA234">
        <v>590.4</v>
      </c>
      <c r="BB234">
        <v>21204.6</v>
      </c>
      <c r="BC234">
        <v>0.28572999999999998</v>
      </c>
      <c r="BD234">
        <v>8.3481899999999998E-2</v>
      </c>
      <c r="BE234">
        <v>0.238036</v>
      </c>
      <c r="BF234">
        <v>0.62498600000000004</v>
      </c>
      <c r="BG234">
        <v>5.0822399999999996</v>
      </c>
      <c r="BH234">
        <v>23.913</v>
      </c>
      <c r="BI234">
        <v>70.058199999999999</v>
      </c>
      <c r="BJ234">
        <v>29.6812</v>
      </c>
      <c r="BK234">
        <v>0</v>
      </c>
      <c r="BL234">
        <v>39.292900000000003</v>
      </c>
      <c r="BM234">
        <v>53.526499999999999</v>
      </c>
      <c r="BN234">
        <v>5.6350300000000004</v>
      </c>
      <c r="BO234">
        <v>1.0367500000000001</v>
      </c>
      <c r="BP234">
        <v>0.50878800000000002</v>
      </c>
      <c r="BQ234">
        <v>33.207799999999999</v>
      </c>
      <c r="BR234">
        <v>88642</v>
      </c>
    </row>
    <row r="235" spans="1:70" x14ac:dyDescent="0.25">
      <c r="A235">
        <v>38</v>
      </c>
      <c r="B235" s="7">
        <v>46013.607685185183</v>
      </c>
      <c r="C235" t="s">
        <v>143</v>
      </c>
      <c r="D235" s="6" t="s">
        <v>286</v>
      </c>
      <c r="E235" s="6" t="str">
        <f>VLOOKUP(F235,Germplasm!$A$1:$B$21,2,FALSE)</f>
        <v>Thule</v>
      </c>
      <c r="F235" t="s">
        <v>78</v>
      </c>
      <c r="G235" s="6" t="s">
        <v>113</v>
      </c>
      <c r="H235">
        <v>35207.699999999997</v>
      </c>
      <c r="I235">
        <v>497.80599999999998</v>
      </c>
      <c r="J235">
        <v>114155</v>
      </c>
      <c r="K235">
        <v>16.666499999999999</v>
      </c>
      <c r="L235">
        <v>71.435599999999994</v>
      </c>
      <c r="M235">
        <v>1286.25</v>
      </c>
      <c r="N235">
        <v>453.14299999999997</v>
      </c>
      <c r="O235">
        <v>17928800</v>
      </c>
      <c r="P235">
        <v>9.9566700000000008E-3</v>
      </c>
      <c r="Q235">
        <v>0.87654699999999997</v>
      </c>
      <c r="R235">
        <v>41.186999999999998</v>
      </c>
      <c r="S235">
        <v>54.810299999999998</v>
      </c>
      <c r="T235">
        <v>2.5828000000000002</v>
      </c>
      <c r="U235">
        <v>0.52726700000000004</v>
      </c>
      <c r="V235">
        <v>1.6058900000000001E-2</v>
      </c>
      <c r="W235">
        <v>34.640500000000003</v>
      </c>
      <c r="X235">
        <v>22.9816</v>
      </c>
      <c r="Y235">
        <v>57.228499999999997</v>
      </c>
      <c r="Z235">
        <v>9.4800900000000006</v>
      </c>
      <c r="AA235">
        <v>3.34694</v>
      </c>
      <c r="AB235">
        <v>0.95282699999999998</v>
      </c>
      <c r="AC235">
        <v>6.01004</v>
      </c>
      <c r="AD235">
        <v>1.8505400000000001</v>
      </c>
      <c r="AE235">
        <v>18.722799999999999</v>
      </c>
      <c r="AF235">
        <v>0</v>
      </c>
      <c r="AG235">
        <v>77.397099999999995</v>
      </c>
      <c r="AH235">
        <v>22.380700000000001</v>
      </c>
      <c r="AI235">
        <v>0.219471</v>
      </c>
      <c r="AJ235">
        <v>2.6764800000000002E-3</v>
      </c>
      <c r="AK235">
        <v>0</v>
      </c>
      <c r="AL235">
        <v>8.4257100000000001E-2</v>
      </c>
      <c r="AM235">
        <v>16.273</v>
      </c>
      <c r="AN235">
        <v>63.920999999999999</v>
      </c>
      <c r="AO235">
        <v>15.4848</v>
      </c>
      <c r="AP235">
        <v>3.2505899999999999</v>
      </c>
      <c r="AQ235">
        <v>0.93007700000000004</v>
      </c>
      <c r="AR235">
        <v>0.140515</v>
      </c>
      <c r="AS235">
        <v>0.25752599999999998</v>
      </c>
      <c r="AT235">
        <v>0.44295800000000002</v>
      </c>
      <c r="AU235">
        <v>3.1716299999999999</v>
      </c>
      <c r="AV235">
        <v>28.665099999999999</v>
      </c>
      <c r="AW235">
        <v>56.3399</v>
      </c>
      <c r="AX235">
        <v>8.7721599999999995</v>
      </c>
      <c r="AY235">
        <v>2.6082299999999998</v>
      </c>
      <c r="AZ235">
        <v>509.23</v>
      </c>
      <c r="BA235">
        <v>546.59900000000005</v>
      </c>
      <c r="BB235">
        <v>19025.7</v>
      </c>
      <c r="BC235">
        <v>0.32784400000000002</v>
      </c>
      <c r="BD235">
        <v>9.7691500000000001E-2</v>
      </c>
      <c r="BE235">
        <v>0.32920700000000003</v>
      </c>
      <c r="BF235">
        <v>0.73603200000000002</v>
      </c>
      <c r="BG235">
        <v>2.45166</v>
      </c>
      <c r="BH235">
        <v>12.728</v>
      </c>
      <c r="BI235">
        <v>83.657399999999996</v>
      </c>
      <c r="BJ235">
        <v>27.1721</v>
      </c>
      <c r="BK235">
        <v>0</v>
      </c>
      <c r="BL235">
        <v>47.8996</v>
      </c>
      <c r="BM235">
        <v>46.783499999999997</v>
      </c>
      <c r="BN235">
        <v>4.0254300000000001</v>
      </c>
      <c r="BO235">
        <v>0.90063599999999999</v>
      </c>
      <c r="BP235">
        <v>0.390766</v>
      </c>
      <c r="BQ235">
        <v>32.736600000000003</v>
      </c>
      <c r="BR235">
        <v>74725</v>
      </c>
    </row>
    <row r="236" spans="1:70" x14ac:dyDescent="0.25">
      <c r="A236">
        <v>38</v>
      </c>
      <c r="B236" s="7">
        <v>46024.533067129632</v>
      </c>
      <c r="C236" t="s">
        <v>143</v>
      </c>
      <c r="D236" s="6" t="s">
        <v>287</v>
      </c>
      <c r="E236" s="6" t="str">
        <f>VLOOKUP(F236,Germplasm!$A$1:$B$21,2,FALSE)</f>
        <v>Thule</v>
      </c>
      <c r="F236" t="s">
        <v>78</v>
      </c>
      <c r="G236" s="6" t="s">
        <v>113</v>
      </c>
      <c r="H236">
        <v>33282.1</v>
      </c>
      <c r="I236">
        <v>371.57100000000003</v>
      </c>
      <c r="J236">
        <v>132261</v>
      </c>
      <c r="K236">
        <v>14.1287</v>
      </c>
      <c r="L236">
        <v>89.966700000000003</v>
      </c>
      <c r="M236">
        <v>1397.09</v>
      </c>
      <c r="N236">
        <v>469.05200000000002</v>
      </c>
      <c r="O236">
        <v>12803200</v>
      </c>
      <c r="P236">
        <v>6.4919599999999997E-3</v>
      </c>
      <c r="Q236">
        <v>0.73797100000000004</v>
      </c>
      <c r="R236">
        <v>40.6053</v>
      </c>
      <c r="S236">
        <v>57.450299999999999</v>
      </c>
      <c r="T236">
        <v>1.02159</v>
      </c>
      <c r="U236">
        <v>0.16367999999999999</v>
      </c>
      <c r="V236">
        <v>2.11655E-2</v>
      </c>
      <c r="W236">
        <v>33.783799999999999</v>
      </c>
      <c r="X236">
        <v>21.6693</v>
      </c>
      <c r="Y236">
        <v>61.789200000000001</v>
      </c>
      <c r="Z236">
        <v>7.5490300000000001</v>
      </c>
      <c r="AA236">
        <v>1.97404</v>
      </c>
      <c r="AB236">
        <v>0.77324700000000002</v>
      </c>
      <c r="AC236">
        <v>6.2452399999999999</v>
      </c>
      <c r="AD236">
        <v>1.78105</v>
      </c>
      <c r="AE236">
        <v>21.540500000000002</v>
      </c>
      <c r="AF236">
        <v>0</v>
      </c>
      <c r="AG236">
        <v>66.423000000000002</v>
      </c>
      <c r="AH236">
        <v>33.042200000000001</v>
      </c>
      <c r="AI236">
        <v>0.52772699999999995</v>
      </c>
      <c r="AJ236">
        <v>7.0551700000000004E-3</v>
      </c>
      <c r="AK236">
        <v>0</v>
      </c>
      <c r="AL236">
        <v>7.3047600000000004E-2</v>
      </c>
      <c r="AM236">
        <v>16.988900000000001</v>
      </c>
      <c r="AN236">
        <v>67.251300000000001</v>
      </c>
      <c r="AO236">
        <v>12.8065</v>
      </c>
      <c r="AP236">
        <v>2.2745899999999999</v>
      </c>
      <c r="AQ236">
        <v>0.54889200000000005</v>
      </c>
      <c r="AR236">
        <v>0.12981500000000001</v>
      </c>
      <c r="AS236">
        <v>0.25312099999999998</v>
      </c>
      <c r="AT236">
        <v>0.59827900000000001</v>
      </c>
      <c r="AU236">
        <v>3.4711400000000001</v>
      </c>
      <c r="AV236">
        <v>29.046099999999999</v>
      </c>
      <c r="AW236">
        <v>56.32</v>
      </c>
      <c r="AX236">
        <v>8.2023399999999995</v>
      </c>
      <c r="AY236">
        <v>2.3620700000000001</v>
      </c>
      <c r="AZ236">
        <v>384.68799999999999</v>
      </c>
      <c r="BA236">
        <v>440.73700000000002</v>
      </c>
      <c r="BB236">
        <v>18686.8</v>
      </c>
      <c r="BC236">
        <v>0.32812400000000003</v>
      </c>
      <c r="BD236">
        <v>0.179201</v>
      </c>
      <c r="BE236">
        <v>0.49809500000000001</v>
      </c>
      <c r="BF236">
        <v>0.81557800000000003</v>
      </c>
      <c r="BG236">
        <v>2.5765500000000001</v>
      </c>
      <c r="BH236">
        <v>11.6678</v>
      </c>
      <c r="BI236">
        <v>84.262699999999995</v>
      </c>
      <c r="BJ236">
        <v>26.6206</v>
      </c>
      <c r="BK236">
        <v>0</v>
      </c>
      <c r="BL236">
        <v>48.732900000000001</v>
      </c>
      <c r="BM236">
        <v>46.796999999999997</v>
      </c>
      <c r="BN236">
        <v>3.26654</v>
      </c>
      <c r="BO236">
        <v>0.84803200000000001</v>
      </c>
      <c r="BP236">
        <v>0.35558099999999998</v>
      </c>
      <c r="BQ236">
        <v>34.185000000000002</v>
      </c>
      <c r="BR236">
        <v>70870</v>
      </c>
    </row>
    <row r="237" spans="1:70" x14ac:dyDescent="0.25">
      <c r="A237">
        <v>38</v>
      </c>
      <c r="B237" s="7">
        <v>45952.562222222223</v>
      </c>
      <c r="C237" t="s">
        <v>144</v>
      </c>
      <c r="D237" s="6" t="s">
        <v>278</v>
      </c>
      <c r="E237" s="6" t="str">
        <f>VLOOKUP(F237,Germplasm!$A$1:$B$21,2,FALSE)</f>
        <v>Edel</v>
      </c>
      <c r="F237" t="s">
        <v>67</v>
      </c>
      <c r="G237" s="6" t="s">
        <v>113</v>
      </c>
      <c r="H237">
        <v>37142.199999999997</v>
      </c>
      <c r="I237">
        <v>231.779</v>
      </c>
      <c r="J237">
        <v>78769.3</v>
      </c>
      <c r="K237">
        <v>28.390799999999999</v>
      </c>
      <c r="L237">
        <v>77.956699999999998</v>
      </c>
      <c r="M237">
        <v>1061.73</v>
      </c>
      <c r="N237">
        <v>364.678</v>
      </c>
      <c r="O237">
        <v>10155100</v>
      </c>
      <c r="P237">
        <v>0.28175499999999998</v>
      </c>
      <c r="Q237">
        <v>0.45240999999999998</v>
      </c>
      <c r="R237">
        <v>2.2044899999999998</v>
      </c>
      <c r="S237">
        <v>10.7722</v>
      </c>
      <c r="T237">
        <v>39.813400000000001</v>
      </c>
      <c r="U237">
        <v>46.282299999999999</v>
      </c>
      <c r="V237">
        <v>0.47516399999999998</v>
      </c>
      <c r="W237">
        <v>113.68899999999999</v>
      </c>
      <c r="X237">
        <v>0.61168999999999996</v>
      </c>
      <c r="Y237">
        <v>1.25417</v>
      </c>
      <c r="Z237">
        <v>3.0223100000000001</v>
      </c>
      <c r="AA237">
        <v>20.066700000000001</v>
      </c>
      <c r="AB237">
        <v>45.576999999999998</v>
      </c>
      <c r="AC237">
        <v>29.4682</v>
      </c>
      <c r="AD237">
        <v>1.66086</v>
      </c>
      <c r="AE237">
        <v>6.74796</v>
      </c>
      <c r="AF237">
        <v>0</v>
      </c>
      <c r="AG237">
        <v>99.992000000000004</v>
      </c>
      <c r="AH237">
        <v>8.0309500000000002E-3</v>
      </c>
      <c r="AI237">
        <v>0</v>
      </c>
      <c r="AJ237">
        <v>0</v>
      </c>
      <c r="AK237">
        <v>0</v>
      </c>
      <c r="AL237">
        <v>0.56833500000000003</v>
      </c>
      <c r="AM237">
        <v>0.26769799999999999</v>
      </c>
      <c r="AN237">
        <v>1.0948899999999999</v>
      </c>
      <c r="AO237">
        <v>2.8255499999999998</v>
      </c>
      <c r="AP237">
        <v>9.8780599999999996</v>
      </c>
      <c r="AQ237">
        <v>39.715699999999998</v>
      </c>
      <c r="AR237">
        <v>46.2181</v>
      </c>
      <c r="AS237">
        <v>6.4979999999999996E-2</v>
      </c>
      <c r="AT237">
        <v>5.9910899999999998</v>
      </c>
      <c r="AU237">
        <v>29.867100000000001</v>
      </c>
      <c r="AV237">
        <v>43.867699999999999</v>
      </c>
      <c r="AW237">
        <v>16.280100000000001</v>
      </c>
      <c r="AX237">
        <v>2.7198099999999998</v>
      </c>
      <c r="AY237">
        <v>1.27424</v>
      </c>
      <c r="AZ237">
        <v>273.41199999999998</v>
      </c>
      <c r="BA237">
        <v>281.87200000000001</v>
      </c>
      <c r="BB237">
        <v>22363.200000000001</v>
      </c>
      <c r="BC237">
        <v>2.47116E-2</v>
      </c>
      <c r="BD237">
        <v>5.0862699999999997E-2</v>
      </c>
      <c r="BE237">
        <v>0.30115999999999998</v>
      </c>
      <c r="BF237">
        <v>1.9153800000000001</v>
      </c>
      <c r="BG237">
        <v>33.589399999999998</v>
      </c>
      <c r="BH237">
        <v>60.718000000000004</v>
      </c>
      <c r="BI237">
        <v>3.4251999999999998</v>
      </c>
      <c r="BJ237">
        <v>36.456099999999999</v>
      </c>
      <c r="BK237">
        <v>0</v>
      </c>
      <c r="BL237">
        <v>19.8431</v>
      </c>
      <c r="BM237">
        <v>65.575299999999999</v>
      </c>
      <c r="BN237">
        <v>13.350099999999999</v>
      </c>
      <c r="BO237">
        <v>0.88474299999999995</v>
      </c>
      <c r="BP237">
        <v>0.346669</v>
      </c>
      <c r="BQ237">
        <v>37.058500000000002</v>
      </c>
      <c r="BR237">
        <v>74711</v>
      </c>
    </row>
    <row r="238" spans="1:70" x14ac:dyDescent="0.25">
      <c r="A238">
        <v>38</v>
      </c>
      <c r="B238" s="7">
        <v>45959.524085648147</v>
      </c>
      <c r="C238" t="s">
        <v>144</v>
      </c>
      <c r="D238" s="6" t="s">
        <v>279</v>
      </c>
      <c r="E238" s="6" t="str">
        <f>VLOOKUP(F238,Germplasm!$A$1:$B$21,2,FALSE)</f>
        <v>Edel</v>
      </c>
      <c r="F238" t="s">
        <v>67</v>
      </c>
      <c r="G238" s="6" t="s">
        <v>113</v>
      </c>
      <c r="H238">
        <v>68078.399999999994</v>
      </c>
      <c r="I238">
        <v>303.61700000000002</v>
      </c>
      <c r="J238">
        <v>153521</v>
      </c>
      <c r="K238">
        <v>28.4404</v>
      </c>
      <c r="L238">
        <v>73.445099999999996</v>
      </c>
      <c r="M238">
        <v>1512.91</v>
      </c>
      <c r="N238">
        <v>551.48</v>
      </c>
      <c r="O238">
        <v>24572800</v>
      </c>
      <c r="P238">
        <v>0.27478900000000001</v>
      </c>
      <c r="Q238">
        <v>0.480763</v>
      </c>
      <c r="R238">
        <v>2.2976999999999999</v>
      </c>
      <c r="S238">
        <v>12.6745</v>
      </c>
      <c r="T238">
        <v>40.913400000000003</v>
      </c>
      <c r="U238">
        <v>42.669499999999999</v>
      </c>
      <c r="V238">
        <v>0.96411400000000003</v>
      </c>
      <c r="W238">
        <v>118.089</v>
      </c>
      <c r="X238">
        <v>0.57264499999999996</v>
      </c>
      <c r="Y238">
        <v>1.13558</v>
      </c>
      <c r="Z238">
        <v>2.6205799999999999</v>
      </c>
      <c r="AA238">
        <v>15.6957</v>
      </c>
      <c r="AB238">
        <v>43.2926</v>
      </c>
      <c r="AC238">
        <v>36.682899999999997</v>
      </c>
      <c r="AD238">
        <v>1.5592200000000001</v>
      </c>
      <c r="AE238">
        <v>6.3626500000000004</v>
      </c>
      <c r="AF238">
        <v>0</v>
      </c>
      <c r="AG238">
        <v>99.953400000000002</v>
      </c>
      <c r="AH238">
        <v>4.3352799999999997E-2</v>
      </c>
      <c r="AI238">
        <v>3.2352800000000001E-3</v>
      </c>
      <c r="AJ238">
        <v>0</v>
      </c>
      <c r="AK238">
        <v>0</v>
      </c>
      <c r="AL238">
        <v>0.56900399999999995</v>
      </c>
      <c r="AM238">
        <v>0.22905800000000001</v>
      </c>
      <c r="AN238">
        <v>1.3018799999999999</v>
      </c>
      <c r="AO238">
        <v>2.7603399999999998</v>
      </c>
      <c r="AP238">
        <v>10.5444</v>
      </c>
      <c r="AQ238">
        <v>38.873899999999999</v>
      </c>
      <c r="AR238">
        <v>46.290399999999998</v>
      </c>
      <c r="AS238">
        <v>3.7637900000000002E-2</v>
      </c>
      <c r="AT238">
        <v>8.2674400000000006</v>
      </c>
      <c r="AU238">
        <v>35.355200000000004</v>
      </c>
      <c r="AV238">
        <v>40.456600000000002</v>
      </c>
      <c r="AW238">
        <v>11.782299999999999</v>
      </c>
      <c r="AX238">
        <v>2.4711099999999999</v>
      </c>
      <c r="AY238">
        <v>1.6674599999999999</v>
      </c>
      <c r="AZ238">
        <v>360.94799999999998</v>
      </c>
      <c r="BA238">
        <v>374.399</v>
      </c>
      <c r="BB238">
        <v>43661.9</v>
      </c>
      <c r="BC238">
        <v>8.65082E-3</v>
      </c>
      <c r="BD238">
        <v>5.8235099999999998E-2</v>
      </c>
      <c r="BE238">
        <v>0.33711600000000003</v>
      </c>
      <c r="BF238">
        <v>2.6710500000000001</v>
      </c>
      <c r="BG238">
        <v>40.556199999999997</v>
      </c>
      <c r="BH238">
        <v>53.262500000000003</v>
      </c>
      <c r="BI238">
        <v>3.1149300000000002</v>
      </c>
      <c r="BJ238">
        <v>35.6828</v>
      </c>
      <c r="BK238">
        <v>0</v>
      </c>
      <c r="BL238">
        <v>23.2377</v>
      </c>
      <c r="BM238">
        <v>62.728200000000001</v>
      </c>
      <c r="BN238">
        <v>12.024900000000001</v>
      </c>
      <c r="BO238">
        <v>1.3672299999999999</v>
      </c>
      <c r="BP238">
        <v>0.64188000000000001</v>
      </c>
      <c r="BQ238">
        <v>39.951999999999998</v>
      </c>
      <c r="BR238">
        <v>154546</v>
      </c>
    </row>
    <row r="239" spans="1:70" x14ac:dyDescent="0.25">
      <c r="A239">
        <v>38</v>
      </c>
      <c r="B239" s="7">
        <v>45966.554351851853</v>
      </c>
      <c r="C239" t="s">
        <v>144</v>
      </c>
      <c r="D239" s="6" t="s">
        <v>280</v>
      </c>
      <c r="E239" s="6" t="str">
        <f>VLOOKUP(F239,Germplasm!$A$1:$B$21,2,FALSE)</f>
        <v>Edel</v>
      </c>
      <c r="F239" t="s">
        <v>67</v>
      </c>
      <c r="G239" s="6" t="s">
        <v>113</v>
      </c>
      <c r="H239">
        <v>45574</v>
      </c>
      <c r="I239">
        <v>447.00799999999998</v>
      </c>
      <c r="J239">
        <v>89871.6</v>
      </c>
      <c r="K239">
        <v>29.4816</v>
      </c>
      <c r="L239">
        <v>57.585599999999999</v>
      </c>
      <c r="M239">
        <v>1191.04</v>
      </c>
      <c r="N239">
        <v>486.40600000000001</v>
      </c>
      <c r="O239">
        <v>22546900</v>
      </c>
      <c r="P239">
        <v>0.26039499999999999</v>
      </c>
      <c r="Q239">
        <v>0.45667799999999997</v>
      </c>
      <c r="R239">
        <v>2.2112799999999999</v>
      </c>
      <c r="S239">
        <v>12.871600000000001</v>
      </c>
      <c r="T239">
        <v>45.729500000000002</v>
      </c>
      <c r="U239">
        <v>38.253300000000003</v>
      </c>
      <c r="V239">
        <v>0.47757899999999998</v>
      </c>
      <c r="W239">
        <v>114.26600000000001</v>
      </c>
      <c r="X239">
        <v>0.60089199999999998</v>
      </c>
      <c r="Y239">
        <v>1.51007</v>
      </c>
      <c r="Z239">
        <v>3.2928899999999999</v>
      </c>
      <c r="AA239">
        <v>18.004799999999999</v>
      </c>
      <c r="AB239">
        <v>46.394100000000002</v>
      </c>
      <c r="AC239">
        <v>30.197199999999999</v>
      </c>
      <c r="AD239">
        <v>1.7200599999999999</v>
      </c>
      <c r="AE239">
        <v>7.2275799999999997</v>
      </c>
      <c r="AF239">
        <v>0</v>
      </c>
      <c r="AG239">
        <v>99.740799999999993</v>
      </c>
      <c r="AH239">
        <v>0.233042</v>
      </c>
      <c r="AI239">
        <v>2.40357E-2</v>
      </c>
      <c r="AJ239">
        <v>2.0900599999999999E-3</v>
      </c>
      <c r="AK239">
        <v>0</v>
      </c>
      <c r="AL239">
        <v>0.52062600000000003</v>
      </c>
      <c r="AM239">
        <v>0.33336500000000002</v>
      </c>
      <c r="AN239">
        <v>1.97929</v>
      </c>
      <c r="AO239">
        <v>5.0297299999999998</v>
      </c>
      <c r="AP239">
        <v>16.1248</v>
      </c>
      <c r="AQ239">
        <v>46.8947</v>
      </c>
      <c r="AR239">
        <v>29.638100000000001</v>
      </c>
      <c r="AS239">
        <v>6.0723100000000002E-2</v>
      </c>
      <c r="AT239">
        <v>4.4455600000000004</v>
      </c>
      <c r="AU239">
        <v>32.606000000000002</v>
      </c>
      <c r="AV239">
        <v>46.319899999999997</v>
      </c>
      <c r="AW239">
        <v>12.607200000000001</v>
      </c>
      <c r="AX239">
        <v>2.4317899999999999</v>
      </c>
      <c r="AY239">
        <v>1.5894900000000001</v>
      </c>
      <c r="AZ239">
        <v>494.73099999999999</v>
      </c>
      <c r="BA239">
        <v>501.59899999999999</v>
      </c>
      <c r="BB239">
        <v>26495.599999999999</v>
      </c>
      <c r="BC239">
        <v>2.6706000000000001E-2</v>
      </c>
      <c r="BD239">
        <v>4.3891300000000001E-2</v>
      </c>
      <c r="BE239">
        <v>0.24349199999999999</v>
      </c>
      <c r="BF239">
        <v>2.1245500000000002</v>
      </c>
      <c r="BG239">
        <v>34.639600000000002</v>
      </c>
      <c r="BH239">
        <v>57.402500000000003</v>
      </c>
      <c r="BI239">
        <v>5.5459800000000001</v>
      </c>
      <c r="BJ239">
        <v>33.8645</v>
      </c>
      <c r="BK239">
        <v>0</v>
      </c>
      <c r="BL239">
        <v>24.301100000000002</v>
      </c>
      <c r="BM239">
        <v>66.417900000000003</v>
      </c>
      <c r="BN239">
        <v>7.8231000000000002</v>
      </c>
      <c r="BO239">
        <v>0.95933800000000002</v>
      </c>
      <c r="BP239">
        <v>0.49847900000000001</v>
      </c>
      <c r="BQ239">
        <v>35.5854</v>
      </c>
      <c r="BR239">
        <v>95691</v>
      </c>
    </row>
    <row r="240" spans="1:70" x14ac:dyDescent="0.25">
      <c r="A240">
        <v>38</v>
      </c>
      <c r="B240" s="7">
        <v>45973.556273148148</v>
      </c>
      <c r="C240" t="s">
        <v>144</v>
      </c>
      <c r="D240" s="6" t="s">
        <v>281</v>
      </c>
      <c r="E240" s="6" t="str">
        <f>VLOOKUP(F240,Germplasm!$A$1:$B$21,2,FALSE)</f>
        <v>Edel</v>
      </c>
      <c r="F240" t="s">
        <v>67</v>
      </c>
      <c r="G240" s="6" t="s">
        <v>113</v>
      </c>
      <c r="H240">
        <v>64149.1</v>
      </c>
      <c r="I240">
        <v>483.39100000000002</v>
      </c>
      <c r="J240">
        <v>149888</v>
      </c>
      <c r="K240">
        <v>23.5444</v>
      </c>
      <c r="L240">
        <v>83.186099999999996</v>
      </c>
      <c r="M240">
        <v>1432.35</v>
      </c>
      <c r="N240">
        <v>480.661</v>
      </c>
      <c r="O240">
        <v>34126100</v>
      </c>
      <c r="P240">
        <v>0.249975</v>
      </c>
      <c r="Q240">
        <v>0.48756100000000002</v>
      </c>
      <c r="R240">
        <v>2.73034</v>
      </c>
      <c r="S240">
        <v>16.98</v>
      </c>
      <c r="T240">
        <v>45.482599999999998</v>
      </c>
      <c r="U240">
        <v>33.357999999999997</v>
      </c>
      <c r="V240">
        <v>0.961422</v>
      </c>
      <c r="W240">
        <v>119.578</v>
      </c>
      <c r="X240">
        <v>0.90259299999999998</v>
      </c>
      <c r="Y240">
        <v>1.80599</v>
      </c>
      <c r="Z240">
        <v>3.2670599999999999</v>
      </c>
      <c r="AA240">
        <v>15.195</v>
      </c>
      <c r="AB240">
        <v>36.566299999999998</v>
      </c>
      <c r="AC240">
        <v>42.263100000000001</v>
      </c>
      <c r="AD240">
        <v>1.81776</v>
      </c>
      <c r="AE240">
        <v>6.79718</v>
      </c>
      <c r="AF240">
        <v>0</v>
      </c>
      <c r="AG240">
        <v>99.647000000000006</v>
      </c>
      <c r="AH240">
        <v>0.33605499999999999</v>
      </c>
      <c r="AI240">
        <v>1.69236E-2</v>
      </c>
      <c r="AJ240">
        <v>0</v>
      </c>
      <c r="AK240">
        <v>0</v>
      </c>
      <c r="AL240">
        <v>0.52894399999999997</v>
      </c>
      <c r="AM240">
        <v>0.46499600000000002</v>
      </c>
      <c r="AN240">
        <v>2.8955500000000001</v>
      </c>
      <c r="AO240">
        <v>5.8015699999999999</v>
      </c>
      <c r="AP240">
        <v>13.5494</v>
      </c>
      <c r="AQ240">
        <v>41.826300000000003</v>
      </c>
      <c r="AR240">
        <v>35.462200000000003</v>
      </c>
      <c r="AS240">
        <v>3.3178300000000001E-2</v>
      </c>
      <c r="AT240">
        <v>7.5003799999999998</v>
      </c>
      <c r="AU240">
        <v>41.139699999999998</v>
      </c>
      <c r="AV240">
        <v>35.156799999999997</v>
      </c>
      <c r="AW240">
        <v>11.1647</v>
      </c>
      <c r="AX240">
        <v>3.0148199999999998</v>
      </c>
      <c r="AY240">
        <v>2.0235799999999999</v>
      </c>
      <c r="AZ240">
        <v>531.98199999999997</v>
      </c>
      <c r="BA240">
        <v>592.19899999999996</v>
      </c>
      <c r="BB240">
        <v>35290.199999999997</v>
      </c>
      <c r="BC240">
        <v>1.0349000000000001E-2</v>
      </c>
      <c r="BD240">
        <v>4.99649E-2</v>
      </c>
      <c r="BE240">
        <v>0.32638400000000001</v>
      </c>
      <c r="BF240">
        <v>2.70133</v>
      </c>
      <c r="BG240">
        <v>45.561599999999999</v>
      </c>
      <c r="BH240">
        <v>45.2376</v>
      </c>
      <c r="BI240">
        <v>6.1231200000000001</v>
      </c>
      <c r="BJ240">
        <v>33.466799999999999</v>
      </c>
      <c r="BK240">
        <v>0</v>
      </c>
      <c r="BL240">
        <v>29.773499999999999</v>
      </c>
      <c r="BM240">
        <v>58.494399999999999</v>
      </c>
      <c r="BN240">
        <v>9.4490200000000009</v>
      </c>
      <c r="BO240">
        <v>1.55697</v>
      </c>
      <c r="BP240">
        <v>0.72610300000000005</v>
      </c>
      <c r="BQ240">
        <v>33.418500000000002</v>
      </c>
      <c r="BR240">
        <v>124087</v>
      </c>
    </row>
    <row r="241" spans="1:70" x14ac:dyDescent="0.25">
      <c r="A241">
        <v>38</v>
      </c>
      <c r="B241" s="7">
        <v>45988.544247685182</v>
      </c>
      <c r="C241" t="s">
        <v>144</v>
      </c>
      <c r="D241" s="6" t="s">
        <v>282</v>
      </c>
      <c r="E241" s="6" t="str">
        <f>VLOOKUP(F241,Germplasm!$A$1:$B$21,2,FALSE)</f>
        <v>Edel</v>
      </c>
      <c r="F241" t="s">
        <v>67</v>
      </c>
      <c r="G241" s="6" t="s">
        <v>113</v>
      </c>
      <c r="H241">
        <v>63347.8</v>
      </c>
      <c r="I241">
        <v>479.363</v>
      </c>
      <c r="J241">
        <v>172118</v>
      </c>
      <c r="K241">
        <v>19.436299999999999</v>
      </c>
      <c r="L241">
        <v>65.647599999999997</v>
      </c>
      <c r="M241">
        <v>1567.65</v>
      </c>
      <c r="N241">
        <v>596.54899999999998</v>
      </c>
      <c r="O241">
        <v>34361400</v>
      </c>
      <c r="P241">
        <v>0.22723699999999999</v>
      </c>
      <c r="Q241">
        <v>0.47791400000000001</v>
      </c>
      <c r="R241">
        <v>3.7269100000000002</v>
      </c>
      <c r="S241">
        <v>20.279900000000001</v>
      </c>
      <c r="T241">
        <v>47.862499999999997</v>
      </c>
      <c r="U241">
        <v>27.098099999999999</v>
      </c>
      <c r="V241">
        <v>0.55470699999999995</v>
      </c>
      <c r="W241">
        <v>108.82299999999999</v>
      </c>
      <c r="X241">
        <v>1.77196</v>
      </c>
      <c r="Y241">
        <v>4.0602299999999998</v>
      </c>
      <c r="Z241">
        <v>6.1957199999999997</v>
      </c>
      <c r="AA241">
        <v>21.663799999999998</v>
      </c>
      <c r="AB241">
        <v>37.93</v>
      </c>
      <c r="AC241">
        <v>28.378299999999999</v>
      </c>
      <c r="AD241">
        <v>1.8936200000000001</v>
      </c>
      <c r="AE241">
        <v>8.2981300000000005</v>
      </c>
      <c r="AF241">
        <v>0</v>
      </c>
      <c r="AG241">
        <v>99.267200000000003</v>
      </c>
      <c r="AH241">
        <v>0.73280100000000004</v>
      </c>
      <c r="AI241">
        <v>0</v>
      </c>
      <c r="AJ241">
        <v>0</v>
      </c>
      <c r="AK241">
        <v>0</v>
      </c>
      <c r="AL241">
        <v>0.44622000000000001</v>
      </c>
      <c r="AM241">
        <v>1.5227900000000001</v>
      </c>
      <c r="AN241">
        <v>7.0110400000000004</v>
      </c>
      <c r="AO241">
        <v>10.9765</v>
      </c>
      <c r="AP241">
        <v>21.297799999999999</v>
      </c>
      <c r="AQ241">
        <v>42.611899999999999</v>
      </c>
      <c r="AR241">
        <v>16.579899999999999</v>
      </c>
      <c r="AS241">
        <v>9.1182200000000005E-2</v>
      </c>
      <c r="AT241">
        <v>2.8380700000000001</v>
      </c>
      <c r="AU241">
        <v>30.981100000000001</v>
      </c>
      <c r="AV241">
        <v>42.114400000000003</v>
      </c>
      <c r="AW241">
        <v>18.061900000000001</v>
      </c>
      <c r="AX241">
        <v>4.1590800000000003</v>
      </c>
      <c r="AY241">
        <v>1.84548</v>
      </c>
      <c r="AZ241">
        <v>542.42499999999995</v>
      </c>
      <c r="BA241">
        <v>623.399</v>
      </c>
      <c r="BB241">
        <v>33453.300000000003</v>
      </c>
      <c r="BC241">
        <v>6.2443199999999997E-2</v>
      </c>
      <c r="BD241">
        <v>4.6566000000000003E-2</v>
      </c>
      <c r="BE241">
        <v>0.276945</v>
      </c>
      <c r="BF241">
        <v>1.6052999999999999</v>
      </c>
      <c r="BG241">
        <v>31.889500000000002</v>
      </c>
      <c r="BH241">
        <v>52.145699999999998</v>
      </c>
      <c r="BI241">
        <v>14.036</v>
      </c>
      <c r="BJ241">
        <v>32.088900000000002</v>
      </c>
      <c r="BK241">
        <v>0</v>
      </c>
      <c r="BL241">
        <v>31.820900000000002</v>
      </c>
      <c r="BM241">
        <v>58.939399999999999</v>
      </c>
      <c r="BN241">
        <v>7.4995700000000003</v>
      </c>
      <c r="BO241">
        <v>1.0170999999999999</v>
      </c>
      <c r="BP241">
        <v>0.72299800000000003</v>
      </c>
      <c r="BQ241">
        <v>31.915199999999999</v>
      </c>
      <c r="BR241">
        <v>122407</v>
      </c>
    </row>
    <row r="242" spans="1:70" x14ac:dyDescent="0.25">
      <c r="A242">
        <v>38</v>
      </c>
      <c r="B242" s="7">
        <v>45994.551631944443</v>
      </c>
      <c r="C242" t="s">
        <v>144</v>
      </c>
      <c r="D242" s="6" t="s">
        <v>283</v>
      </c>
      <c r="E242" s="6" t="str">
        <f>VLOOKUP(F242,Germplasm!$A$1:$B$21,2,FALSE)</f>
        <v>Edel</v>
      </c>
      <c r="F242" t="s">
        <v>67</v>
      </c>
      <c r="G242" s="6" t="s">
        <v>113</v>
      </c>
      <c r="H242">
        <v>50184.800000000003</v>
      </c>
      <c r="I242">
        <v>494.791</v>
      </c>
      <c r="J242">
        <v>140977</v>
      </c>
      <c r="K242">
        <v>18.811399999999999</v>
      </c>
      <c r="L242">
        <v>68.617599999999996</v>
      </c>
      <c r="M242">
        <v>1462.62</v>
      </c>
      <c r="N242">
        <v>544.48599999999999</v>
      </c>
      <c r="O242">
        <v>26876900</v>
      </c>
      <c r="P242">
        <v>0.19175200000000001</v>
      </c>
      <c r="Q242">
        <v>0.60561399999999999</v>
      </c>
      <c r="R242">
        <v>7.0176499999999997</v>
      </c>
      <c r="S242">
        <v>29.152000000000001</v>
      </c>
      <c r="T242">
        <v>41.946599999999997</v>
      </c>
      <c r="U242">
        <v>20.7364</v>
      </c>
      <c r="V242">
        <v>0.54171000000000002</v>
      </c>
      <c r="W242">
        <v>90.361900000000006</v>
      </c>
      <c r="X242">
        <v>3.6680899999999999</v>
      </c>
      <c r="Y242">
        <v>12.4406</v>
      </c>
      <c r="Z242">
        <v>13.2704</v>
      </c>
      <c r="AA242">
        <v>27.6724</v>
      </c>
      <c r="AB242">
        <v>25.638300000000001</v>
      </c>
      <c r="AC242">
        <v>17.310099999999998</v>
      </c>
      <c r="AD242">
        <v>1.89236</v>
      </c>
      <c r="AE242">
        <v>10.098100000000001</v>
      </c>
      <c r="AF242">
        <v>0</v>
      </c>
      <c r="AG242">
        <v>97.61</v>
      </c>
      <c r="AH242">
        <v>2.3575699999999999</v>
      </c>
      <c r="AI242">
        <v>3.2443600000000003E-2</v>
      </c>
      <c r="AJ242">
        <v>0</v>
      </c>
      <c r="AK242">
        <v>0</v>
      </c>
      <c r="AL242">
        <v>0.32934099999999999</v>
      </c>
      <c r="AM242">
        <v>4.7180799999999996</v>
      </c>
      <c r="AN242">
        <v>19.325600000000001</v>
      </c>
      <c r="AO242">
        <v>18.223500000000001</v>
      </c>
      <c r="AP242">
        <v>23.5442</v>
      </c>
      <c r="AQ242">
        <v>27.997800000000002</v>
      </c>
      <c r="AR242">
        <v>6.1908300000000001</v>
      </c>
      <c r="AS242">
        <v>0.18126900000000001</v>
      </c>
      <c r="AT242">
        <v>1.4688099999999999</v>
      </c>
      <c r="AU242">
        <v>17.962</v>
      </c>
      <c r="AV242">
        <v>36.721200000000003</v>
      </c>
      <c r="AW242">
        <v>29.750800000000002</v>
      </c>
      <c r="AX242">
        <v>11.2835</v>
      </c>
      <c r="AY242">
        <v>2.8137400000000001</v>
      </c>
      <c r="AZ242">
        <v>535.55700000000002</v>
      </c>
      <c r="BA242">
        <v>587.4</v>
      </c>
      <c r="BB242">
        <v>26519.7</v>
      </c>
      <c r="BC242">
        <v>0.161083</v>
      </c>
      <c r="BD242">
        <v>9.8313899999999996E-2</v>
      </c>
      <c r="BE242">
        <v>0.29494199999999998</v>
      </c>
      <c r="BF242">
        <v>1.0863700000000001</v>
      </c>
      <c r="BG242">
        <v>17.950199999999999</v>
      </c>
      <c r="BH242">
        <v>44.766300000000001</v>
      </c>
      <c r="BI242">
        <v>35.804000000000002</v>
      </c>
      <c r="BJ242">
        <v>33.525799999999997</v>
      </c>
      <c r="BK242">
        <v>0</v>
      </c>
      <c r="BL242">
        <v>30.844999999999999</v>
      </c>
      <c r="BM242">
        <v>56.515799999999999</v>
      </c>
      <c r="BN242">
        <v>10.562799999999999</v>
      </c>
      <c r="BO242">
        <v>1.39114</v>
      </c>
      <c r="BP242">
        <v>0.68524799999999997</v>
      </c>
      <c r="BQ242">
        <v>31.936299999999999</v>
      </c>
      <c r="BR242">
        <v>101715</v>
      </c>
    </row>
    <row r="243" spans="1:70" x14ac:dyDescent="0.25">
      <c r="A243">
        <v>38</v>
      </c>
      <c r="B243" s="7">
        <v>45994.552152777775</v>
      </c>
      <c r="C243" t="s">
        <v>144</v>
      </c>
      <c r="D243" s="6" t="s">
        <v>284</v>
      </c>
      <c r="E243" s="6" t="str">
        <f>VLOOKUP(F243,Germplasm!$A$1:$B$21,2,FALSE)</f>
        <v>Edel</v>
      </c>
      <c r="F243" t="s">
        <v>67</v>
      </c>
      <c r="G243" s="6" t="s">
        <v>113</v>
      </c>
      <c r="H243">
        <v>50878.5</v>
      </c>
      <c r="I243">
        <v>494.13</v>
      </c>
      <c r="J243">
        <v>140894</v>
      </c>
      <c r="K243">
        <v>18.9102</v>
      </c>
      <c r="L243">
        <v>68.765500000000003</v>
      </c>
      <c r="M243">
        <v>1464.71</v>
      </c>
      <c r="N243">
        <v>548.94299999999998</v>
      </c>
      <c r="O243">
        <v>27216800</v>
      </c>
      <c r="P243">
        <v>0.19170799999999999</v>
      </c>
      <c r="Q243">
        <v>0.58830499999999997</v>
      </c>
      <c r="R243">
        <v>6.9527799999999997</v>
      </c>
      <c r="S243">
        <v>29.205400000000001</v>
      </c>
      <c r="T243">
        <v>41.929400000000001</v>
      </c>
      <c r="U243">
        <v>20.856400000000001</v>
      </c>
      <c r="V243">
        <v>0.46770200000000001</v>
      </c>
      <c r="W243">
        <v>90.289500000000004</v>
      </c>
      <c r="X243">
        <v>3.7729900000000001</v>
      </c>
      <c r="Y243">
        <v>12.4162</v>
      </c>
      <c r="Z243">
        <v>13.462400000000001</v>
      </c>
      <c r="AA243">
        <v>27.433599999999998</v>
      </c>
      <c r="AB243">
        <v>25.762799999999999</v>
      </c>
      <c r="AC243">
        <v>17.152000000000001</v>
      </c>
      <c r="AD243">
        <v>1.90961</v>
      </c>
      <c r="AE243">
        <v>10.112500000000001</v>
      </c>
      <c r="AF243">
        <v>0</v>
      </c>
      <c r="AG243">
        <v>97.641900000000007</v>
      </c>
      <c r="AH243">
        <v>2.3296899999999998</v>
      </c>
      <c r="AI243">
        <v>2.7454200000000002E-2</v>
      </c>
      <c r="AJ243">
        <v>9.8050700000000004E-4</v>
      </c>
      <c r="AK243">
        <v>0</v>
      </c>
      <c r="AL243">
        <v>0.32893899999999998</v>
      </c>
      <c r="AM243">
        <v>4.7172200000000002</v>
      </c>
      <c r="AN243">
        <v>19.321899999999999</v>
      </c>
      <c r="AO243">
        <v>18.372699999999998</v>
      </c>
      <c r="AP243">
        <v>23.305700000000002</v>
      </c>
      <c r="AQ243">
        <v>28.049399999999999</v>
      </c>
      <c r="AR243">
        <v>6.2330899999999998</v>
      </c>
      <c r="AS243">
        <v>0.18133299999999999</v>
      </c>
      <c r="AT243">
        <v>1.4040900000000001</v>
      </c>
      <c r="AU243">
        <v>17.993300000000001</v>
      </c>
      <c r="AV243">
        <v>36.695500000000003</v>
      </c>
      <c r="AW243">
        <v>29.928000000000001</v>
      </c>
      <c r="AX243">
        <v>11.167999999999999</v>
      </c>
      <c r="AY243">
        <v>2.8111199999999998</v>
      </c>
      <c r="AZ243">
        <v>534.93799999999999</v>
      </c>
      <c r="BA243">
        <v>585.59900000000005</v>
      </c>
      <c r="BB243">
        <v>26643.4</v>
      </c>
      <c r="BC243">
        <v>0.16171199999999999</v>
      </c>
      <c r="BD243">
        <v>8.4323599999999999E-2</v>
      </c>
      <c r="BE243">
        <v>0.29022999999999999</v>
      </c>
      <c r="BF243">
        <v>1.0707100000000001</v>
      </c>
      <c r="BG243">
        <v>17.952100000000002</v>
      </c>
      <c r="BH243">
        <v>44.6798</v>
      </c>
      <c r="BI243">
        <v>35.922899999999998</v>
      </c>
      <c r="BJ243">
        <v>33.464799999999997</v>
      </c>
      <c r="BK243">
        <v>0</v>
      </c>
      <c r="BL243">
        <v>30.7575</v>
      </c>
      <c r="BM243">
        <v>56.7498</v>
      </c>
      <c r="BN243">
        <v>10.501200000000001</v>
      </c>
      <c r="BO243">
        <v>1.37957</v>
      </c>
      <c r="BP243">
        <v>0.61183699999999996</v>
      </c>
      <c r="BQ243">
        <v>31.614000000000001</v>
      </c>
      <c r="BR243">
        <v>101988</v>
      </c>
    </row>
    <row r="244" spans="1:70" x14ac:dyDescent="0.25">
      <c r="A244">
        <v>38</v>
      </c>
      <c r="B244" s="7">
        <v>46002.569953703707</v>
      </c>
      <c r="C244" t="s">
        <v>144</v>
      </c>
      <c r="D244" s="6" t="s">
        <v>285</v>
      </c>
      <c r="E244" s="6" t="str">
        <f>VLOOKUP(F244,Germplasm!$A$1:$B$21,2,FALSE)</f>
        <v>Edel</v>
      </c>
      <c r="F244" t="s">
        <v>67</v>
      </c>
      <c r="G244" s="6" t="s">
        <v>113</v>
      </c>
      <c r="H244">
        <v>40927.9</v>
      </c>
      <c r="I244">
        <v>487.17399999999998</v>
      </c>
      <c r="J244">
        <v>134855</v>
      </c>
      <c r="K244">
        <v>15.9541</v>
      </c>
      <c r="L244">
        <v>73.413700000000006</v>
      </c>
      <c r="M244">
        <v>1430.79</v>
      </c>
      <c r="N244">
        <v>525.00800000000004</v>
      </c>
      <c r="O244">
        <v>21731200</v>
      </c>
      <c r="P244">
        <v>0.14904999999999999</v>
      </c>
      <c r="Q244">
        <v>0.66772799999999999</v>
      </c>
      <c r="R244">
        <v>11.4977</v>
      </c>
      <c r="S244">
        <v>38.620899999999999</v>
      </c>
      <c r="T244">
        <v>36.360500000000002</v>
      </c>
      <c r="U244">
        <v>12.4686</v>
      </c>
      <c r="V244">
        <v>0.38459300000000002</v>
      </c>
      <c r="W244">
        <v>78.715400000000002</v>
      </c>
      <c r="X244">
        <v>6.29033</v>
      </c>
      <c r="Y244">
        <v>21.551300000000001</v>
      </c>
      <c r="Z244">
        <v>14.9095</v>
      </c>
      <c r="AA244">
        <v>23.121600000000001</v>
      </c>
      <c r="AB244">
        <v>18.183199999999999</v>
      </c>
      <c r="AC244">
        <v>15.944100000000001</v>
      </c>
      <c r="AD244">
        <v>1.9023000000000001</v>
      </c>
      <c r="AE244">
        <v>11.812200000000001</v>
      </c>
      <c r="AF244">
        <v>0</v>
      </c>
      <c r="AG244">
        <v>94.451700000000002</v>
      </c>
      <c r="AH244">
        <v>5.5376599999999998</v>
      </c>
      <c r="AI244">
        <v>1.06176E-2</v>
      </c>
      <c r="AJ244">
        <v>0</v>
      </c>
      <c r="AK244">
        <v>0</v>
      </c>
      <c r="AL244">
        <v>0.26120599999999999</v>
      </c>
      <c r="AM244">
        <v>6.5451499999999996</v>
      </c>
      <c r="AN244">
        <v>29.479099999999999</v>
      </c>
      <c r="AO244">
        <v>21.155000000000001</v>
      </c>
      <c r="AP244">
        <v>21.93</v>
      </c>
      <c r="AQ244">
        <v>16.9999</v>
      </c>
      <c r="AR244">
        <v>3.8907600000000002</v>
      </c>
      <c r="AS244">
        <v>0.20222699999999999</v>
      </c>
      <c r="AT244">
        <v>1.1632199999999999</v>
      </c>
      <c r="AU244">
        <v>15.8544</v>
      </c>
      <c r="AV244">
        <v>32.730499999999999</v>
      </c>
      <c r="AW244">
        <v>34.726599999999998</v>
      </c>
      <c r="AX244">
        <v>12.5465</v>
      </c>
      <c r="AY244">
        <v>2.9788199999999998</v>
      </c>
      <c r="AZ244">
        <v>530.96299999999997</v>
      </c>
      <c r="BA244">
        <v>573</v>
      </c>
      <c r="BB244">
        <v>21514.9</v>
      </c>
      <c r="BC244">
        <v>0.205563</v>
      </c>
      <c r="BD244">
        <v>8.0221799999999996E-2</v>
      </c>
      <c r="BE244">
        <v>0.31262899999999999</v>
      </c>
      <c r="BF244">
        <v>1.01929</v>
      </c>
      <c r="BG244">
        <v>15.6043</v>
      </c>
      <c r="BH244">
        <v>34.8399</v>
      </c>
      <c r="BI244">
        <v>48.143700000000003</v>
      </c>
      <c r="BJ244">
        <v>31.9222</v>
      </c>
      <c r="BK244">
        <v>0</v>
      </c>
      <c r="BL244">
        <v>34.365600000000001</v>
      </c>
      <c r="BM244">
        <v>56.309800000000003</v>
      </c>
      <c r="BN244">
        <v>7.3119800000000001</v>
      </c>
      <c r="BO244">
        <v>1.3909</v>
      </c>
      <c r="BP244">
        <v>0.62171900000000002</v>
      </c>
      <c r="BQ244">
        <v>31.743500000000001</v>
      </c>
      <c r="BR244">
        <v>84765</v>
      </c>
    </row>
    <row r="245" spans="1:70" x14ac:dyDescent="0.25">
      <c r="A245">
        <v>38</v>
      </c>
      <c r="B245" s="7">
        <v>46013.607685185183</v>
      </c>
      <c r="C245" t="s">
        <v>144</v>
      </c>
      <c r="D245" s="6" t="s">
        <v>286</v>
      </c>
      <c r="E245" s="6" t="str">
        <f>VLOOKUP(F245,Germplasm!$A$1:$B$21,2,FALSE)</f>
        <v>Edel</v>
      </c>
      <c r="F245" t="s">
        <v>67</v>
      </c>
      <c r="G245" s="6" t="s">
        <v>113</v>
      </c>
      <c r="H245">
        <v>32145.3</v>
      </c>
      <c r="I245">
        <v>481.06400000000002</v>
      </c>
      <c r="J245">
        <v>126625</v>
      </c>
      <c r="K245">
        <v>13.545400000000001</v>
      </c>
      <c r="L245">
        <v>72.246300000000005</v>
      </c>
      <c r="M245">
        <v>1340.59</v>
      </c>
      <c r="N245">
        <v>474.36</v>
      </c>
      <c r="O245">
        <v>16559700</v>
      </c>
      <c r="P245">
        <v>5.36202E-2</v>
      </c>
      <c r="Q245">
        <v>0.98724400000000001</v>
      </c>
      <c r="R245">
        <v>27.276299999999999</v>
      </c>
      <c r="S245">
        <v>56.307000000000002</v>
      </c>
      <c r="T245">
        <v>11.876799999999999</v>
      </c>
      <c r="U245">
        <v>3.4361799999999998</v>
      </c>
      <c r="V245">
        <v>0.116481</v>
      </c>
      <c r="W245">
        <v>46.450699999999998</v>
      </c>
      <c r="X245">
        <v>15.0388</v>
      </c>
      <c r="Y245">
        <v>47.093699999999998</v>
      </c>
      <c r="Z245">
        <v>14.8101</v>
      </c>
      <c r="AA245">
        <v>10.906599999999999</v>
      </c>
      <c r="AB245">
        <v>4.5796799999999998</v>
      </c>
      <c r="AC245">
        <v>7.5712400000000004</v>
      </c>
      <c r="AD245">
        <v>1.87415</v>
      </c>
      <c r="AE245">
        <v>17.9756</v>
      </c>
      <c r="AF245">
        <v>0</v>
      </c>
      <c r="AG245">
        <v>77.067499999999995</v>
      </c>
      <c r="AH245">
        <v>22.161100000000001</v>
      </c>
      <c r="AI245">
        <v>0.77132900000000004</v>
      </c>
      <c r="AJ245">
        <v>0</v>
      </c>
      <c r="AK245">
        <v>0</v>
      </c>
      <c r="AL245">
        <v>9.73131E-2</v>
      </c>
      <c r="AM245">
        <v>22.409700000000001</v>
      </c>
      <c r="AN245">
        <v>52.411999999999999</v>
      </c>
      <c r="AO245">
        <v>12.709199999999999</v>
      </c>
      <c r="AP245">
        <v>8.8923000000000005</v>
      </c>
      <c r="AQ245">
        <v>2.6549100000000001</v>
      </c>
      <c r="AR245">
        <v>0.92190099999999997</v>
      </c>
      <c r="AS245">
        <v>0.24177599999999999</v>
      </c>
      <c r="AT245">
        <v>0.80968200000000001</v>
      </c>
      <c r="AU245">
        <v>5.0413399999999999</v>
      </c>
      <c r="AV245">
        <v>32.252299999999998</v>
      </c>
      <c r="AW245">
        <v>50.308199999999999</v>
      </c>
      <c r="AX245">
        <v>9.12242</v>
      </c>
      <c r="AY245">
        <v>2.4659800000000001</v>
      </c>
      <c r="AZ245">
        <v>515.15099999999995</v>
      </c>
      <c r="BA245">
        <v>579.59900000000005</v>
      </c>
      <c r="BB245">
        <v>17151.900000000001</v>
      </c>
      <c r="BC245">
        <v>0.310915</v>
      </c>
      <c r="BD245">
        <v>0.11364</v>
      </c>
      <c r="BE245">
        <v>0.433251</v>
      </c>
      <c r="BF245">
        <v>0.96025499999999997</v>
      </c>
      <c r="BG245">
        <v>4.3438699999999999</v>
      </c>
      <c r="BH245">
        <v>18.639700000000001</v>
      </c>
      <c r="BI245">
        <v>75.509200000000007</v>
      </c>
      <c r="BJ245">
        <v>27.976500000000001</v>
      </c>
      <c r="BK245">
        <v>0</v>
      </c>
      <c r="BL245">
        <v>46.210099999999997</v>
      </c>
      <c r="BM245">
        <v>47.727200000000003</v>
      </c>
      <c r="BN245">
        <v>4.4930300000000001</v>
      </c>
      <c r="BO245">
        <v>0.94036799999999998</v>
      </c>
      <c r="BP245">
        <v>0.62927900000000003</v>
      </c>
      <c r="BQ245">
        <v>32.270200000000003</v>
      </c>
      <c r="BR245">
        <v>70398</v>
      </c>
    </row>
    <row r="246" spans="1:70" x14ac:dyDescent="0.25">
      <c r="A246">
        <v>38</v>
      </c>
      <c r="B246" s="7">
        <v>46024.533067129632</v>
      </c>
      <c r="C246" t="s">
        <v>144</v>
      </c>
      <c r="D246" s="6" t="s">
        <v>287</v>
      </c>
      <c r="E246" s="6" t="str">
        <f>VLOOKUP(F246,Germplasm!$A$1:$B$21,2,FALSE)</f>
        <v>Edel</v>
      </c>
      <c r="F246" t="s">
        <v>67</v>
      </c>
      <c r="G246" s="6" t="s">
        <v>113</v>
      </c>
      <c r="H246">
        <v>30799.9</v>
      </c>
      <c r="I246">
        <v>498.214</v>
      </c>
      <c r="J246">
        <v>113042</v>
      </c>
      <c r="K246">
        <v>14.0525</v>
      </c>
      <c r="L246">
        <v>44.815100000000001</v>
      </c>
      <c r="M246">
        <v>1407.24</v>
      </c>
      <c r="N246">
        <v>615.61400000000003</v>
      </c>
      <c r="O246">
        <v>15967800</v>
      </c>
      <c r="P246">
        <v>1.48516E-2</v>
      </c>
      <c r="Q246">
        <v>0.79519399999999996</v>
      </c>
      <c r="R246">
        <v>35.548499999999997</v>
      </c>
      <c r="S246">
        <v>61.000999999999998</v>
      </c>
      <c r="T246">
        <v>2.4263599999999999</v>
      </c>
      <c r="U246">
        <v>0.21487500000000001</v>
      </c>
      <c r="V246">
        <v>1.4115900000000001E-2</v>
      </c>
      <c r="W246">
        <v>37.049999999999997</v>
      </c>
      <c r="X246">
        <v>19.399899999999999</v>
      </c>
      <c r="Y246">
        <v>56.7301</v>
      </c>
      <c r="Z246">
        <v>12.235300000000001</v>
      </c>
      <c r="AA246">
        <v>3.4630899999999998</v>
      </c>
      <c r="AB246">
        <v>1.1559299999999999</v>
      </c>
      <c r="AC246">
        <v>7.0155900000000004</v>
      </c>
      <c r="AD246">
        <v>1.93889</v>
      </c>
      <c r="AE246">
        <v>22.058399999999999</v>
      </c>
      <c r="AF246">
        <v>0</v>
      </c>
      <c r="AG246">
        <v>65.049099999999996</v>
      </c>
      <c r="AH246">
        <v>34.075699999999998</v>
      </c>
      <c r="AI246">
        <v>0.87361599999999995</v>
      </c>
      <c r="AJ246">
        <v>1.56843E-3</v>
      </c>
      <c r="AK246">
        <v>0</v>
      </c>
      <c r="AL246">
        <v>5.1589999999999997E-2</v>
      </c>
      <c r="AM246">
        <v>26.61</v>
      </c>
      <c r="AN246">
        <v>60.276400000000002</v>
      </c>
      <c r="AO246">
        <v>9.8999299999999995</v>
      </c>
      <c r="AP246">
        <v>2.4718499999999999</v>
      </c>
      <c r="AQ246">
        <v>0.61639299999999997</v>
      </c>
      <c r="AR246">
        <v>0.125474</v>
      </c>
      <c r="AS246">
        <v>0.21798699999999999</v>
      </c>
      <c r="AT246">
        <v>0.71206700000000001</v>
      </c>
      <c r="AU246">
        <v>3.8803000000000001</v>
      </c>
      <c r="AV246">
        <v>42.339799999999997</v>
      </c>
      <c r="AW246">
        <v>45.526800000000001</v>
      </c>
      <c r="AX246">
        <v>5.4957799999999999</v>
      </c>
      <c r="AY246">
        <v>2.0452300000000001</v>
      </c>
      <c r="AZ246">
        <v>518.43899999999996</v>
      </c>
      <c r="BA246">
        <v>558.6</v>
      </c>
      <c r="BB246">
        <v>15885.3</v>
      </c>
      <c r="BC246">
        <v>0.30017899999999997</v>
      </c>
      <c r="BD246">
        <v>0.24624399999999999</v>
      </c>
      <c r="BE246">
        <v>0.57404599999999995</v>
      </c>
      <c r="BF246">
        <v>0.83754200000000001</v>
      </c>
      <c r="BG246">
        <v>2.9345300000000001</v>
      </c>
      <c r="BH246">
        <v>16.252099999999999</v>
      </c>
      <c r="BI246">
        <v>79.155600000000007</v>
      </c>
      <c r="BJ246">
        <v>23.471499999999999</v>
      </c>
      <c r="BK246">
        <v>0</v>
      </c>
      <c r="BL246">
        <v>62.4298</v>
      </c>
      <c r="BM246">
        <v>33.780900000000003</v>
      </c>
      <c r="BN246">
        <v>2.7055400000000001</v>
      </c>
      <c r="BO246">
        <v>0.73716199999999998</v>
      </c>
      <c r="BP246">
        <v>0.34662300000000001</v>
      </c>
      <c r="BQ246">
        <v>31.066700000000001</v>
      </c>
      <c r="BR246">
        <v>63758</v>
      </c>
    </row>
    <row r="247" spans="1:70" x14ac:dyDescent="0.25">
      <c r="A247">
        <v>38</v>
      </c>
      <c r="B247" s="7">
        <v>45952.562222222223</v>
      </c>
      <c r="C247" t="s">
        <v>145</v>
      </c>
      <c r="D247" s="6" t="s">
        <v>278</v>
      </c>
      <c r="E247" s="6" t="str">
        <f>VLOOKUP(F247,Germplasm!$A$1:$B$21,2,FALSE)</f>
        <v>Olve</v>
      </c>
      <c r="F247" t="s">
        <v>62</v>
      </c>
      <c r="G247" s="6" t="s">
        <v>113</v>
      </c>
      <c r="H247">
        <v>26920.9</v>
      </c>
      <c r="I247">
        <v>243.798</v>
      </c>
      <c r="J247">
        <v>85914.6</v>
      </c>
      <c r="K247">
        <v>18.533899999999999</v>
      </c>
      <c r="L247">
        <v>83.314499999999995</v>
      </c>
      <c r="M247">
        <v>1114.01</v>
      </c>
      <c r="N247">
        <v>384.71699999999998</v>
      </c>
      <c r="O247">
        <v>8209390</v>
      </c>
      <c r="P247">
        <v>0.26671</v>
      </c>
      <c r="Q247">
        <v>0.47660200000000003</v>
      </c>
      <c r="R247">
        <v>3.2423700000000002</v>
      </c>
      <c r="S247">
        <v>14.6091</v>
      </c>
      <c r="T247">
        <v>38.761200000000002</v>
      </c>
      <c r="U247">
        <v>42.366100000000003</v>
      </c>
      <c r="V247">
        <v>0.54468799999999995</v>
      </c>
      <c r="W247">
        <v>116.10899999999999</v>
      </c>
      <c r="X247">
        <v>0.82439300000000004</v>
      </c>
      <c r="Y247">
        <v>1.61382</v>
      </c>
      <c r="Z247">
        <v>3.5110299999999999</v>
      </c>
      <c r="AA247">
        <v>16.333300000000001</v>
      </c>
      <c r="AB247">
        <v>42.485700000000001</v>
      </c>
      <c r="AC247">
        <v>35.2318</v>
      </c>
      <c r="AD247">
        <v>1.6906600000000001</v>
      </c>
      <c r="AE247">
        <v>6.2812000000000001</v>
      </c>
      <c r="AF247">
        <v>0</v>
      </c>
      <c r="AG247">
        <v>99.856499999999997</v>
      </c>
      <c r="AH247">
        <v>0.139852</v>
      </c>
      <c r="AI247">
        <v>3.6803299999999999E-3</v>
      </c>
      <c r="AJ247">
        <v>0</v>
      </c>
      <c r="AK247">
        <v>0</v>
      </c>
      <c r="AL247">
        <v>0.55847500000000005</v>
      </c>
      <c r="AM247">
        <v>0.61461500000000002</v>
      </c>
      <c r="AN247">
        <v>2.3186100000000001</v>
      </c>
      <c r="AO247">
        <v>4.73658</v>
      </c>
      <c r="AP247">
        <v>10.903</v>
      </c>
      <c r="AQ247">
        <v>33.606900000000003</v>
      </c>
      <c r="AR247">
        <v>47.820300000000003</v>
      </c>
      <c r="AS247">
        <v>4.1232100000000001E-2</v>
      </c>
      <c r="AT247">
        <v>7.0331000000000001</v>
      </c>
      <c r="AU247">
        <v>34.828800000000001</v>
      </c>
      <c r="AV247">
        <v>42.272199999999998</v>
      </c>
      <c r="AW247">
        <v>12.2279</v>
      </c>
      <c r="AX247">
        <v>2.3866900000000002</v>
      </c>
      <c r="AY247">
        <v>1.2513099999999999</v>
      </c>
      <c r="AZ247">
        <v>304.94499999999999</v>
      </c>
      <c r="BA247">
        <v>348.6</v>
      </c>
      <c r="BB247">
        <v>15923.3</v>
      </c>
      <c r="BC247">
        <v>1.45795E-2</v>
      </c>
      <c r="BD247">
        <v>3.1282799999999999E-2</v>
      </c>
      <c r="BE247">
        <v>0.241061</v>
      </c>
      <c r="BF247">
        <v>2.1327500000000001</v>
      </c>
      <c r="BG247">
        <v>39.456800000000001</v>
      </c>
      <c r="BH247">
        <v>54.426499999999997</v>
      </c>
      <c r="BI247">
        <v>3.7116099999999999</v>
      </c>
      <c r="BJ247">
        <v>34.665199999999999</v>
      </c>
      <c r="BK247">
        <v>0</v>
      </c>
      <c r="BL247">
        <v>26.014399999999998</v>
      </c>
      <c r="BM247">
        <v>60.981200000000001</v>
      </c>
      <c r="BN247">
        <v>11.731</v>
      </c>
      <c r="BO247">
        <v>0.83359399999999995</v>
      </c>
      <c r="BP247">
        <v>0.439799</v>
      </c>
      <c r="BQ247">
        <v>36.286499999999997</v>
      </c>
      <c r="BR247">
        <v>54343</v>
      </c>
    </row>
    <row r="248" spans="1:70" x14ac:dyDescent="0.25">
      <c r="A248">
        <v>38</v>
      </c>
      <c r="B248" s="7">
        <v>45959.524085648147</v>
      </c>
      <c r="C248" t="s">
        <v>145</v>
      </c>
      <c r="D248" s="6" t="s">
        <v>279</v>
      </c>
      <c r="E248" s="6" t="str">
        <f>VLOOKUP(F248,Germplasm!$A$1:$B$21,2,FALSE)</f>
        <v>Olve</v>
      </c>
      <c r="F248" t="s">
        <v>62</v>
      </c>
      <c r="G248" s="6" t="s">
        <v>113</v>
      </c>
      <c r="H248">
        <v>41639.5</v>
      </c>
      <c r="I248">
        <v>354.90899999999999</v>
      </c>
      <c r="J248">
        <v>97854</v>
      </c>
      <c r="K248">
        <v>25.7864</v>
      </c>
      <c r="L248">
        <v>84.984099999999998</v>
      </c>
      <c r="M248">
        <v>1170.28</v>
      </c>
      <c r="N248">
        <v>383.387</v>
      </c>
      <c r="O248">
        <v>18910700</v>
      </c>
      <c r="P248">
        <v>0.25484099999999998</v>
      </c>
      <c r="Q248">
        <v>0.791103</v>
      </c>
      <c r="R248">
        <v>3.4146899999999998</v>
      </c>
      <c r="S248">
        <v>16.401</v>
      </c>
      <c r="T248">
        <v>41.081899999999997</v>
      </c>
      <c r="U248">
        <v>37.1492</v>
      </c>
      <c r="V248">
        <v>1.1621699999999999</v>
      </c>
      <c r="W248">
        <v>120.642</v>
      </c>
      <c r="X248">
        <v>1.0152699999999999</v>
      </c>
      <c r="Y248">
        <v>1.8129</v>
      </c>
      <c r="Z248">
        <v>3.11436</v>
      </c>
      <c r="AA248">
        <v>12.7044</v>
      </c>
      <c r="AB248">
        <v>37.995800000000003</v>
      </c>
      <c r="AC248">
        <v>43.357199999999999</v>
      </c>
      <c r="AD248">
        <v>1.6501999999999999</v>
      </c>
      <c r="AE248">
        <v>5.4403499999999996</v>
      </c>
      <c r="AF248">
        <v>0</v>
      </c>
      <c r="AG248">
        <v>99.946700000000007</v>
      </c>
      <c r="AH248">
        <v>4.67915E-2</v>
      </c>
      <c r="AI248">
        <v>6.5290499999999998E-3</v>
      </c>
      <c r="AJ248">
        <v>0</v>
      </c>
      <c r="AK248">
        <v>0</v>
      </c>
      <c r="AL248">
        <v>0.573438</v>
      </c>
      <c r="AM248">
        <v>0.43418200000000001</v>
      </c>
      <c r="AN248">
        <v>1.9870099999999999</v>
      </c>
      <c r="AO248">
        <v>4.2264699999999999</v>
      </c>
      <c r="AP248">
        <v>10.2408</v>
      </c>
      <c r="AQ248">
        <v>31.744199999999999</v>
      </c>
      <c r="AR248">
        <v>51.3673</v>
      </c>
      <c r="AS248">
        <v>1.4592600000000001E-2</v>
      </c>
      <c r="AT248">
        <v>10.07</v>
      </c>
      <c r="AU248">
        <v>39.956699999999998</v>
      </c>
      <c r="AV248">
        <v>36.4375</v>
      </c>
      <c r="AW248">
        <v>9.4671199999999995</v>
      </c>
      <c r="AX248">
        <v>2.3047499999999999</v>
      </c>
      <c r="AY248">
        <v>1.76393</v>
      </c>
      <c r="AZ248">
        <v>454.15199999999999</v>
      </c>
      <c r="BA248">
        <v>492.59899999999999</v>
      </c>
      <c r="BB248">
        <v>25233</v>
      </c>
      <c r="BC248">
        <v>-1.3484700000000001E-3</v>
      </c>
      <c r="BD248">
        <v>5.2232399999999998E-2</v>
      </c>
      <c r="BE248">
        <v>0.342775</v>
      </c>
      <c r="BF248">
        <v>2.92937</v>
      </c>
      <c r="BG248">
        <v>46.702300000000001</v>
      </c>
      <c r="BH248">
        <v>46.2746</v>
      </c>
      <c r="BI248">
        <v>3.6987100000000002</v>
      </c>
      <c r="BJ248">
        <v>34.318300000000001</v>
      </c>
      <c r="BK248">
        <v>0</v>
      </c>
      <c r="BL248">
        <v>28.099900000000002</v>
      </c>
      <c r="BM248">
        <v>58.754899999999999</v>
      </c>
      <c r="BN248">
        <v>10.848000000000001</v>
      </c>
      <c r="BO248">
        <v>1.3428100000000001</v>
      </c>
      <c r="BP248">
        <v>0.95432899999999998</v>
      </c>
      <c r="BQ248">
        <v>37.342500000000001</v>
      </c>
      <c r="BR248">
        <v>91897</v>
      </c>
    </row>
    <row r="249" spans="1:70" x14ac:dyDescent="0.25">
      <c r="A249">
        <v>38</v>
      </c>
      <c r="B249" s="7">
        <v>45966.554351851853</v>
      </c>
      <c r="C249" t="s">
        <v>145</v>
      </c>
      <c r="D249" s="6" t="s">
        <v>280</v>
      </c>
      <c r="E249" s="6" t="str">
        <f>VLOOKUP(F249,Germplasm!$A$1:$B$21,2,FALSE)</f>
        <v>Olve</v>
      </c>
      <c r="F249" t="s">
        <v>62</v>
      </c>
      <c r="G249" s="6" t="s">
        <v>113</v>
      </c>
      <c r="H249">
        <v>51189.4</v>
      </c>
      <c r="I249">
        <v>463.07600000000002</v>
      </c>
      <c r="J249">
        <v>107364</v>
      </c>
      <c r="K249">
        <v>27.903500000000001</v>
      </c>
      <c r="L249">
        <v>72.923599999999993</v>
      </c>
      <c r="M249">
        <v>1234.8699999999999</v>
      </c>
      <c r="N249">
        <v>428.93599999999998</v>
      </c>
      <c r="O249">
        <v>28770700</v>
      </c>
      <c r="P249">
        <v>0.24876899999999999</v>
      </c>
      <c r="Q249">
        <v>0.84857099999999996</v>
      </c>
      <c r="R249">
        <v>4.0587099999999996</v>
      </c>
      <c r="S249">
        <v>18.167899999999999</v>
      </c>
      <c r="T249">
        <v>39.012099999999997</v>
      </c>
      <c r="U249">
        <v>36.882800000000003</v>
      </c>
      <c r="V249">
        <v>1.0299499999999999</v>
      </c>
      <c r="W249">
        <v>116.32899999999999</v>
      </c>
      <c r="X249">
        <v>1.5259499999999999</v>
      </c>
      <c r="Y249">
        <v>3.2980499999999999</v>
      </c>
      <c r="Z249">
        <v>4.7083199999999996</v>
      </c>
      <c r="AA249">
        <v>15.0587</v>
      </c>
      <c r="AB249">
        <v>36.130400000000002</v>
      </c>
      <c r="AC249">
        <v>39.278599999999997</v>
      </c>
      <c r="AD249">
        <v>1.70868</v>
      </c>
      <c r="AE249">
        <v>5.4496000000000002</v>
      </c>
      <c r="AF249">
        <v>0</v>
      </c>
      <c r="AG249">
        <v>99.881600000000006</v>
      </c>
      <c r="AH249">
        <v>0.102717</v>
      </c>
      <c r="AI249">
        <v>1.20299E-2</v>
      </c>
      <c r="AJ249">
        <v>3.7015099999999999E-3</v>
      </c>
      <c r="AK249">
        <v>0</v>
      </c>
      <c r="AL249">
        <v>0.56454099999999996</v>
      </c>
      <c r="AM249">
        <v>0.64776400000000001</v>
      </c>
      <c r="AN249">
        <v>3.0602200000000002</v>
      </c>
      <c r="AO249">
        <v>5.5781799999999997</v>
      </c>
      <c r="AP249">
        <v>10.842599999999999</v>
      </c>
      <c r="AQ249">
        <v>28.413699999999999</v>
      </c>
      <c r="AR249">
        <v>51.457500000000003</v>
      </c>
      <c r="AS249">
        <v>4.3560099999999997E-2</v>
      </c>
      <c r="AT249">
        <v>8.6735600000000002</v>
      </c>
      <c r="AU249">
        <v>36.372900000000001</v>
      </c>
      <c r="AV249">
        <v>36.269199999999998</v>
      </c>
      <c r="AW249">
        <v>12.8729</v>
      </c>
      <c r="AX249">
        <v>3.6968800000000002</v>
      </c>
      <c r="AY249">
        <v>2.11449</v>
      </c>
      <c r="AZ249">
        <v>562.04399999999998</v>
      </c>
      <c r="BA249">
        <v>600.59900000000005</v>
      </c>
      <c r="BB249">
        <v>29958.400000000001</v>
      </c>
      <c r="BC249">
        <v>1.8500599999999999E-2</v>
      </c>
      <c r="BD249">
        <v>4.8119599999999998E-2</v>
      </c>
      <c r="BE249">
        <v>0.29149399999999998</v>
      </c>
      <c r="BF249">
        <v>2.3310300000000002</v>
      </c>
      <c r="BG249">
        <v>42.372999999999998</v>
      </c>
      <c r="BH249">
        <v>48.015099999999997</v>
      </c>
      <c r="BI249">
        <v>6.9412599999999998</v>
      </c>
      <c r="BJ249">
        <v>34.765700000000002</v>
      </c>
      <c r="BK249">
        <v>0</v>
      </c>
      <c r="BL249">
        <v>27.667899999999999</v>
      </c>
      <c r="BM249">
        <v>58.422800000000002</v>
      </c>
      <c r="BN249">
        <v>11.507999999999999</v>
      </c>
      <c r="BO249">
        <v>1.35568</v>
      </c>
      <c r="BP249">
        <v>1.0456799999999999</v>
      </c>
      <c r="BQ249">
        <v>35.8643</v>
      </c>
      <c r="BR249">
        <v>108064</v>
      </c>
    </row>
    <row r="250" spans="1:70" x14ac:dyDescent="0.25">
      <c r="A250">
        <v>38</v>
      </c>
      <c r="B250" s="7">
        <v>45973.556273148148</v>
      </c>
      <c r="C250" t="s">
        <v>145</v>
      </c>
      <c r="D250" s="6" t="s">
        <v>281</v>
      </c>
      <c r="E250" s="6" t="str">
        <f>VLOOKUP(F250,Germplasm!$A$1:$B$21,2,FALSE)</f>
        <v>Olve</v>
      </c>
      <c r="F250" t="s">
        <v>62</v>
      </c>
      <c r="G250" s="6" t="s">
        <v>113</v>
      </c>
      <c r="H250">
        <v>63718.7</v>
      </c>
      <c r="I250">
        <v>471.86900000000003</v>
      </c>
      <c r="J250">
        <v>141187</v>
      </c>
      <c r="K250">
        <v>25.766100000000002</v>
      </c>
      <c r="L250">
        <v>86.403099999999995</v>
      </c>
      <c r="M250">
        <v>1462.45</v>
      </c>
      <c r="N250">
        <v>532.48</v>
      </c>
      <c r="O250">
        <v>36881900</v>
      </c>
      <c r="P250">
        <v>0.22120600000000001</v>
      </c>
      <c r="Q250">
        <v>0.80493599999999998</v>
      </c>
      <c r="R250">
        <v>5.2879300000000002</v>
      </c>
      <c r="S250">
        <v>23.149000000000001</v>
      </c>
      <c r="T250">
        <v>41.914400000000001</v>
      </c>
      <c r="U250">
        <v>28.002500000000001</v>
      </c>
      <c r="V250">
        <v>0.84113899999999997</v>
      </c>
      <c r="W250">
        <v>107.59699999999999</v>
      </c>
      <c r="X250">
        <v>2.5496099999999999</v>
      </c>
      <c r="Y250">
        <v>6.7252599999999996</v>
      </c>
      <c r="Z250">
        <v>7.8598699999999999</v>
      </c>
      <c r="AA250">
        <v>18.857800000000001</v>
      </c>
      <c r="AB250">
        <v>31.566600000000001</v>
      </c>
      <c r="AC250">
        <v>32.440800000000003</v>
      </c>
      <c r="AD250">
        <v>1.7515499999999999</v>
      </c>
      <c r="AE250">
        <v>6.43065</v>
      </c>
      <c r="AF250">
        <v>0</v>
      </c>
      <c r="AG250">
        <v>99.885199999999998</v>
      </c>
      <c r="AH250">
        <v>0.108609</v>
      </c>
      <c r="AI250">
        <v>6.1621899999999997E-3</v>
      </c>
      <c r="AJ250">
        <v>0</v>
      </c>
      <c r="AK250">
        <v>0</v>
      </c>
      <c r="AL250">
        <v>0.50750499999999998</v>
      </c>
      <c r="AM250">
        <v>0.87426099999999995</v>
      </c>
      <c r="AN250">
        <v>4.0516399999999999</v>
      </c>
      <c r="AO250">
        <v>10.3794</v>
      </c>
      <c r="AP250">
        <v>16.9437</v>
      </c>
      <c r="AQ250">
        <v>31.0197</v>
      </c>
      <c r="AR250">
        <v>36.731299999999997</v>
      </c>
      <c r="AS250">
        <v>9.5766199999999996E-2</v>
      </c>
      <c r="AT250">
        <v>5.6045100000000003</v>
      </c>
      <c r="AU250">
        <v>31.320900000000002</v>
      </c>
      <c r="AV250">
        <v>35.720700000000001</v>
      </c>
      <c r="AW250">
        <v>17.416699999999999</v>
      </c>
      <c r="AX250">
        <v>6.92476</v>
      </c>
      <c r="AY250">
        <v>3.01254</v>
      </c>
      <c r="AZ250">
        <v>578.82399999999996</v>
      </c>
      <c r="BA250">
        <v>643.19899999999996</v>
      </c>
      <c r="BB250">
        <v>36378.5</v>
      </c>
      <c r="BC250">
        <v>5.7836800000000001E-2</v>
      </c>
      <c r="BD250">
        <v>3.8513699999999998E-2</v>
      </c>
      <c r="BE250">
        <v>0.23955499999999999</v>
      </c>
      <c r="BF250">
        <v>1.76624</v>
      </c>
      <c r="BG250">
        <v>34.878799999999998</v>
      </c>
      <c r="BH250">
        <v>48.092799999999997</v>
      </c>
      <c r="BI250">
        <v>14.9841</v>
      </c>
      <c r="BJ250">
        <v>33.944499999999998</v>
      </c>
      <c r="BK250">
        <v>0</v>
      </c>
      <c r="BL250">
        <v>31.28</v>
      </c>
      <c r="BM250">
        <v>54.853499999999997</v>
      </c>
      <c r="BN250">
        <v>11.292199999999999</v>
      </c>
      <c r="BO250">
        <v>1.6052500000000001</v>
      </c>
      <c r="BP250">
        <v>0.96900399999999998</v>
      </c>
      <c r="BQ250">
        <v>34.860500000000002</v>
      </c>
      <c r="BR250">
        <v>129824</v>
      </c>
    </row>
    <row r="251" spans="1:70" x14ac:dyDescent="0.25">
      <c r="A251">
        <v>38</v>
      </c>
      <c r="B251" s="7">
        <v>45988.544247685182</v>
      </c>
      <c r="C251" t="s">
        <v>145</v>
      </c>
      <c r="D251" s="6" t="s">
        <v>282</v>
      </c>
      <c r="E251" s="6" t="str">
        <f>VLOOKUP(F251,Germplasm!$A$1:$B$21,2,FALSE)</f>
        <v>Olve</v>
      </c>
      <c r="F251" t="s">
        <v>62</v>
      </c>
      <c r="G251" s="6" t="s">
        <v>113</v>
      </c>
      <c r="H251">
        <v>60436.2</v>
      </c>
      <c r="I251">
        <v>516.31399999999996</v>
      </c>
      <c r="J251">
        <v>161400</v>
      </c>
      <c r="K251">
        <v>20.7866</v>
      </c>
      <c r="L251">
        <v>77.489900000000006</v>
      </c>
      <c r="M251">
        <v>1502.69</v>
      </c>
      <c r="N251">
        <v>526.19500000000005</v>
      </c>
      <c r="O251">
        <v>39542900</v>
      </c>
      <c r="P251">
        <v>0.18790100000000001</v>
      </c>
      <c r="Q251">
        <v>1.0182100000000001</v>
      </c>
      <c r="R251">
        <v>9.9907500000000002</v>
      </c>
      <c r="S251">
        <v>25.631499999999999</v>
      </c>
      <c r="T251">
        <v>41.431699999999999</v>
      </c>
      <c r="U251">
        <v>21.172699999999999</v>
      </c>
      <c r="V251">
        <v>0.75508699999999995</v>
      </c>
      <c r="W251">
        <v>93.226799999999997</v>
      </c>
      <c r="X251">
        <v>5.6364400000000003</v>
      </c>
      <c r="Y251">
        <v>12.4801</v>
      </c>
      <c r="Z251">
        <v>8.7030399999999997</v>
      </c>
      <c r="AA251">
        <v>22.829599999999999</v>
      </c>
      <c r="AB251">
        <v>29.730699999999999</v>
      </c>
      <c r="AC251">
        <v>20.620200000000001</v>
      </c>
      <c r="AD251">
        <v>1.8013999999999999</v>
      </c>
      <c r="AE251">
        <v>7.51919</v>
      </c>
      <c r="AF251">
        <v>0</v>
      </c>
      <c r="AG251">
        <v>99.244100000000003</v>
      </c>
      <c r="AH251">
        <v>0.755884</v>
      </c>
      <c r="AI251">
        <v>0</v>
      </c>
      <c r="AJ251">
        <v>0</v>
      </c>
      <c r="AK251">
        <v>0</v>
      </c>
      <c r="AL251">
        <v>0.43381799999999998</v>
      </c>
      <c r="AM251">
        <v>1.6943600000000001</v>
      </c>
      <c r="AN251">
        <v>10.708399999999999</v>
      </c>
      <c r="AO251">
        <v>14.9064</v>
      </c>
      <c r="AP251">
        <v>17.558399999999999</v>
      </c>
      <c r="AQ251">
        <v>31.467300000000002</v>
      </c>
      <c r="AR251">
        <v>23.665199999999999</v>
      </c>
      <c r="AS251">
        <v>0.15761900000000001</v>
      </c>
      <c r="AT251">
        <v>2.32666</v>
      </c>
      <c r="AU251">
        <v>20.796399999999998</v>
      </c>
      <c r="AV251">
        <v>38.716799999999999</v>
      </c>
      <c r="AW251">
        <v>25.482399999999998</v>
      </c>
      <c r="AX251">
        <v>9.8248999999999995</v>
      </c>
      <c r="AY251">
        <v>2.8529100000000001</v>
      </c>
      <c r="AZ251">
        <v>654.29200000000003</v>
      </c>
      <c r="BA251">
        <v>695.399</v>
      </c>
      <c r="BB251">
        <v>33549.699999999997</v>
      </c>
      <c r="BC251">
        <v>0.11684</v>
      </c>
      <c r="BD251">
        <v>6.2192999999999998E-2</v>
      </c>
      <c r="BE251">
        <v>0.1802</v>
      </c>
      <c r="BF251">
        <v>0.90100100000000005</v>
      </c>
      <c r="BG251">
        <v>21.978899999999999</v>
      </c>
      <c r="BH251">
        <v>51.341900000000003</v>
      </c>
      <c r="BI251">
        <v>25.535799999999998</v>
      </c>
      <c r="BJ251">
        <v>33.514000000000003</v>
      </c>
      <c r="BK251">
        <v>0</v>
      </c>
      <c r="BL251">
        <v>30.477</v>
      </c>
      <c r="BM251">
        <v>57.6402</v>
      </c>
      <c r="BN251">
        <v>9.4900199999999995</v>
      </c>
      <c r="BO251">
        <v>1.35629</v>
      </c>
      <c r="BP251">
        <v>1.0365500000000001</v>
      </c>
      <c r="BQ251">
        <v>33.760300000000001</v>
      </c>
      <c r="BR251">
        <v>125416</v>
      </c>
    </row>
    <row r="252" spans="1:70" x14ac:dyDescent="0.25">
      <c r="A252">
        <v>38</v>
      </c>
      <c r="B252" s="7">
        <v>45994.551631944443</v>
      </c>
      <c r="C252" t="s">
        <v>145</v>
      </c>
      <c r="D252" s="6" t="s">
        <v>283</v>
      </c>
      <c r="E252" s="6" t="str">
        <f>VLOOKUP(F252,Germplasm!$A$1:$B$21,2,FALSE)</f>
        <v>Olve</v>
      </c>
      <c r="F252" t="s">
        <v>62</v>
      </c>
      <c r="G252" s="6" t="s">
        <v>113</v>
      </c>
      <c r="H252">
        <v>48670.6</v>
      </c>
      <c r="I252">
        <v>583.52800000000002</v>
      </c>
      <c r="J252">
        <v>136259</v>
      </c>
      <c r="K252">
        <v>20.526299999999999</v>
      </c>
      <c r="L252">
        <v>63.771299999999997</v>
      </c>
      <c r="M252">
        <v>1436.1</v>
      </c>
      <c r="N252">
        <v>573.71100000000001</v>
      </c>
      <c r="O252">
        <v>33325100</v>
      </c>
      <c r="P252">
        <v>0.17208599999999999</v>
      </c>
      <c r="Q252">
        <v>1.2760899999999999</v>
      </c>
      <c r="R252">
        <v>11.152200000000001</v>
      </c>
      <c r="S252">
        <v>28.7273</v>
      </c>
      <c r="T252">
        <v>38.7864</v>
      </c>
      <c r="U252">
        <v>19.5748</v>
      </c>
      <c r="V252">
        <v>0.48326999999999998</v>
      </c>
      <c r="W252">
        <v>82.732699999999994</v>
      </c>
      <c r="X252">
        <v>6.4349800000000004</v>
      </c>
      <c r="Y252">
        <v>16.4635</v>
      </c>
      <c r="Z252">
        <v>13.0344</v>
      </c>
      <c r="AA252">
        <v>27.0761</v>
      </c>
      <c r="AB252">
        <v>22.444800000000001</v>
      </c>
      <c r="AC252">
        <v>14.546200000000001</v>
      </c>
      <c r="AD252">
        <v>1.74017</v>
      </c>
      <c r="AE252">
        <v>8.7382000000000009</v>
      </c>
      <c r="AF252">
        <v>0</v>
      </c>
      <c r="AG252">
        <v>98.506799999999998</v>
      </c>
      <c r="AH252">
        <v>1.4923200000000001</v>
      </c>
      <c r="AI252">
        <v>9.2403500000000003E-4</v>
      </c>
      <c r="AJ252">
        <v>0</v>
      </c>
      <c r="AK252">
        <v>0</v>
      </c>
      <c r="AL252">
        <v>0.36013400000000001</v>
      </c>
      <c r="AM252">
        <v>3.4780700000000002</v>
      </c>
      <c r="AN252">
        <v>16.8322</v>
      </c>
      <c r="AO252">
        <v>19.2624</v>
      </c>
      <c r="AP252">
        <v>20.275200000000002</v>
      </c>
      <c r="AQ252">
        <v>27.4438</v>
      </c>
      <c r="AR252">
        <v>12.708299999999999</v>
      </c>
      <c r="AS252">
        <v>0.21195600000000001</v>
      </c>
      <c r="AT252">
        <v>1.55423</v>
      </c>
      <c r="AU252">
        <v>14.023199999999999</v>
      </c>
      <c r="AV252">
        <v>33.8825</v>
      </c>
      <c r="AW252">
        <v>32.872500000000002</v>
      </c>
      <c r="AX252">
        <v>13.7811</v>
      </c>
      <c r="AY252">
        <v>3.8864899999999998</v>
      </c>
      <c r="AZ252">
        <v>684.70799999999997</v>
      </c>
      <c r="BA252">
        <v>734.4</v>
      </c>
      <c r="BB252">
        <v>27968.9</v>
      </c>
      <c r="BC252">
        <v>0.17468900000000001</v>
      </c>
      <c r="BD252">
        <v>4.8049799999999997E-2</v>
      </c>
      <c r="BE252">
        <v>0.247641</v>
      </c>
      <c r="BF252">
        <v>0.89076999999999995</v>
      </c>
      <c r="BG252">
        <v>14.39</v>
      </c>
      <c r="BH252">
        <v>46.079799999999999</v>
      </c>
      <c r="BI252">
        <v>38.343800000000002</v>
      </c>
      <c r="BJ252">
        <v>35.1693</v>
      </c>
      <c r="BK252">
        <v>0</v>
      </c>
      <c r="BL252">
        <v>27.461400000000001</v>
      </c>
      <c r="BM252">
        <v>57.170099999999998</v>
      </c>
      <c r="BN252">
        <v>12.7729</v>
      </c>
      <c r="BO252">
        <v>1.4285600000000001</v>
      </c>
      <c r="BP252">
        <v>1.16706</v>
      </c>
      <c r="BQ252">
        <v>35.117100000000001</v>
      </c>
      <c r="BR252">
        <v>108221</v>
      </c>
    </row>
    <row r="253" spans="1:70" x14ac:dyDescent="0.25">
      <c r="A253">
        <v>38</v>
      </c>
      <c r="B253" s="7">
        <v>45994.552152777775</v>
      </c>
      <c r="C253" t="s">
        <v>145</v>
      </c>
      <c r="D253" s="6" t="s">
        <v>284</v>
      </c>
      <c r="E253" s="6" t="str">
        <f>VLOOKUP(F253,Germplasm!$A$1:$B$21,2,FALSE)</f>
        <v>Olve</v>
      </c>
      <c r="F253" t="s">
        <v>62</v>
      </c>
      <c r="G253" s="6" t="s">
        <v>113</v>
      </c>
      <c r="H253">
        <v>49387.7</v>
      </c>
      <c r="I253">
        <v>585.66499999999996</v>
      </c>
      <c r="J253">
        <v>136328</v>
      </c>
      <c r="K253">
        <v>20.633099999999999</v>
      </c>
      <c r="L253">
        <v>63.685600000000001</v>
      </c>
      <c r="M253">
        <v>1437.86</v>
      </c>
      <c r="N253">
        <v>574.947</v>
      </c>
      <c r="O253">
        <v>33794000</v>
      </c>
      <c r="P253">
        <v>0.172096</v>
      </c>
      <c r="Q253">
        <v>1.3018099999999999</v>
      </c>
      <c r="R253">
        <v>11.1363</v>
      </c>
      <c r="S253">
        <v>28.928899999999999</v>
      </c>
      <c r="T253">
        <v>38.396000000000001</v>
      </c>
      <c r="U253">
        <v>19.7196</v>
      </c>
      <c r="V253">
        <v>0.51741000000000004</v>
      </c>
      <c r="W253">
        <v>82.702600000000004</v>
      </c>
      <c r="X253">
        <v>6.45749</v>
      </c>
      <c r="Y253">
        <v>16.496300000000002</v>
      </c>
      <c r="Z253">
        <v>13.0733</v>
      </c>
      <c r="AA253">
        <v>26.957799999999999</v>
      </c>
      <c r="AB253">
        <v>22.462199999999999</v>
      </c>
      <c r="AC253">
        <v>14.5528</v>
      </c>
      <c r="AD253">
        <v>1.7557700000000001</v>
      </c>
      <c r="AE253">
        <v>8.7492199999999993</v>
      </c>
      <c r="AF253">
        <v>0</v>
      </c>
      <c r="AG253">
        <v>98.524199999999993</v>
      </c>
      <c r="AH253">
        <v>1.47489</v>
      </c>
      <c r="AI253">
        <v>0</v>
      </c>
      <c r="AJ253">
        <v>9.2065799999999998E-4</v>
      </c>
      <c r="AK253">
        <v>0</v>
      </c>
      <c r="AL253">
        <v>0.36078199999999999</v>
      </c>
      <c r="AM253">
        <v>3.35948</v>
      </c>
      <c r="AN253">
        <v>17.003599999999999</v>
      </c>
      <c r="AO253">
        <v>19.197600000000001</v>
      </c>
      <c r="AP253">
        <v>20.221299999999999</v>
      </c>
      <c r="AQ253">
        <v>27.380400000000002</v>
      </c>
      <c r="AR253">
        <v>12.8377</v>
      </c>
      <c r="AS253">
        <v>0.212424</v>
      </c>
      <c r="AT253">
        <v>1.51264</v>
      </c>
      <c r="AU253">
        <v>13.863300000000001</v>
      </c>
      <c r="AV253">
        <v>34.247500000000002</v>
      </c>
      <c r="AW253">
        <v>32.7819</v>
      </c>
      <c r="AX253">
        <v>13.645099999999999</v>
      </c>
      <c r="AY253">
        <v>3.9496199999999999</v>
      </c>
      <c r="AZ253">
        <v>684.25800000000004</v>
      </c>
      <c r="BA253">
        <v>734.399</v>
      </c>
      <c r="BB253">
        <v>28128.7</v>
      </c>
      <c r="BC253">
        <v>0.17465600000000001</v>
      </c>
      <c r="BD253">
        <v>5.3398099999999997E-2</v>
      </c>
      <c r="BE253">
        <v>0.23292599999999999</v>
      </c>
      <c r="BF253">
        <v>0.85621199999999997</v>
      </c>
      <c r="BG253">
        <v>14.2334</v>
      </c>
      <c r="BH253">
        <v>46.418599999999998</v>
      </c>
      <c r="BI253">
        <v>38.205500000000001</v>
      </c>
      <c r="BJ253">
        <v>35.195999999999998</v>
      </c>
      <c r="BK253">
        <v>0</v>
      </c>
      <c r="BL253">
        <v>27.755099999999999</v>
      </c>
      <c r="BM253">
        <v>56.761299999999999</v>
      </c>
      <c r="BN253">
        <v>12.8165</v>
      </c>
      <c r="BO253">
        <v>1.42334</v>
      </c>
      <c r="BP253">
        <v>1.2438100000000001</v>
      </c>
      <c r="BQ253">
        <v>34.759500000000003</v>
      </c>
      <c r="BR253">
        <v>108618</v>
      </c>
    </row>
    <row r="254" spans="1:70" x14ac:dyDescent="0.25">
      <c r="A254">
        <v>38</v>
      </c>
      <c r="B254" s="7">
        <v>46002.569953703707</v>
      </c>
      <c r="C254" t="s">
        <v>145</v>
      </c>
      <c r="D254" s="6" t="s">
        <v>285</v>
      </c>
      <c r="E254" s="6" t="str">
        <f>VLOOKUP(F254,Germplasm!$A$1:$B$21,2,FALSE)</f>
        <v>Olve</v>
      </c>
      <c r="F254" t="s">
        <v>62</v>
      </c>
      <c r="G254" s="6" t="s">
        <v>113</v>
      </c>
      <c r="H254">
        <v>53924.9</v>
      </c>
      <c r="I254">
        <v>483.4</v>
      </c>
      <c r="J254">
        <v>152451</v>
      </c>
      <c r="K254">
        <v>18.9316</v>
      </c>
      <c r="L254">
        <v>56.9358</v>
      </c>
      <c r="M254">
        <v>1559.23</v>
      </c>
      <c r="N254">
        <v>580.52</v>
      </c>
      <c r="O254">
        <v>32121400</v>
      </c>
      <c r="P254">
        <v>0.11452</v>
      </c>
      <c r="Q254">
        <v>1.5929500000000001</v>
      </c>
      <c r="R254">
        <v>20.256799999999998</v>
      </c>
      <c r="S254">
        <v>39.0045</v>
      </c>
      <c r="T254">
        <v>27.052800000000001</v>
      </c>
      <c r="U254">
        <v>11.642099999999999</v>
      </c>
      <c r="V254">
        <v>0.45074199999999998</v>
      </c>
      <c r="W254">
        <v>66.8048</v>
      </c>
      <c r="X254">
        <v>11.7865</v>
      </c>
      <c r="Y254">
        <v>26.747399999999999</v>
      </c>
      <c r="Z254">
        <v>13.3222</v>
      </c>
      <c r="AA254">
        <v>21.0944</v>
      </c>
      <c r="AB254">
        <v>14.2361</v>
      </c>
      <c r="AC254">
        <v>12.8134</v>
      </c>
      <c r="AD254">
        <v>1.8684099999999999</v>
      </c>
      <c r="AE254">
        <v>10.727399999999999</v>
      </c>
      <c r="AF254">
        <v>0</v>
      </c>
      <c r="AG254">
        <v>95.034400000000005</v>
      </c>
      <c r="AH254">
        <v>4.9257900000000001</v>
      </c>
      <c r="AI254">
        <v>3.4863999999999999E-2</v>
      </c>
      <c r="AJ254">
        <v>4.9805800000000001E-3</v>
      </c>
      <c r="AK254">
        <v>0</v>
      </c>
      <c r="AL254">
        <v>0.278111</v>
      </c>
      <c r="AM254">
        <v>6.4722600000000003</v>
      </c>
      <c r="AN254">
        <v>26.816199999999998</v>
      </c>
      <c r="AO254">
        <v>23.1356</v>
      </c>
      <c r="AP254">
        <v>19.664999999999999</v>
      </c>
      <c r="AQ254">
        <v>16.291499999999999</v>
      </c>
      <c r="AR254">
        <v>7.6194499999999996</v>
      </c>
      <c r="AS254">
        <v>0.238319</v>
      </c>
      <c r="AT254">
        <v>1.4053500000000001</v>
      </c>
      <c r="AU254">
        <v>10.8095</v>
      </c>
      <c r="AV254">
        <v>30.643000000000001</v>
      </c>
      <c r="AW254">
        <v>37.368400000000001</v>
      </c>
      <c r="AX254">
        <v>15.3634</v>
      </c>
      <c r="AY254">
        <v>4.4103000000000003</v>
      </c>
      <c r="AZ254">
        <v>595.66999999999996</v>
      </c>
      <c r="BA254">
        <v>640.79999999999995</v>
      </c>
      <c r="BB254">
        <v>28861.4</v>
      </c>
      <c r="BC254">
        <v>0.22223100000000001</v>
      </c>
      <c r="BD254">
        <v>8.7160100000000004E-2</v>
      </c>
      <c r="BE254">
        <v>0.34781000000000001</v>
      </c>
      <c r="BF254">
        <v>1.03264</v>
      </c>
      <c r="BG254">
        <v>10.7456</v>
      </c>
      <c r="BH254">
        <v>36.910200000000003</v>
      </c>
      <c r="BI254">
        <v>50.876600000000003</v>
      </c>
      <c r="BJ254">
        <v>33.423699999999997</v>
      </c>
      <c r="BK254">
        <v>0</v>
      </c>
      <c r="BL254">
        <v>33.146599999999999</v>
      </c>
      <c r="BM254">
        <v>53.706400000000002</v>
      </c>
      <c r="BN254">
        <v>10.274900000000001</v>
      </c>
      <c r="BO254">
        <v>1.7481800000000001</v>
      </c>
      <c r="BP254">
        <v>1.12395</v>
      </c>
      <c r="BQ254">
        <v>32.396099999999997</v>
      </c>
      <c r="BR254">
        <v>120468</v>
      </c>
    </row>
    <row r="255" spans="1:70" x14ac:dyDescent="0.25">
      <c r="A255">
        <v>38</v>
      </c>
      <c r="B255" s="7">
        <v>46013.607685185183</v>
      </c>
      <c r="C255" t="s">
        <v>145</v>
      </c>
      <c r="D255" s="6" t="s">
        <v>286</v>
      </c>
      <c r="E255" s="6" t="str">
        <f>VLOOKUP(F255,Germplasm!$A$1:$B$21,2,FALSE)</f>
        <v>Olve</v>
      </c>
      <c r="F255" t="s">
        <v>62</v>
      </c>
      <c r="G255" s="6" t="s">
        <v>113</v>
      </c>
      <c r="H255">
        <v>47679.8</v>
      </c>
      <c r="I255">
        <v>516.83799999999997</v>
      </c>
      <c r="J255">
        <v>101448</v>
      </c>
      <c r="K255">
        <v>24.770499999999998</v>
      </c>
      <c r="L255">
        <v>45.227200000000003</v>
      </c>
      <c r="M255">
        <v>1311.67</v>
      </c>
      <c r="N255">
        <v>568.54499999999996</v>
      </c>
      <c r="O255">
        <v>28169100</v>
      </c>
      <c r="P255">
        <v>4.19285E-2</v>
      </c>
      <c r="Q255">
        <v>1.8334299999999999</v>
      </c>
      <c r="R255">
        <v>31.974499999999999</v>
      </c>
      <c r="S255">
        <v>50.799100000000003</v>
      </c>
      <c r="T255">
        <v>12.8492</v>
      </c>
      <c r="U255">
        <v>2.4840900000000001</v>
      </c>
      <c r="V255">
        <v>5.9754700000000001E-2</v>
      </c>
      <c r="W255">
        <v>41.024500000000003</v>
      </c>
      <c r="X255">
        <v>18.2925</v>
      </c>
      <c r="Y255">
        <v>47.577100000000002</v>
      </c>
      <c r="Z255">
        <v>17.8581</v>
      </c>
      <c r="AA255">
        <v>7.9739399999999998</v>
      </c>
      <c r="AB255">
        <v>1.55457</v>
      </c>
      <c r="AC255">
        <v>6.7437500000000004</v>
      </c>
      <c r="AD255">
        <v>1.8973899999999999</v>
      </c>
      <c r="AE255">
        <v>15.3361</v>
      </c>
      <c r="AF255">
        <v>0</v>
      </c>
      <c r="AG255">
        <v>85.218800000000002</v>
      </c>
      <c r="AH255">
        <v>14.4938</v>
      </c>
      <c r="AI255">
        <v>0.27695799999999998</v>
      </c>
      <c r="AJ255">
        <v>1.0433400000000001E-2</v>
      </c>
      <c r="AK255">
        <v>0</v>
      </c>
      <c r="AL255">
        <v>0.130188</v>
      </c>
      <c r="AM255">
        <v>13.5084</v>
      </c>
      <c r="AN255">
        <v>50.550600000000003</v>
      </c>
      <c r="AO255">
        <v>23.2835</v>
      </c>
      <c r="AP255">
        <v>8.8304200000000002</v>
      </c>
      <c r="AQ255">
        <v>3.0228299999999999</v>
      </c>
      <c r="AR255">
        <v>0.80431799999999998</v>
      </c>
      <c r="AS255">
        <v>0.30608400000000002</v>
      </c>
      <c r="AT255">
        <v>0.75404800000000005</v>
      </c>
      <c r="AU255">
        <v>3.3832599999999999</v>
      </c>
      <c r="AV255">
        <v>21.113299999999999</v>
      </c>
      <c r="AW255">
        <v>49.402000000000001</v>
      </c>
      <c r="AX255">
        <v>19.689699999999998</v>
      </c>
      <c r="AY255">
        <v>5.6577299999999999</v>
      </c>
      <c r="AZ255">
        <v>590.79600000000005</v>
      </c>
      <c r="BA255">
        <v>623.99900000000002</v>
      </c>
      <c r="BB255">
        <v>25129.1</v>
      </c>
      <c r="BC255">
        <v>0.34616400000000003</v>
      </c>
      <c r="BD255">
        <v>0.12804599999999999</v>
      </c>
      <c r="BE255">
        <v>0.33861000000000002</v>
      </c>
      <c r="BF255">
        <v>0.663941</v>
      </c>
      <c r="BG255">
        <v>3.00671</v>
      </c>
      <c r="BH255">
        <v>13.8802</v>
      </c>
      <c r="BI255">
        <v>81.982500000000002</v>
      </c>
      <c r="BJ255">
        <v>33.293799999999997</v>
      </c>
      <c r="BK255">
        <v>0</v>
      </c>
      <c r="BL255">
        <v>33.3962</v>
      </c>
      <c r="BM255">
        <v>52.970199999999998</v>
      </c>
      <c r="BN255">
        <v>11.085900000000001</v>
      </c>
      <c r="BO255">
        <v>1.8305800000000001</v>
      </c>
      <c r="BP255">
        <v>0.71705700000000006</v>
      </c>
      <c r="BQ255">
        <v>31.8386</v>
      </c>
      <c r="BR255">
        <v>105431</v>
      </c>
    </row>
    <row r="256" spans="1:70" x14ac:dyDescent="0.25">
      <c r="A256">
        <v>38</v>
      </c>
      <c r="B256" s="7">
        <v>46024.533067129632</v>
      </c>
      <c r="C256" t="s">
        <v>145</v>
      </c>
      <c r="D256" s="6" t="s">
        <v>287</v>
      </c>
      <c r="E256" s="6" t="str">
        <f>VLOOKUP(F256,Germplasm!$A$1:$B$21,2,FALSE)</f>
        <v>Olve</v>
      </c>
      <c r="F256" t="s">
        <v>62</v>
      </c>
      <c r="G256" s="6" t="s">
        <v>113</v>
      </c>
      <c r="H256">
        <v>42083.199999999997</v>
      </c>
      <c r="I256">
        <v>450.44200000000001</v>
      </c>
      <c r="J256">
        <v>101078</v>
      </c>
      <c r="K256">
        <v>21.995799999999999</v>
      </c>
      <c r="L256">
        <v>53.9694</v>
      </c>
      <c r="M256">
        <v>1289.81</v>
      </c>
      <c r="N256">
        <v>505.012</v>
      </c>
      <c r="O256">
        <v>23413000</v>
      </c>
      <c r="P256">
        <v>9.39773E-3</v>
      </c>
      <c r="Q256">
        <v>1.4824999999999999</v>
      </c>
      <c r="R256">
        <v>37.435600000000001</v>
      </c>
      <c r="S256">
        <v>58.288200000000003</v>
      </c>
      <c r="T256">
        <v>2.5138500000000001</v>
      </c>
      <c r="U256">
        <v>0.25051800000000002</v>
      </c>
      <c r="V256">
        <v>2.92813E-2</v>
      </c>
      <c r="W256">
        <v>34.7241</v>
      </c>
      <c r="X256">
        <v>19.675999999999998</v>
      </c>
      <c r="Y256">
        <v>57.749200000000002</v>
      </c>
      <c r="Z256">
        <v>10.283200000000001</v>
      </c>
      <c r="AA256">
        <v>2.76329</v>
      </c>
      <c r="AB256">
        <v>1.08992</v>
      </c>
      <c r="AC256">
        <v>8.4384399999999999</v>
      </c>
      <c r="AD256">
        <v>1.89283</v>
      </c>
      <c r="AE256">
        <v>18.938700000000001</v>
      </c>
      <c r="AF256">
        <v>0</v>
      </c>
      <c r="AG256">
        <v>74.631500000000003</v>
      </c>
      <c r="AH256">
        <v>24.658100000000001</v>
      </c>
      <c r="AI256">
        <v>0.68865299999999996</v>
      </c>
      <c r="AJ256">
        <v>2.1689900000000002E-2</v>
      </c>
      <c r="AK256">
        <v>0</v>
      </c>
      <c r="AL256">
        <v>7.6333200000000004E-2</v>
      </c>
      <c r="AM256">
        <v>20.183499999999999</v>
      </c>
      <c r="AN256">
        <v>59.9193</v>
      </c>
      <c r="AO256">
        <v>14.7654</v>
      </c>
      <c r="AP256">
        <v>3.9594800000000001</v>
      </c>
      <c r="AQ256">
        <v>0.94567800000000002</v>
      </c>
      <c r="AR256">
        <v>0.226659</v>
      </c>
      <c r="AS256">
        <v>0.25607099999999999</v>
      </c>
      <c r="AT256">
        <v>0.90446700000000002</v>
      </c>
      <c r="AU256">
        <v>4.20892</v>
      </c>
      <c r="AV256">
        <v>26.974599999999999</v>
      </c>
      <c r="AW256">
        <v>54.442599999999999</v>
      </c>
      <c r="AX256">
        <v>11.2484</v>
      </c>
      <c r="AY256">
        <v>2.2210399999999999</v>
      </c>
      <c r="AZ256">
        <v>556.35</v>
      </c>
      <c r="BA256">
        <v>618.6</v>
      </c>
      <c r="BB256">
        <v>22232.9</v>
      </c>
      <c r="BC256">
        <v>0.33812999999999999</v>
      </c>
      <c r="BD256">
        <v>0.108449</v>
      </c>
      <c r="BE256">
        <v>0.48151500000000003</v>
      </c>
      <c r="BF256">
        <v>0.99881799999999998</v>
      </c>
      <c r="BG256">
        <v>3.52352</v>
      </c>
      <c r="BH256">
        <v>12.3361</v>
      </c>
      <c r="BI256">
        <v>82.551599999999993</v>
      </c>
      <c r="BJ256">
        <v>27.674499999999998</v>
      </c>
      <c r="BK256">
        <v>0</v>
      </c>
      <c r="BL256">
        <v>46.035600000000002</v>
      </c>
      <c r="BM256">
        <v>48.7425</v>
      </c>
      <c r="BN256">
        <v>4.0115400000000001</v>
      </c>
      <c r="BO256">
        <v>0.77215900000000004</v>
      </c>
      <c r="BP256">
        <v>0.438135</v>
      </c>
      <c r="BQ256">
        <v>31.921199999999999</v>
      </c>
      <c r="BR256">
        <v>92209</v>
      </c>
    </row>
    <row r="257" spans="1:70" x14ac:dyDescent="0.25">
      <c r="A257">
        <v>39</v>
      </c>
      <c r="B257" s="7">
        <v>45952.563263888886</v>
      </c>
      <c r="C257" t="s">
        <v>147</v>
      </c>
      <c r="D257" s="6" t="s">
        <v>288</v>
      </c>
      <c r="E257" s="6" t="str">
        <f>VLOOKUP(F257,Germplasm!$A$1:$B$21,2,FALSE)</f>
        <v>Heder</v>
      </c>
      <c r="F257" t="s">
        <v>77</v>
      </c>
      <c r="G257" s="6" t="s">
        <v>113</v>
      </c>
      <c r="H257">
        <v>17470.8</v>
      </c>
      <c r="I257">
        <v>311.83600000000001</v>
      </c>
      <c r="J257">
        <v>103398</v>
      </c>
      <c r="K257">
        <v>11.8713</v>
      </c>
      <c r="L257">
        <v>76.672300000000007</v>
      </c>
      <c r="M257">
        <v>1264.82</v>
      </c>
      <c r="N257">
        <v>442.33300000000003</v>
      </c>
      <c r="O257">
        <v>6008860</v>
      </c>
      <c r="P257">
        <v>0.20089399999999999</v>
      </c>
      <c r="Q257">
        <v>0.67260500000000001</v>
      </c>
      <c r="R257">
        <v>8.3007600000000004</v>
      </c>
      <c r="S257">
        <v>27.6995</v>
      </c>
      <c r="T257">
        <v>34.902700000000003</v>
      </c>
      <c r="U257">
        <v>28.0472</v>
      </c>
      <c r="V257">
        <v>0.37720399999999998</v>
      </c>
      <c r="W257">
        <v>114.053</v>
      </c>
      <c r="X257">
        <v>2.8903799999999999</v>
      </c>
      <c r="Y257">
        <v>4.71732</v>
      </c>
      <c r="Z257">
        <v>5.3308499999999999</v>
      </c>
      <c r="AA257">
        <v>16.3675</v>
      </c>
      <c r="AB257">
        <v>32.694099999999999</v>
      </c>
      <c r="AC257">
        <v>37.999899999999997</v>
      </c>
      <c r="AD257">
        <v>1.4233199999999999</v>
      </c>
      <c r="AE257">
        <v>17.6767</v>
      </c>
      <c r="AF257">
        <v>0</v>
      </c>
      <c r="AG257">
        <v>84.600499999999997</v>
      </c>
      <c r="AH257">
        <v>2.0496300000000001</v>
      </c>
      <c r="AI257">
        <v>2.8540299999999998</v>
      </c>
      <c r="AJ257">
        <v>10.495799999999999</v>
      </c>
      <c r="AK257">
        <v>0</v>
      </c>
      <c r="AL257">
        <v>0.42727599999999999</v>
      </c>
      <c r="AM257">
        <v>11.2616</v>
      </c>
      <c r="AN257">
        <v>6.0534400000000002</v>
      </c>
      <c r="AO257">
        <v>5.78986</v>
      </c>
      <c r="AP257">
        <v>15.6153</v>
      </c>
      <c r="AQ257">
        <v>37.834000000000003</v>
      </c>
      <c r="AR257">
        <v>23.445699999999999</v>
      </c>
      <c r="AS257">
        <v>3.6476500000000002E-2</v>
      </c>
      <c r="AT257">
        <v>8.1507900000000006</v>
      </c>
      <c r="AU257">
        <v>34.084699999999998</v>
      </c>
      <c r="AV257">
        <v>41.835599999999999</v>
      </c>
      <c r="AW257">
        <v>11.5502</v>
      </c>
      <c r="AX257">
        <v>2.9380999999999999</v>
      </c>
      <c r="AY257">
        <v>1.44065</v>
      </c>
      <c r="AZ257">
        <v>343.93700000000001</v>
      </c>
      <c r="BA257">
        <v>407.99900000000002</v>
      </c>
      <c r="BB257">
        <v>12274.7</v>
      </c>
      <c r="BC257">
        <v>-2.3898300000000001E-4</v>
      </c>
      <c r="BD257">
        <v>1.0384500000000001</v>
      </c>
      <c r="BE257">
        <v>1.2202299999999999</v>
      </c>
      <c r="BF257">
        <v>3.9379200000000001</v>
      </c>
      <c r="BG257">
        <v>36.034399999999998</v>
      </c>
      <c r="BH257">
        <v>51.058900000000001</v>
      </c>
      <c r="BI257">
        <v>6.71014</v>
      </c>
      <c r="BJ257">
        <v>32.683500000000002</v>
      </c>
      <c r="BK257">
        <v>0</v>
      </c>
      <c r="BL257">
        <v>34.257399999999997</v>
      </c>
      <c r="BM257">
        <v>53.758400000000002</v>
      </c>
      <c r="BN257">
        <v>9.1119800000000009</v>
      </c>
      <c r="BO257">
        <v>1.61334</v>
      </c>
      <c r="BP257">
        <v>1.2588600000000001</v>
      </c>
      <c r="BQ257">
        <v>44.647300000000001</v>
      </c>
      <c r="BR257">
        <v>44008</v>
      </c>
    </row>
    <row r="258" spans="1:70" x14ac:dyDescent="0.25">
      <c r="A258">
        <v>39</v>
      </c>
      <c r="B258" s="7">
        <v>45959.525613425925</v>
      </c>
      <c r="C258" t="s">
        <v>147</v>
      </c>
      <c r="D258" s="6" t="s">
        <v>289</v>
      </c>
      <c r="E258" s="6" t="str">
        <f>VLOOKUP(F258,Germplasm!$A$1:$B$21,2,FALSE)</f>
        <v>Heder</v>
      </c>
      <c r="F258" t="s">
        <v>77</v>
      </c>
      <c r="G258" s="6" t="s">
        <v>113</v>
      </c>
      <c r="H258">
        <v>48731.5</v>
      </c>
      <c r="I258">
        <v>413.9</v>
      </c>
      <c r="J258">
        <v>166375</v>
      </c>
      <c r="K258">
        <v>18.0764</v>
      </c>
      <c r="L258">
        <v>73.360799999999998</v>
      </c>
      <c r="M258">
        <v>1518.87</v>
      </c>
      <c r="N258">
        <v>547.05899999999997</v>
      </c>
      <c r="O258">
        <v>22911300</v>
      </c>
      <c r="P258">
        <v>0.208341</v>
      </c>
      <c r="Q258">
        <v>0.45288299999999998</v>
      </c>
      <c r="R258">
        <v>4.9696899999999999</v>
      </c>
      <c r="S258">
        <v>24.5258</v>
      </c>
      <c r="T258">
        <v>46.658000000000001</v>
      </c>
      <c r="U258">
        <v>22.932700000000001</v>
      </c>
      <c r="V258">
        <v>0.460899</v>
      </c>
      <c r="W258">
        <v>118.488</v>
      </c>
      <c r="X258">
        <v>1.66124</v>
      </c>
      <c r="Y258">
        <v>2.48685</v>
      </c>
      <c r="Z258">
        <v>3.8925900000000002</v>
      </c>
      <c r="AA258">
        <v>15.2738</v>
      </c>
      <c r="AB258">
        <v>35.527299999999997</v>
      </c>
      <c r="AC258">
        <v>41.158299999999997</v>
      </c>
      <c r="AD258">
        <v>1.62036</v>
      </c>
      <c r="AE258">
        <v>12.461399999999999</v>
      </c>
      <c r="AF258">
        <v>0</v>
      </c>
      <c r="AG258">
        <v>92.711799999999997</v>
      </c>
      <c r="AH258">
        <v>0.73843999999999999</v>
      </c>
      <c r="AI258">
        <v>1.40574</v>
      </c>
      <c r="AJ258">
        <v>5.1440299999999999</v>
      </c>
      <c r="AK258">
        <v>0</v>
      </c>
      <c r="AL258">
        <v>0.47154600000000002</v>
      </c>
      <c r="AM258">
        <v>6.44156</v>
      </c>
      <c r="AN258">
        <v>3.8394900000000001</v>
      </c>
      <c r="AO258">
        <v>4.9496500000000001</v>
      </c>
      <c r="AP258">
        <v>16.7927</v>
      </c>
      <c r="AQ258">
        <v>40.850700000000003</v>
      </c>
      <c r="AR258">
        <v>27.125900000000001</v>
      </c>
      <c r="AS258">
        <v>1.86021E-2</v>
      </c>
      <c r="AT258">
        <v>6.8964499999999997</v>
      </c>
      <c r="AU258">
        <v>40.164299999999997</v>
      </c>
      <c r="AV258">
        <v>42.3125</v>
      </c>
      <c r="AW258">
        <v>7.7380899999999997</v>
      </c>
      <c r="AX258">
        <v>1.6081399999999999</v>
      </c>
      <c r="AY258">
        <v>1.2805</v>
      </c>
      <c r="AZ258">
        <v>470.154</v>
      </c>
      <c r="BA258">
        <v>527.399</v>
      </c>
      <c r="BB258">
        <v>30074.5</v>
      </c>
      <c r="BC258">
        <v>-4.3298700000000004E-3</v>
      </c>
      <c r="BD258">
        <v>0.59315700000000005</v>
      </c>
      <c r="BE258">
        <v>0.89474500000000001</v>
      </c>
      <c r="BF258">
        <v>3.2703799999999998</v>
      </c>
      <c r="BG258">
        <v>42.301499999999997</v>
      </c>
      <c r="BH258">
        <v>48.6449</v>
      </c>
      <c r="BI258">
        <v>4.2953799999999998</v>
      </c>
      <c r="BJ258">
        <v>30.4057</v>
      </c>
      <c r="BK258">
        <v>0</v>
      </c>
      <c r="BL258">
        <v>38.963000000000001</v>
      </c>
      <c r="BM258">
        <v>53.096499999999999</v>
      </c>
      <c r="BN258">
        <v>5.5047300000000003</v>
      </c>
      <c r="BO258">
        <v>1.1913199999999999</v>
      </c>
      <c r="BP258">
        <v>1.2444299999999999</v>
      </c>
      <c r="BQ258">
        <v>38.154200000000003</v>
      </c>
      <c r="BR258">
        <v>99805</v>
      </c>
    </row>
    <row r="259" spans="1:70" x14ac:dyDescent="0.25">
      <c r="A259">
        <v>39</v>
      </c>
      <c r="B259" s="7">
        <v>45966.552627314813</v>
      </c>
      <c r="C259" t="s">
        <v>147</v>
      </c>
      <c r="D259" s="6" t="s">
        <v>290</v>
      </c>
      <c r="E259" s="6" t="str">
        <f>VLOOKUP(F259,Germplasm!$A$1:$B$21,2,FALSE)</f>
        <v>Heder</v>
      </c>
      <c r="F259" t="s">
        <v>77</v>
      </c>
      <c r="G259" s="6" t="s">
        <v>113</v>
      </c>
      <c r="H259">
        <v>50574.6</v>
      </c>
      <c r="I259">
        <v>556.553</v>
      </c>
      <c r="J259">
        <v>115392</v>
      </c>
      <c r="K259">
        <v>26.043099999999999</v>
      </c>
      <c r="L259">
        <v>72.4876</v>
      </c>
      <c r="M259">
        <v>1299.56</v>
      </c>
      <c r="N259">
        <v>488.43400000000003</v>
      </c>
      <c r="O259">
        <v>31877500</v>
      </c>
      <c r="P259">
        <v>0.212529</v>
      </c>
      <c r="Q259">
        <v>0.46674199999999999</v>
      </c>
      <c r="R259">
        <v>4.8909500000000001</v>
      </c>
      <c r="S259">
        <v>24.042100000000001</v>
      </c>
      <c r="T259">
        <v>45.5655</v>
      </c>
      <c r="U259">
        <v>24.484300000000001</v>
      </c>
      <c r="V259">
        <v>0.55044099999999996</v>
      </c>
      <c r="W259">
        <v>121.807</v>
      </c>
      <c r="X259">
        <v>1.6060300000000001</v>
      </c>
      <c r="Y259">
        <v>2.5444300000000002</v>
      </c>
      <c r="Z259">
        <v>3.4168699999999999</v>
      </c>
      <c r="AA259">
        <v>12.6089</v>
      </c>
      <c r="AB259">
        <v>33.593600000000002</v>
      </c>
      <c r="AC259">
        <v>46.2301</v>
      </c>
      <c r="AD259">
        <v>1.68292</v>
      </c>
      <c r="AE259">
        <v>11.551299999999999</v>
      </c>
      <c r="AF259">
        <v>0</v>
      </c>
      <c r="AG259">
        <v>92.907300000000006</v>
      </c>
      <c r="AH259">
        <v>0.62330799999999997</v>
      </c>
      <c r="AI259">
        <v>1.09596</v>
      </c>
      <c r="AJ259">
        <v>5.3734400000000004</v>
      </c>
      <c r="AK259">
        <v>0</v>
      </c>
      <c r="AL259">
        <v>0.49208800000000003</v>
      </c>
      <c r="AM259">
        <v>6.31677</v>
      </c>
      <c r="AN259">
        <v>2.9501300000000001</v>
      </c>
      <c r="AO259">
        <v>4.8742099999999997</v>
      </c>
      <c r="AP259">
        <v>14.2484</v>
      </c>
      <c r="AQ259">
        <v>38.1586</v>
      </c>
      <c r="AR259">
        <v>33.451799999999999</v>
      </c>
      <c r="AS259">
        <v>2.6776299999999999E-3</v>
      </c>
      <c r="AT259">
        <v>8.2575900000000004</v>
      </c>
      <c r="AU259">
        <v>43.949599999999997</v>
      </c>
      <c r="AV259">
        <v>37.685000000000002</v>
      </c>
      <c r="AW259">
        <v>7.2354900000000004</v>
      </c>
      <c r="AX259">
        <v>1.7803199999999999</v>
      </c>
      <c r="AY259">
        <v>1.09202</v>
      </c>
      <c r="AZ259">
        <v>630.30700000000002</v>
      </c>
      <c r="BA259">
        <v>715.79899999999998</v>
      </c>
      <c r="BB259">
        <v>30051.7</v>
      </c>
      <c r="BC259">
        <v>-1.1053500000000001E-2</v>
      </c>
      <c r="BD259">
        <v>0.40372200000000003</v>
      </c>
      <c r="BE259">
        <v>0.67451099999999997</v>
      </c>
      <c r="BF259">
        <v>3.7516600000000002</v>
      </c>
      <c r="BG259">
        <v>47.377299999999998</v>
      </c>
      <c r="BH259">
        <v>43.492699999999999</v>
      </c>
      <c r="BI259">
        <v>4.3001300000000002</v>
      </c>
      <c r="BJ259">
        <v>30.8538</v>
      </c>
      <c r="BK259">
        <v>0</v>
      </c>
      <c r="BL259">
        <v>37.159199999999998</v>
      </c>
      <c r="BM259">
        <v>54.714199999999998</v>
      </c>
      <c r="BN259">
        <v>5.7427000000000001</v>
      </c>
      <c r="BO259">
        <v>1.11467</v>
      </c>
      <c r="BP259">
        <v>1.2692600000000001</v>
      </c>
      <c r="BQ259">
        <v>36.500999999999998</v>
      </c>
      <c r="BR259">
        <v>101555</v>
      </c>
    </row>
    <row r="260" spans="1:70" x14ac:dyDescent="0.25">
      <c r="A260">
        <v>39</v>
      </c>
      <c r="B260" s="7">
        <v>45973.557685185187</v>
      </c>
      <c r="C260" t="s">
        <v>147</v>
      </c>
      <c r="D260" s="6" t="s">
        <v>291</v>
      </c>
      <c r="E260" s="6" t="str">
        <f>VLOOKUP(F260,Germplasm!$A$1:$B$21,2,FALSE)</f>
        <v>Heder</v>
      </c>
      <c r="F260" t="s">
        <v>77</v>
      </c>
      <c r="G260" s="6" t="s">
        <v>113</v>
      </c>
      <c r="H260">
        <v>68854.600000000006</v>
      </c>
      <c r="I260">
        <v>494.26900000000001</v>
      </c>
      <c r="J260">
        <v>146747</v>
      </c>
      <c r="K260">
        <v>28.677600000000002</v>
      </c>
      <c r="L260">
        <v>61.501899999999999</v>
      </c>
      <c r="M260">
        <v>1460.53</v>
      </c>
      <c r="N260">
        <v>542.29</v>
      </c>
      <c r="O260">
        <v>39124400</v>
      </c>
      <c r="P260">
        <v>0.23277900000000001</v>
      </c>
      <c r="Q260">
        <v>0.64687399999999995</v>
      </c>
      <c r="R260">
        <v>3.9897200000000002</v>
      </c>
      <c r="S260">
        <v>21.308299999999999</v>
      </c>
      <c r="T260">
        <v>42.957900000000002</v>
      </c>
      <c r="U260">
        <v>29.780799999999999</v>
      </c>
      <c r="V260">
        <v>1.3163800000000001</v>
      </c>
      <c r="W260">
        <v>121.081</v>
      </c>
      <c r="X260">
        <v>1.36429</v>
      </c>
      <c r="Y260">
        <v>1.90202</v>
      </c>
      <c r="Z260">
        <v>3.3774600000000001</v>
      </c>
      <c r="AA260">
        <v>13.766</v>
      </c>
      <c r="AB260">
        <v>34.860700000000001</v>
      </c>
      <c r="AC260">
        <v>44.729500000000002</v>
      </c>
      <c r="AD260">
        <v>1.63615</v>
      </c>
      <c r="AE260">
        <v>9.7901900000000008</v>
      </c>
      <c r="AF260">
        <v>0</v>
      </c>
      <c r="AG260">
        <v>94.748500000000007</v>
      </c>
      <c r="AH260">
        <v>0.54837899999999995</v>
      </c>
      <c r="AI260">
        <v>0.97630099999999997</v>
      </c>
      <c r="AJ260">
        <v>3.7268500000000002</v>
      </c>
      <c r="AK260">
        <v>0</v>
      </c>
      <c r="AL260">
        <v>0.51937299999999997</v>
      </c>
      <c r="AM260">
        <v>5.39994</v>
      </c>
      <c r="AN260">
        <v>2.8610199999999999</v>
      </c>
      <c r="AO260">
        <v>4.8023100000000003</v>
      </c>
      <c r="AP260">
        <v>11.5745</v>
      </c>
      <c r="AQ260">
        <v>31.886500000000002</v>
      </c>
      <c r="AR260">
        <v>43.475700000000003</v>
      </c>
      <c r="AS260">
        <v>1.6822400000000001E-2</v>
      </c>
      <c r="AT260">
        <v>8.09924</v>
      </c>
      <c r="AU260">
        <v>42.635100000000001</v>
      </c>
      <c r="AV260">
        <v>36.3874</v>
      </c>
      <c r="AW260">
        <v>8.7241499999999998</v>
      </c>
      <c r="AX260">
        <v>2.1795399999999998</v>
      </c>
      <c r="AY260">
        <v>1.9745600000000001</v>
      </c>
      <c r="AZ260">
        <v>568.21799999999996</v>
      </c>
      <c r="BA260">
        <v>668.399</v>
      </c>
      <c r="BB260">
        <v>42083.4</v>
      </c>
      <c r="BC260">
        <v>-6.92174E-3</v>
      </c>
      <c r="BD260">
        <v>0.551041</v>
      </c>
      <c r="BE260">
        <v>0.75402100000000005</v>
      </c>
      <c r="BF260">
        <v>2.9016199999999999</v>
      </c>
      <c r="BG260">
        <v>46.521700000000003</v>
      </c>
      <c r="BH260">
        <v>44.6676</v>
      </c>
      <c r="BI260">
        <v>4.6039899999999996</v>
      </c>
      <c r="BJ260">
        <v>32.794400000000003</v>
      </c>
      <c r="BK260">
        <v>0</v>
      </c>
      <c r="BL260">
        <v>33.959600000000002</v>
      </c>
      <c r="BM260">
        <v>54.616300000000003</v>
      </c>
      <c r="BN260">
        <v>8.1697799999999994</v>
      </c>
      <c r="BO260">
        <v>1.68374</v>
      </c>
      <c r="BP260">
        <v>1.5706</v>
      </c>
      <c r="BQ260">
        <v>37.728200000000001</v>
      </c>
      <c r="BR260">
        <v>150261</v>
      </c>
    </row>
    <row r="261" spans="1:70" x14ac:dyDescent="0.25">
      <c r="A261">
        <v>39</v>
      </c>
      <c r="B261" s="7">
        <v>45988.546851851854</v>
      </c>
      <c r="C261" t="s">
        <v>147</v>
      </c>
      <c r="D261" s="6" t="s">
        <v>292</v>
      </c>
      <c r="E261" s="6" t="str">
        <f>VLOOKUP(F261,Germplasm!$A$1:$B$21,2,FALSE)</f>
        <v>Heder</v>
      </c>
      <c r="F261" t="s">
        <v>77</v>
      </c>
      <c r="G261" s="6" t="s">
        <v>113</v>
      </c>
      <c r="H261">
        <v>70540.2</v>
      </c>
      <c r="I261">
        <v>567.404</v>
      </c>
      <c r="J261">
        <v>156793</v>
      </c>
      <c r="K261">
        <v>27.1235</v>
      </c>
      <c r="L261">
        <v>81.600099999999998</v>
      </c>
      <c r="M261">
        <v>1505.86</v>
      </c>
      <c r="N261">
        <v>524.98500000000001</v>
      </c>
      <c r="O261">
        <v>45543900</v>
      </c>
      <c r="P261">
        <v>0.22004000000000001</v>
      </c>
      <c r="Q261">
        <v>0.58517799999999998</v>
      </c>
      <c r="R261">
        <v>5.2538799999999997</v>
      </c>
      <c r="S261">
        <v>24.861599999999999</v>
      </c>
      <c r="T261">
        <v>40.0411</v>
      </c>
      <c r="U261">
        <v>27.911000000000001</v>
      </c>
      <c r="V261">
        <v>1.34724</v>
      </c>
      <c r="W261">
        <v>109.962</v>
      </c>
      <c r="X261">
        <v>2.1583700000000001</v>
      </c>
      <c r="Y261">
        <v>5.3005199999999997</v>
      </c>
      <c r="Z261">
        <v>6.4393799999999999</v>
      </c>
      <c r="AA261">
        <v>19.674299999999999</v>
      </c>
      <c r="AB261">
        <v>33.230400000000003</v>
      </c>
      <c r="AC261">
        <v>33.197000000000003</v>
      </c>
      <c r="AD261">
        <v>1.6586799999999999</v>
      </c>
      <c r="AE261">
        <v>11.9186</v>
      </c>
      <c r="AF261">
        <v>0</v>
      </c>
      <c r="AG261">
        <v>91.700299999999999</v>
      </c>
      <c r="AH261">
        <v>1.28545</v>
      </c>
      <c r="AI261">
        <v>1.7113100000000001</v>
      </c>
      <c r="AJ261">
        <v>5.3029500000000001</v>
      </c>
      <c r="AK261">
        <v>0</v>
      </c>
      <c r="AL261">
        <v>0.45479599999999998</v>
      </c>
      <c r="AM261">
        <v>7.34077</v>
      </c>
      <c r="AN261">
        <v>6.3357900000000003</v>
      </c>
      <c r="AO261">
        <v>8.8285499999999999</v>
      </c>
      <c r="AP261">
        <v>15.4533</v>
      </c>
      <c r="AQ261">
        <v>30.611599999999999</v>
      </c>
      <c r="AR261">
        <v>31.43</v>
      </c>
      <c r="AS261">
        <v>7.8168500000000002E-2</v>
      </c>
      <c r="AT261">
        <v>4.7553299999999998</v>
      </c>
      <c r="AU261">
        <v>32.825099999999999</v>
      </c>
      <c r="AV261">
        <v>39.135399999999997</v>
      </c>
      <c r="AW261">
        <v>16.074200000000001</v>
      </c>
      <c r="AX261">
        <v>4.9752200000000002</v>
      </c>
      <c r="AY261">
        <v>2.2347000000000001</v>
      </c>
      <c r="AZ261">
        <v>645.64400000000001</v>
      </c>
      <c r="BA261">
        <v>697.8</v>
      </c>
      <c r="BB261">
        <v>42527.8</v>
      </c>
      <c r="BC261">
        <v>4.20788E-2</v>
      </c>
      <c r="BD261">
        <v>0.498552</v>
      </c>
      <c r="BE261">
        <v>0.53610999999999998</v>
      </c>
      <c r="BF261">
        <v>2.0414599999999998</v>
      </c>
      <c r="BG261">
        <v>34.501300000000001</v>
      </c>
      <c r="BH261">
        <v>50.187199999999997</v>
      </c>
      <c r="BI261">
        <v>12.2354</v>
      </c>
      <c r="BJ261">
        <v>33.281799999999997</v>
      </c>
      <c r="BK261">
        <v>0</v>
      </c>
      <c r="BL261">
        <v>33.026800000000001</v>
      </c>
      <c r="BM261">
        <v>54.321599999999997</v>
      </c>
      <c r="BN261">
        <v>9.4337199999999992</v>
      </c>
      <c r="BO261">
        <v>1.8924399999999999</v>
      </c>
      <c r="BP261">
        <v>1.3254300000000001</v>
      </c>
      <c r="BQ261">
        <v>37.129600000000003</v>
      </c>
      <c r="BR261">
        <v>165078</v>
      </c>
    </row>
    <row r="262" spans="1:70" x14ac:dyDescent="0.25">
      <c r="A262">
        <v>39</v>
      </c>
      <c r="B262" s="7">
        <v>45994.553611111114</v>
      </c>
      <c r="C262" t="s">
        <v>147</v>
      </c>
      <c r="D262" s="6" t="s">
        <v>293</v>
      </c>
      <c r="E262" s="6" t="str">
        <f>VLOOKUP(F262,Germplasm!$A$1:$B$21,2,FALSE)</f>
        <v>Heder</v>
      </c>
      <c r="F262" t="s">
        <v>77</v>
      </c>
      <c r="G262" s="6" t="s">
        <v>113</v>
      </c>
      <c r="H262">
        <v>42386.2</v>
      </c>
      <c r="I262">
        <v>575.07600000000002</v>
      </c>
      <c r="J262">
        <v>160147</v>
      </c>
      <c r="K262">
        <v>15.496</v>
      </c>
      <c r="L262">
        <v>84.183000000000007</v>
      </c>
      <c r="M262">
        <v>1604.09</v>
      </c>
      <c r="N262">
        <v>544.779</v>
      </c>
      <c r="O262">
        <v>28136300</v>
      </c>
      <c r="P262">
        <v>0.21523800000000001</v>
      </c>
      <c r="Q262">
        <v>0.34622599999999998</v>
      </c>
      <c r="R262">
        <v>6.1665599999999996</v>
      </c>
      <c r="S262">
        <v>25.472000000000001</v>
      </c>
      <c r="T262">
        <v>39.923099999999998</v>
      </c>
      <c r="U262">
        <v>26.914100000000001</v>
      </c>
      <c r="V262">
        <v>1.1779999999999999</v>
      </c>
      <c r="W262">
        <v>102.999</v>
      </c>
      <c r="X262">
        <v>3.0099800000000001</v>
      </c>
      <c r="Y262">
        <v>6.4264900000000003</v>
      </c>
      <c r="Z262">
        <v>7.4017499999999998</v>
      </c>
      <c r="AA262">
        <v>25.138300000000001</v>
      </c>
      <c r="AB262">
        <v>33.738799999999998</v>
      </c>
      <c r="AC262">
        <v>24.284700000000001</v>
      </c>
      <c r="AD262">
        <v>1.7079800000000001</v>
      </c>
      <c r="AE262">
        <v>11.5299</v>
      </c>
      <c r="AF262">
        <v>0</v>
      </c>
      <c r="AG262">
        <v>92.617999999999995</v>
      </c>
      <c r="AH262">
        <v>1.18424</v>
      </c>
      <c r="AI262">
        <v>1.12809</v>
      </c>
      <c r="AJ262">
        <v>5.0696599999999998</v>
      </c>
      <c r="AK262">
        <v>0</v>
      </c>
      <c r="AL262">
        <v>0.42606100000000002</v>
      </c>
      <c r="AM262">
        <v>8.0567700000000002</v>
      </c>
      <c r="AN262">
        <v>8.1794499999999992</v>
      </c>
      <c r="AO262">
        <v>10.2797</v>
      </c>
      <c r="AP262">
        <v>16.914100000000001</v>
      </c>
      <c r="AQ262">
        <v>30.8765</v>
      </c>
      <c r="AR262">
        <v>25.6935</v>
      </c>
      <c r="AS262">
        <v>0.120369</v>
      </c>
      <c r="AT262">
        <v>2.1938</v>
      </c>
      <c r="AU262">
        <v>25.592600000000001</v>
      </c>
      <c r="AV262">
        <v>42.686599999999999</v>
      </c>
      <c r="AW262">
        <v>20.9253</v>
      </c>
      <c r="AX262">
        <v>6.2445399999999998</v>
      </c>
      <c r="AY262">
        <v>2.35704</v>
      </c>
      <c r="AZ262">
        <v>663.80899999999997</v>
      </c>
      <c r="BA262">
        <v>700.19899999999996</v>
      </c>
      <c r="BB262">
        <v>24816.5</v>
      </c>
      <c r="BC262">
        <v>7.6247800000000004E-2</v>
      </c>
      <c r="BD262">
        <v>0.36182199999999998</v>
      </c>
      <c r="BE262">
        <v>0.31607400000000002</v>
      </c>
      <c r="BF262">
        <v>1.4254500000000001</v>
      </c>
      <c r="BG262">
        <v>25.6831</v>
      </c>
      <c r="BH262">
        <v>56.907899999999998</v>
      </c>
      <c r="BI262">
        <v>15.3057</v>
      </c>
      <c r="BJ262">
        <v>33.082999999999998</v>
      </c>
      <c r="BK262">
        <v>0</v>
      </c>
      <c r="BL262">
        <v>33.569299999999998</v>
      </c>
      <c r="BM262">
        <v>53.6432</v>
      </c>
      <c r="BN262">
        <v>9.9324200000000005</v>
      </c>
      <c r="BO262">
        <v>1.71865</v>
      </c>
      <c r="BP262">
        <v>1.1364099999999999</v>
      </c>
      <c r="BQ262">
        <v>35.875900000000001</v>
      </c>
      <c r="BR262">
        <v>96180</v>
      </c>
    </row>
    <row r="263" spans="1:70" x14ac:dyDescent="0.25">
      <c r="A263">
        <v>39</v>
      </c>
      <c r="B263" s="7">
        <v>46002.572939814818</v>
      </c>
      <c r="C263" t="s">
        <v>147</v>
      </c>
      <c r="D263" s="6" t="s">
        <v>294</v>
      </c>
      <c r="E263" s="6" t="str">
        <f>VLOOKUP(F263,Germplasm!$A$1:$B$21,2,FALSE)</f>
        <v>Heder</v>
      </c>
      <c r="F263" t="s">
        <v>77</v>
      </c>
      <c r="G263" s="6" t="s">
        <v>113</v>
      </c>
      <c r="H263">
        <v>73159.899999999994</v>
      </c>
      <c r="I263">
        <v>443.96800000000002</v>
      </c>
      <c r="J263">
        <v>210505</v>
      </c>
      <c r="K263">
        <v>19.2653</v>
      </c>
      <c r="L263">
        <v>69.901799999999994</v>
      </c>
      <c r="M263">
        <v>1766.56</v>
      </c>
      <c r="N263">
        <v>631.48900000000003</v>
      </c>
      <c r="O263">
        <v>43669700</v>
      </c>
      <c r="P263">
        <v>0.16395100000000001</v>
      </c>
      <c r="Q263">
        <v>0.83289100000000005</v>
      </c>
      <c r="R263">
        <v>13.727600000000001</v>
      </c>
      <c r="S263">
        <v>31.9556</v>
      </c>
      <c r="T263">
        <v>35.018000000000001</v>
      </c>
      <c r="U263">
        <v>17.5899</v>
      </c>
      <c r="V263">
        <v>0.87598100000000001</v>
      </c>
      <c r="W263">
        <v>88.016300000000001</v>
      </c>
      <c r="X263">
        <v>8.1541800000000002</v>
      </c>
      <c r="Y263">
        <v>12.795</v>
      </c>
      <c r="Z263">
        <v>11.6906</v>
      </c>
      <c r="AA263">
        <v>24.101299999999998</v>
      </c>
      <c r="AB263">
        <v>22.393599999999999</v>
      </c>
      <c r="AC263">
        <v>20.865400000000001</v>
      </c>
      <c r="AD263">
        <v>1.80399</v>
      </c>
      <c r="AE263">
        <v>11.6166</v>
      </c>
      <c r="AF263">
        <v>0</v>
      </c>
      <c r="AG263">
        <v>93.029300000000006</v>
      </c>
      <c r="AH263">
        <v>3.22</v>
      </c>
      <c r="AI263">
        <v>0.78507800000000005</v>
      </c>
      <c r="AJ263">
        <v>2.9655900000000002</v>
      </c>
      <c r="AK263">
        <v>0</v>
      </c>
      <c r="AL263">
        <v>0.33203899999999997</v>
      </c>
      <c r="AM263">
        <v>6.9801099999999998</v>
      </c>
      <c r="AN263">
        <v>20.612100000000002</v>
      </c>
      <c r="AO263">
        <v>15.729900000000001</v>
      </c>
      <c r="AP263">
        <v>20.980499999999999</v>
      </c>
      <c r="AQ263">
        <v>22.827500000000001</v>
      </c>
      <c r="AR263">
        <v>12.87</v>
      </c>
      <c r="AS263">
        <v>0.17122699999999999</v>
      </c>
      <c r="AT263">
        <v>2.73183</v>
      </c>
      <c r="AU263">
        <v>19.4038</v>
      </c>
      <c r="AV263">
        <v>35.025100000000002</v>
      </c>
      <c r="AW263">
        <v>28.284600000000001</v>
      </c>
      <c r="AX263">
        <v>11.5802</v>
      </c>
      <c r="AY263">
        <v>2.97444</v>
      </c>
      <c r="AZ263">
        <v>596.90700000000004</v>
      </c>
      <c r="BA263">
        <v>670.19899999999996</v>
      </c>
      <c r="BB263">
        <v>40554.400000000001</v>
      </c>
      <c r="BC263">
        <v>0.139732</v>
      </c>
      <c r="BD263">
        <v>0.46337299999999998</v>
      </c>
      <c r="BE263">
        <v>0.71365299999999998</v>
      </c>
      <c r="BF263">
        <v>1.9998800000000001</v>
      </c>
      <c r="BG263">
        <v>18.957599999999999</v>
      </c>
      <c r="BH263">
        <v>44.793100000000003</v>
      </c>
      <c r="BI263">
        <v>33.072400000000002</v>
      </c>
      <c r="BJ263">
        <v>33.084099999999999</v>
      </c>
      <c r="BK263">
        <v>0</v>
      </c>
      <c r="BL263">
        <v>34.470799999999997</v>
      </c>
      <c r="BM263">
        <v>52.029400000000003</v>
      </c>
      <c r="BN263">
        <v>10.487</v>
      </c>
      <c r="BO263">
        <v>1.8104</v>
      </c>
      <c r="BP263">
        <v>1.20241</v>
      </c>
      <c r="BQ263">
        <v>33.710999999999999</v>
      </c>
      <c r="BR263">
        <v>169410</v>
      </c>
    </row>
    <row r="264" spans="1:70" x14ac:dyDescent="0.25">
      <c r="A264">
        <v>39</v>
      </c>
      <c r="B264" s="7">
        <v>46013.610324074078</v>
      </c>
      <c r="C264" t="s">
        <v>147</v>
      </c>
      <c r="D264" s="6" t="s">
        <v>295</v>
      </c>
      <c r="E264" s="6" t="str">
        <f>VLOOKUP(F264,Germplasm!$A$1:$B$21,2,FALSE)</f>
        <v>Heder</v>
      </c>
      <c r="F264" t="s">
        <v>77</v>
      </c>
      <c r="G264" s="6" t="s">
        <v>113</v>
      </c>
      <c r="H264">
        <v>51534.5</v>
      </c>
      <c r="I264">
        <v>479.173</v>
      </c>
      <c r="J264">
        <v>162501</v>
      </c>
      <c r="K264">
        <v>17.411200000000001</v>
      </c>
      <c r="L264">
        <v>65.514399999999995</v>
      </c>
      <c r="M264">
        <v>1545.54</v>
      </c>
      <c r="N264">
        <v>607.81200000000001</v>
      </c>
      <c r="O264">
        <v>30880800</v>
      </c>
      <c r="P264">
        <v>8.8826199999999994E-2</v>
      </c>
      <c r="Q264">
        <v>0.86243099999999995</v>
      </c>
      <c r="R264">
        <v>22.572299999999998</v>
      </c>
      <c r="S264">
        <v>49.328299999999999</v>
      </c>
      <c r="T264">
        <v>19.272500000000001</v>
      </c>
      <c r="U264">
        <v>7.7297500000000001</v>
      </c>
      <c r="V264">
        <v>0.234759</v>
      </c>
      <c r="W264">
        <v>55.863999999999997</v>
      </c>
      <c r="X264">
        <v>12.2775</v>
      </c>
      <c r="Y264">
        <v>35.1982</v>
      </c>
      <c r="Z264">
        <v>18.395199999999999</v>
      </c>
      <c r="AA264">
        <v>16.4068</v>
      </c>
      <c r="AB264">
        <v>6.9982899999999999</v>
      </c>
      <c r="AC264">
        <v>10.724</v>
      </c>
      <c r="AD264">
        <v>1.8214300000000001</v>
      </c>
      <c r="AE264">
        <v>16.583600000000001</v>
      </c>
      <c r="AF264">
        <v>0</v>
      </c>
      <c r="AG264">
        <v>85.391400000000004</v>
      </c>
      <c r="AH264">
        <v>9.0345200000000006</v>
      </c>
      <c r="AI264">
        <v>1.0378799999999999</v>
      </c>
      <c r="AJ264">
        <v>4.5362099999999996</v>
      </c>
      <c r="AK264">
        <v>0</v>
      </c>
      <c r="AL264">
        <v>0.15065400000000001</v>
      </c>
      <c r="AM264">
        <v>20.363900000000001</v>
      </c>
      <c r="AN264">
        <v>40.204799999999999</v>
      </c>
      <c r="AO264">
        <v>17.116800000000001</v>
      </c>
      <c r="AP264">
        <v>12.085599999999999</v>
      </c>
      <c r="AQ264">
        <v>8.3170699999999993</v>
      </c>
      <c r="AR264">
        <v>1.91185</v>
      </c>
      <c r="AS264">
        <v>0.25377699999999997</v>
      </c>
      <c r="AT264">
        <v>1.0724800000000001</v>
      </c>
      <c r="AU264">
        <v>8.1218400000000006</v>
      </c>
      <c r="AV264">
        <v>26.690899999999999</v>
      </c>
      <c r="AW264">
        <v>44.7607</v>
      </c>
      <c r="AX264">
        <v>15.528700000000001</v>
      </c>
      <c r="AY264">
        <v>3.8253400000000002</v>
      </c>
      <c r="AZ264">
        <v>599.22500000000002</v>
      </c>
      <c r="BA264">
        <v>670.79899999999998</v>
      </c>
      <c r="BB264">
        <v>28293.5</v>
      </c>
      <c r="BC264">
        <v>0.28854400000000002</v>
      </c>
      <c r="BD264">
        <v>0.43657000000000001</v>
      </c>
      <c r="BE264">
        <v>0.41515299999999999</v>
      </c>
      <c r="BF264">
        <v>1.0996600000000001</v>
      </c>
      <c r="BG264">
        <v>7.2429399999999999</v>
      </c>
      <c r="BH264">
        <v>24.652999999999999</v>
      </c>
      <c r="BI264">
        <v>66.152699999999996</v>
      </c>
      <c r="BJ264">
        <v>32.653300000000002</v>
      </c>
      <c r="BK264">
        <v>0</v>
      </c>
      <c r="BL264">
        <v>34.685899999999997</v>
      </c>
      <c r="BM264">
        <v>52.165999999999997</v>
      </c>
      <c r="BN264">
        <v>10.425000000000001</v>
      </c>
      <c r="BO264">
        <v>1.7957000000000001</v>
      </c>
      <c r="BP264">
        <v>0.92750500000000002</v>
      </c>
      <c r="BQ264">
        <v>33.336599999999997</v>
      </c>
      <c r="BR264">
        <v>121401</v>
      </c>
    </row>
    <row r="265" spans="1:70" x14ac:dyDescent="0.25">
      <c r="A265">
        <v>39</v>
      </c>
      <c r="B265" s="7">
        <v>46024.534479166665</v>
      </c>
      <c r="C265" t="s">
        <v>147</v>
      </c>
      <c r="D265" s="6" t="s">
        <v>296</v>
      </c>
      <c r="E265" s="6" t="str">
        <f>VLOOKUP(F265,Germplasm!$A$1:$B$21,2,FALSE)</f>
        <v>Heder</v>
      </c>
      <c r="F265" t="s">
        <v>77</v>
      </c>
      <c r="G265" s="6" t="s">
        <v>113</v>
      </c>
      <c r="H265">
        <v>44004</v>
      </c>
      <c r="I265">
        <v>503.58</v>
      </c>
      <c r="J265">
        <v>152744</v>
      </c>
      <c r="K265">
        <v>14.6675</v>
      </c>
      <c r="L265">
        <v>83.0364</v>
      </c>
      <c r="M265">
        <v>1446.85</v>
      </c>
      <c r="N265">
        <v>505.53699999999998</v>
      </c>
      <c r="O265">
        <v>25971500</v>
      </c>
      <c r="P265">
        <v>2.77448E-2</v>
      </c>
      <c r="Q265">
        <v>0.98111499999999996</v>
      </c>
      <c r="R265">
        <v>31.303000000000001</v>
      </c>
      <c r="S265">
        <v>61.295299999999997</v>
      </c>
      <c r="T265">
        <v>5.25718</v>
      </c>
      <c r="U265">
        <v>1.1365000000000001</v>
      </c>
      <c r="V265">
        <v>2.6893500000000001E-2</v>
      </c>
      <c r="W265">
        <v>41.8705</v>
      </c>
      <c r="X265">
        <v>15.9618</v>
      </c>
      <c r="Y265">
        <v>48.287799999999997</v>
      </c>
      <c r="Z265">
        <v>14.084199999999999</v>
      </c>
      <c r="AA265">
        <v>6.9425100000000004</v>
      </c>
      <c r="AB265">
        <v>2.51803</v>
      </c>
      <c r="AC265">
        <v>12.2057</v>
      </c>
      <c r="AD265">
        <v>1.96414</v>
      </c>
      <c r="AE265">
        <v>20.725999999999999</v>
      </c>
      <c r="AF265">
        <v>0</v>
      </c>
      <c r="AG265">
        <v>77.697299999999998</v>
      </c>
      <c r="AH265">
        <v>15.597200000000001</v>
      </c>
      <c r="AI265">
        <v>1.55783</v>
      </c>
      <c r="AJ265">
        <v>5.1476199999999999</v>
      </c>
      <c r="AK265">
        <v>0</v>
      </c>
      <c r="AL265">
        <v>4.7697299999999998E-2</v>
      </c>
      <c r="AM265">
        <v>34.340000000000003</v>
      </c>
      <c r="AN265">
        <v>48.6693</v>
      </c>
      <c r="AO265">
        <v>11.4198</v>
      </c>
      <c r="AP265">
        <v>4.0509599999999999</v>
      </c>
      <c r="AQ265">
        <v>1.2879</v>
      </c>
      <c r="AR265">
        <v>0.23208100000000001</v>
      </c>
      <c r="AS265">
        <v>0.21510799999999999</v>
      </c>
      <c r="AT265">
        <v>1.5458799999999999</v>
      </c>
      <c r="AU265">
        <v>7.6467200000000002</v>
      </c>
      <c r="AV265">
        <v>29.900600000000001</v>
      </c>
      <c r="AW265">
        <v>53.095700000000001</v>
      </c>
      <c r="AX265">
        <v>6.5978700000000003</v>
      </c>
      <c r="AY265">
        <v>1.2132000000000001</v>
      </c>
      <c r="AZ265">
        <v>590.20600000000002</v>
      </c>
      <c r="BA265">
        <v>667.19899999999996</v>
      </c>
      <c r="BB265">
        <v>22403.7</v>
      </c>
      <c r="BC265">
        <v>0.29944900000000002</v>
      </c>
      <c r="BD265">
        <v>0.74305699999999997</v>
      </c>
      <c r="BE265">
        <v>0.75700199999999995</v>
      </c>
      <c r="BF265">
        <v>1.67537</v>
      </c>
      <c r="BG265">
        <v>6.0171700000000001</v>
      </c>
      <c r="BH265">
        <v>16.551500000000001</v>
      </c>
      <c r="BI265">
        <v>74.255899999999997</v>
      </c>
      <c r="BJ265">
        <v>26.662299999999998</v>
      </c>
      <c r="BK265">
        <v>0</v>
      </c>
      <c r="BL265">
        <v>49.2759</v>
      </c>
      <c r="BM265">
        <v>46.276699999999998</v>
      </c>
      <c r="BN265">
        <v>2.7540900000000001</v>
      </c>
      <c r="BO265">
        <v>0.80082900000000001</v>
      </c>
      <c r="BP265">
        <v>0.89246599999999998</v>
      </c>
      <c r="BQ265">
        <v>30.633700000000001</v>
      </c>
      <c r="BR265">
        <v>100396</v>
      </c>
    </row>
    <row r="266" spans="1:70" x14ac:dyDescent="0.25">
      <c r="A266">
        <v>39</v>
      </c>
      <c r="B266" s="7">
        <v>45952.563263888886</v>
      </c>
      <c r="C266" t="s">
        <v>146</v>
      </c>
      <c r="D266" s="6" t="s">
        <v>288</v>
      </c>
      <c r="E266" s="6" t="str">
        <f>VLOOKUP(F266,Germplasm!$A$1:$B$21,2,FALSE)</f>
        <v>Bamse</v>
      </c>
      <c r="F266" t="s">
        <v>69</v>
      </c>
      <c r="G266" s="6" t="s">
        <v>113</v>
      </c>
      <c r="H266">
        <v>26235.8</v>
      </c>
      <c r="I266">
        <v>290.94799999999998</v>
      </c>
      <c r="J266">
        <v>139481</v>
      </c>
      <c r="K266">
        <v>12.3919</v>
      </c>
      <c r="L266">
        <v>80.146500000000003</v>
      </c>
      <c r="M266">
        <v>1406.82</v>
      </c>
      <c r="N266">
        <v>498.80200000000002</v>
      </c>
      <c r="O266">
        <v>8901290</v>
      </c>
      <c r="P266">
        <v>0.26006499999999999</v>
      </c>
      <c r="Q266">
        <v>0.55310599999999999</v>
      </c>
      <c r="R266">
        <v>3.3747699999999998</v>
      </c>
      <c r="S266">
        <v>14.8018</v>
      </c>
      <c r="T266">
        <v>40.776299999999999</v>
      </c>
      <c r="U266">
        <v>40.031700000000001</v>
      </c>
      <c r="V266">
        <v>0.46229799999999999</v>
      </c>
      <c r="W266">
        <v>116.081</v>
      </c>
      <c r="X266">
        <v>0.87176200000000004</v>
      </c>
      <c r="Y266">
        <v>1.7005999999999999</v>
      </c>
      <c r="Z266">
        <v>3.2344300000000001</v>
      </c>
      <c r="AA266">
        <v>17.271799999999999</v>
      </c>
      <c r="AB266">
        <v>42.569400000000002</v>
      </c>
      <c r="AC266">
        <v>34.351999999999997</v>
      </c>
      <c r="AD266">
        <v>1.51789</v>
      </c>
      <c r="AE266">
        <v>6.7862099999999996</v>
      </c>
      <c r="AF266">
        <v>0</v>
      </c>
      <c r="AG266">
        <v>99.872900000000001</v>
      </c>
      <c r="AH266">
        <v>0.12383</v>
      </c>
      <c r="AI266">
        <v>3.3021299999999999E-3</v>
      </c>
      <c r="AJ266">
        <v>0</v>
      </c>
      <c r="AK266">
        <v>0</v>
      </c>
      <c r="AL266">
        <v>0.53264999999999996</v>
      </c>
      <c r="AM266">
        <v>0.59438299999999999</v>
      </c>
      <c r="AN266">
        <v>1.89872</v>
      </c>
      <c r="AO266">
        <v>3.93283</v>
      </c>
      <c r="AP266">
        <v>14.402200000000001</v>
      </c>
      <c r="AQ266">
        <v>45.110399999999998</v>
      </c>
      <c r="AR266">
        <v>34.061500000000002</v>
      </c>
      <c r="AS266">
        <v>4.8599999999999997E-2</v>
      </c>
      <c r="AT266">
        <v>6.9245599999999996</v>
      </c>
      <c r="AU266">
        <v>33.619</v>
      </c>
      <c r="AV266">
        <v>42.017899999999997</v>
      </c>
      <c r="AW266">
        <v>13.3934</v>
      </c>
      <c r="AX266">
        <v>2.61694</v>
      </c>
      <c r="AY266">
        <v>1.4281699999999999</v>
      </c>
      <c r="AZ266">
        <v>339.28</v>
      </c>
      <c r="BA266">
        <v>346.79899999999998</v>
      </c>
      <c r="BB266">
        <v>17284.3</v>
      </c>
      <c r="BC266">
        <v>1.53908E-2</v>
      </c>
      <c r="BD266">
        <v>4.2927699999999999E-2</v>
      </c>
      <c r="BE266">
        <v>0.47880899999999998</v>
      </c>
      <c r="BF266">
        <v>3.1832500000000001</v>
      </c>
      <c r="BG266">
        <v>36.838500000000003</v>
      </c>
      <c r="BH266">
        <v>55.267699999999998</v>
      </c>
      <c r="BI266">
        <v>4.1887499999999998</v>
      </c>
      <c r="BJ266">
        <v>34.4392</v>
      </c>
      <c r="BK266">
        <v>0</v>
      </c>
      <c r="BL266">
        <v>25.956399999999999</v>
      </c>
      <c r="BM266">
        <v>61.668900000000001</v>
      </c>
      <c r="BN266">
        <v>11.000999999999999</v>
      </c>
      <c r="BO266">
        <v>1.06494</v>
      </c>
      <c r="BP266">
        <v>0.308749</v>
      </c>
      <c r="BQ266">
        <v>41.243000000000002</v>
      </c>
      <c r="BR266">
        <v>60567</v>
      </c>
    </row>
    <row r="267" spans="1:70" x14ac:dyDescent="0.25">
      <c r="A267">
        <v>39</v>
      </c>
      <c r="B267" s="7">
        <v>45959.525613425925</v>
      </c>
      <c r="C267" t="s">
        <v>146</v>
      </c>
      <c r="D267" s="6" t="s">
        <v>289</v>
      </c>
      <c r="E267" s="6" t="str">
        <f>VLOOKUP(F267,Germplasm!$A$1:$B$21,2,FALSE)</f>
        <v>Bamse</v>
      </c>
      <c r="F267" t="s">
        <v>69</v>
      </c>
      <c r="G267" s="6" t="s">
        <v>113</v>
      </c>
      <c r="H267">
        <v>67795.199999999997</v>
      </c>
      <c r="I267">
        <v>478.96</v>
      </c>
      <c r="J267">
        <v>190235</v>
      </c>
      <c r="K267">
        <v>20.638300000000001</v>
      </c>
      <c r="L267">
        <v>72.717500000000001</v>
      </c>
      <c r="M267">
        <v>1643.46</v>
      </c>
      <c r="N267">
        <v>579.68899999999996</v>
      </c>
      <c r="O267">
        <v>36768000</v>
      </c>
      <c r="P267">
        <v>0.23966499999999999</v>
      </c>
      <c r="Q267">
        <v>0.43906200000000001</v>
      </c>
      <c r="R267">
        <v>2.86435</v>
      </c>
      <c r="S267">
        <v>18.293500000000002</v>
      </c>
      <c r="T267">
        <v>47.033299999999997</v>
      </c>
      <c r="U267">
        <v>30.892600000000002</v>
      </c>
      <c r="V267">
        <v>0.47714299999999998</v>
      </c>
      <c r="W267">
        <v>119.54900000000001</v>
      </c>
      <c r="X267">
        <v>0.72280900000000003</v>
      </c>
      <c r="Y267">
        <v>1.4986299999999999</v>
      </c>
      <c r="Z267">
        <v>2.7867000000000002</v>
      </c>
      <c r="AA267">
        <v>15.1723</v>
      </c>
      <c r="AB267">
        <v>39.589500000000001</v>
      </c>
      <c r="AC267">
        <v>40.2301</v>
      </c>
      <c r="AD267">
        <v>1.7267699999999999</v>
      </c>
      <c r="AE267">
        <v>6.77318</v>
      </c>
      <c r="AF267">
        <v>0</v>
      </c>
      <c r="AG267">
        <v>99.865600000000001</v>
      </c>
      <c r="AH267">
        <v>0.123206</v>
      </c>
      <c r="AI267">
        <v>8.2137400000000006E-3</v>
      </c>
      <c r="AJ267">
        <v>2.9868099999999999E-3</v>
      </c>
      <c r="AK267">
        <v>0</v>
      </c>
      <c r="AL267">
        <v>0.52973999999999999</v>
      </c>
      <c r="AM267">
        <v>0.47116999999999998</v>
      </c>
      <c r="AN267">
        <v>1.91604</v>
      </c>
      <c r="AO267">
        <v>4.2039400000000002</v>
      </c>
      <c r="AP267">
        <v>15.697900000000001</v>
      </c>
      <c r="AQ267">
        <v>44.5319</v>
      </c>
      <c r="AR267">
        <v>33.179000000000002</v>
      </c>
      <c r="AS267">
        <v>2.4827399999999999E-2</v>
      </c>
      <c r="AT267">
        <v>6.9271700000000003</v>
      </c>
      <c r="AU267">
        <v>39.972499999999997</v>
      </c>
      <c r="AV267">
        <v>40.129300000000001</v>
      </c>
      <c r="AW267">
        <v>9.8885900000000007</v>
      </c>
      <c r="AX267">
        <v>1.9108099999999999</v>
      </c>
      <c r="AY267">
        <v>1.1715800000000001</v>
      </c>
      <c r="AZ267">
        <v>542.34</v>
      </c>
      <c r="BA267">
        <v>604.79899999999998</v>
      </c>
      <c r="BB267">
        <v>39261.4</v>
      </c>
      <c r="BC267">
        <v>4.4387100000000002E-3</v>
      </c>
      <c r="BD267">
        <v>6.4216499999999996E-2</v>
      </c>
      <c r="BE267">
        <v>0.43532799999999999</v>
      </c>
      <c r="BF267">
        <v>3.0338599999999998</v>
      </c>
      <c r="BG267">
        <v>43.366300000000003</v>
      </c>
      <c r="BH267">
        <v>49.4542</v>
      </c>
      <c r="BI267">
        <v>3.64615</v>
      </c>
      <c r="BJ267">
        <v>31.604399999999998</v>
      </c>
      <c r="BK267">
        <v>0</v>
      </c>
      <c r="BL267">
        <v>33.866700000000002</v>
      </c>
      <c r="BM267">
        <v>57.3065</v>
      </c>
      <c r="BN267">
        <v>7.5611199999999998</v>
      </c>
      <c r="BO267">
        <v>0.83630800000000005</v>
      </c>
      <c r="BP267">
        <v>0.42935400000000001</v>
      </c>
      <c r="BQ267">
        <v>35.4375</v>
      </c>
      <c r="BR267">
        <v>133922</v>
      </c>
    </row>
    <row r="268" spans="1:70" x14ac:dyDescent="0.25">
      <c r="A268">
        <v>39</v>
      </c>
      <c r="B268" s="7">
        <v>45966.552627314813</v>
      </c>
      <c r="C268" t="s">
        <v>146</v>
      </c>
      <c r="D268" s="6" t="s">
        <v>290</v>
      </c>
      <c r="E268" s="6" t="str">
        <f>VLOOKUP(F268,Germplasm!$A$1:$B$21,2,FALSE)</f>
        <v>Bamse</v>
      </c>
      <c r="F268" t="s">
        <v>69</v>
      </c>
      <c r="G268" s="6" t="s">
        <v>113</v>
      </c>
      <c r="H268">
        <v>48476.9</v>
      </c>
      <c r="I268">
        <v>552.649</v>
      </c>
      <c r="J268">
        <v>122666</v>
      </c>
      <c r="K268">
        <v>22.306699999999999</v>
      </c>
      <c r="L268">
        <v>70.778700000000001</v>
      </c>
      <c r="M268">
        <v>1318.07</v>
      </c>
      <c r="N268">
        <v>478.99599999999998</v>
      </c>
      <c r="O268">
        <v>31050100</v>
      </c>
      <c r="P268">
        <v>0.24362800000000001</v>
      </c>
      <c r="Q268">
        <v>0.45650600000000002</v>
      </c>
      <c r="R268">
        <v>2.3641999999999999</v>
      </c>
      <c r="S268">
        <v>15.9107</v>
      </c>
      <c r="T268">
        <v>50.084800000000001</v>
      </c>
      <c r="U268">
        <v>30.589099999999998</v>
      </c>
      <c r="V268">
        <v>0.59471499999999999</v>
      </c>
      <c r="W268">
        <v>117.982</v>
      </c>
      <c r="X268">
        <v>0.63031400000000004</v>
      </c>
      <c r="Y268">
        <v>1.13289</v>
      </c>
      <c r="Z268">
        <v>2.68459</v>
      </c>
      <c r="AA268">
        <v>15.533799999999999</v>
      </c>
      <c r="AB268">
        <v>43.741900000000001</v>
      </c>
      <c r="AC268">
        <v>36.276499999999999</v>
      </c>
      <c r="AD268">
        <v>1.7716400000000001</v>
      </c>
      <c r="AE268">
        <v>6.8016300000000003</v>
      </c>
      <c r="AF268">
        <v>0</v>
      </c>
      <c r="AG268">
        <v>99.897400000000005</v>
      </c>
      <c r="AH268">
        <v>9.8421099999999997E-2</v>
      </c>
      <c r="AI268">
        <v>2.09407E-3</v>
      </c>
      <c r="AJ268">
        <v>2.09407E-3</v>
      </c>
      <c r="AK268">
        <v>0</v>
      </c>
      <c r="AL268">
        <v>0.52541400000000005</v>
      </c>
      <c r="AM268">
        <v>0.38216699999999998</v>
      </c>
      <c r="AN268">
        <v>2.0992999999999999</v>
      </c>
      <c r="AO268">
        <v>5.6445499999999997</v>
      </c>
      <c r="AP268">
        <v>14.668900000000001</v>
      </c>
      <c r="AQ268">
        <v>44.385800000000003</v>
      </c>
      <c r="AR268">
        <v>32.819200000000002</v>
      </c>
      <c r="AS268">
        <v>3.4275E-2</v>
      </c>
      <c r="AT268">
        <v>5.1430199999999999</v>
      </c>
      <c r="AU268">
        <v>38.187399999999997</v>
      </c>
      <c r="AV268">
        <v>44.358600000000003</v>
      </c>
      <c r="AW268">
        <v>9.0976700000000008</v>
      </c>
      <c r="AX268">
        <v>1.9275899999999999</v>
      </c>
      <c r="AY268">
        <v>1.28576</v>
      </c>
      <c r="AZ268">
        <v>640.51300000000003</v>
      </c>
      <c r="BA268">
        <v>647.97799999999995</v>
      </c>
      <c r="BB268">
        <v>27362.799999999999</v>
      </c>
      <c r="BC268">
        <v>1.09803E-2</v>
      </c>
      <c r="BD268">
        <v>6.3868999999999995E-2</v>
      </c>
      <c r="BE268">
        <v>0.40938999999999998</v>
      </c>
      <c r="BF268">
        <v>2.63748</v>
      </c>
      <c r="BG268">
        <v>40.219700000000003</v>
      </c>
      <c r="BH268">
        <v>52.766300000000001</v>
      </c>
      <c r="BI268">
        <v>3.90334</v>
      </c>
      <c r="BJ268">
        <v>31.620200000000001</v>
      </c>
      <c r="BK268">
        <v>0</v>
      </c>
      <c r="BL268">
        <v>31.451799999999999</v>
      </c>
      <c r="BM268">
        <v>60.9938</v>
      </c>
      <c r="BN268">
        <v>6.0686</v>
      </c>
      <c r="BO268">
        <v>0.77375700000000003</v>
      </c>
      <c r="BP268">
        <v>0.711982</v>
      </c>
      <c r="BQ268">
        <v>34.403300000000002</v>
      </c>
      <c r="BR268">
        <v>95508</v>
      </c>
    </row>
    <row r="269" spans="1:70" x14ac:dyDescent="0.25">
      <c r="A269">
        <v>39</v>
      </c>
      <c r="B269" s="7">
        <v>45973.557685185187</v>
      </c>
      <c r="C269" t="s">
        <v>146</v>
      </c>
      <c r="D269" s="6" t="s">
        <v>291</v>
      </c>
      <c r="E269" s="6" t="str">
        <f>VLOOKUP(F269,Germplasm!$A$1:$B$21,2,FALSE)</f>
        <v>Bamse</v>
      </c>
      <c r="F269" t="s">
        <v>69</v>
      </c>
      <c r="G269" s="6" t="s">
        <v>113</v>
      </c>
      <c r="H269">
        <v>80657</v>
      </c>
      <c r="I269">
        <v>560.78099999999995</v>
      </c>
      <c r="J269">
        <v>168840</v>
      </c>
      <c r="K269">
        <v>27.512699999999999</v>
      </c>
      <c r="L269">
        <v>70.647499999999994</v>
      </c>
      <c r="M269">
        <v>1571.51</v>
      </c>
      <c r="N269">
        <v>591.85599999999999</v>
      </c>
      <c r="O269">
        <v>55188800</v>
      </c>
      <c r="P269">
        <v>0.231295</v>
      </c>
      <c r="Q269">
        <v>0.58580699999999997</v>
      </c>
      <c r="R269">
        <v>3.4642599999999999</v>
      </c>
      <c r="S269">
        <v>20.191500000000001</v>
      </c>
      <c r="T269">
        <v>47.742100000000001</v>
      </c>
      <c r="U269">
        <v>26.736000000000001</v>
      </c>
      <c r="V269">
        <v>1.2804199999999999</v>
      </c>
      <c r="W269">
        <v>117.569</v>
      </c>
      <c r="X269">
        <v>1.5421499999999999</v>
      </c>
      <c r="Y269">
        <v>2.9455</v>
      </c>
      <c r="Z269">
        <v>4.0465400000000002</v>
      </c>
      <c r="AA269">
        <v>15.3927</v>
      </c>
      <c r="AB269">
        <v>35.0137</v>
      </c>
      <c r="AC269">
        <v>41.059399999999997</v>
      </c>
      <c r="AD269">
        <v>1.7363299999999999</v>
      </c>
      <c r="AE269">
        <v>6.1019100000000002</v>
      </c>
      <c r="AF269">
        <v>0</v>
      </c>
      <c r="AG269">
        <v>99.873500000000007</v>
      </c>
      <c r="AH269">
        <v>0.125278</v>
      </c>
      <c r="AI269">
        <v>1.17632E-3</v>
      </c>
      <c r="AJ269">
        <v>0</v>
      </c>
      <c r="AK269">
        <v>0</v>
      </c>
      <c r="AL269">
        <v>0.51946599999999998</v>
      </c>
      <c r="AM269">
        <v>0.59462899999999996</v>
      </c>
      <c r="AN269">
        <v>3.77128</v>
      </c>
      <c r="AO269">
        <v>6.3309499999999996</v>
      </c>
      <c r="AP269">
        <v>16.261399999999998</v>
      </c>
      <c r="AQ269">
        <v>36.907600000000002</v>
      </c>
      <c r="AR269">
        <v>36.134099999999997</v>
      </c>
      <c r="AS269">
        <v>4.35853E-2</v>
      </c>
      <c r="AT269">
        <v>5.7157299999999998</v>
      </c>
      <c r="AU269">
        <v>41.2988</v>
      </c>
      <c r="AV269">
        <v>35.556600000000003</v>
      </c>
      <c r="AW269">
        <v>12.0143</v>
      </c>
      <c r="AX269">
        <v>3.2172299999999998</v>
      </c>
      <c r="AY269">
        <v>2.1973600000000002</v>
      </c>
      <c r="AZ269">
        <v>684.24099999999999</v>
      </c>
      <c r="BA269">
        <v>741.59900000000005</v>
      </c>
      <c r="BB269">
        <v>46452.6</v>
      </c>
      <c r="BC269">
        <v>1.9647999999999999E-2</v>
      </c>
      <c r="BD269">
        <v>8.2930400000000001E-2</v>
      </c>
      <c r="BE269">
        <v>0.38583200000000001</v>
      </c>
      <c r="BF269">
        <v>2.4155700000000002</v>
      </c>
      <c r="BG269">
        <v>44.127200000000002</v>
      </c>
      <c r="BH269">
        <v>44.891300000000001</v>
      </c>
      <c r="BI269">
        <v>8.0971899999999994</v>
      </c>
      <c r="BJ269">
        <v>32.032299999999999</v>
      </c>
      <c r="BK269">
        <v>0</v>
      </c>
      <c r="BL269">
        <v>35.213700000000003</v>
      </c>
      <c r="BM269">
        <v>54.453499999999998</v>
      </c>
      <c r="BN269">
        <v>7.7719399999999998</v>
      </c>
      <c r="BO269">
        <v>1.4656899999999999</v>
      </c>
      <c r="BP269">
        <v>1.0951500000000001</v>
      </c>
      <c r="BQ269">
        <v>35.215899999999998</v>
      </c>
      <c r="BR269">
        <v>170022</v>
      </c>
    </row>
    <row r="270" spans="1:70" x14ac:dyDescent="0.25">
      <c r="A270">
        <v>39</v>
      </c>
      <c r="B270" s="7">
        <v>45988.546851851854</v>
      </c>
      <c r="C270" t="s">
        <v>146</v>
      </c>
      <c r="D270" s="6" t="s">
        <v>292</v>
      </c>
      <c r="E270" s="6" t="str">
        <f>VLOOKUP(F270,Germplasm!$A$1:$B$21,2,FALSE)</f>
        <v>Bamse</v>
      </c>
      <c r="F270" t="s">
        <v>69</v>
      </c>
      <c r="G270" s="6" t="s">
        <v>113</v>
      </c>
      <c r="H270">
        <v>78140.2</v>
      </c>
      <c r="I270">
        <v>424.72399999999999</v>
      </c>
      <c r="J270">
        <v>182583</v>
      </c>
      <c r="K270">
        <v>25.324999999999999</v>
      </c>
      <c r="L270">
        <v>83.79</v>
      </c>
      <c r="M270">
        <v>1608.2</v>
      </c>
      <c r="N270">
        <v>577.44399999999996</v>
      </c>
      <c r="O270">
        <v>50988300</v>
      </c>
      <c r="P270">
        <v>0.18557899999999999</v>
      </c>
      <c r="Q270">
        <v>0.72352700000000003</v>
      </c>
      <c r="R270">
        <v>9.9864300000000004</v>
      </c>
      <c r="S270">
        <v>25.348700000000001</v>
      </c>
      <c r="T270">
        <v>44.9283</v>
      </c>
      <c r="U270">
        <v>18.538699999999999</v>
      </c>
      <c r="V270">
        <v>0.47426600000000002</v>
      </c>
      <c r="W270">
        <v>93.944900000000004</v>
      </c>
      <c r="X270">
        <v>5.7510599999999998</v>
      </c>
      <c r="Y270">
        <v>9.6349800000000005</v>
      </c>
      <c r="Z270">
        <v>8.3546200000000006</v>
      </c>
      <c r="AA270">
        <v>26.700299999999999</v>
      </c>
      <c r="AB270">
        <v>30.829899999999999</v>
      </c>
      <c r="AC270">
        <v>18.729099999999999</v>
      </c>
      <c r="AD270">
        <v>1.6899200000000001</v>
      </c>
      <c r="AE270">
        <v>7.5779500000000004</v>
      </c>
      <c r="AF270">
        <v>0</v>
      </c>
      <c r="AG270">
        <v>99.4452</v>
      </c>
      <c r="AH270">
        <v>0.55115999999999998</v>
      </c>
      <c r="AI270">
        <v>3.61247E-3</v>
      </c>
      <c r="AJ270">
        <v>0</v>
      </c>
      <c r="AK270">
        <v>0</v>
      </c>
      <c r="AL270">
        <v>0.39473999999999998</v>
      </c>
      <c r="AM270">
        <v>1.8067500000000001</v>
      </c>
      <c r="AN270">
        <v>13.306800000000001</v>
      </c>
      <c r="AO270">
        <v>14.652200000000001</v>
      </c>
      <c r="AP270">
        <v>24.496200000000002</v>
      </c>
      <c r="AQ270">
        <v>32.799700000000001</v>
      </c>
      <c r="AR270">
        <v>12.9383</v>
      </c>
      <c r="AS270">
        <v>0.14715900000000001</v>
      </c>
      <c r="AT270">
        <v>1.3479699999999999</v>
      </c>
      <c r="AU270">
        <v>19.465599999999998</v>
      </c>
      <c r="AV270">
        <v>43.537500000000001</v>
      </c>
      <c r="AW270">
        <v>27.039899999999999</v>
      </c>
      <c r="AX270">
        <v>7.1919199999999996</v>
      </c>
      <c r="AY270">
        <v>1.4171199999999999</v>
      </c>
      <c r="AZ270">
        <v>652.524</v>
      </c>
      <c r="BA270">
        <v>723.6</v>
      </c>
      <c r="BB270">
        <v>46239</v>
      </c>
      <c r="BC270">
        <v>0.116192</v>
      </c>
      <c r="BD270">
        <v>7.6894100000000007E-2</v>
      </c>
      <c r="BE270">
        <v>0.24152000000000001</v>
      </c>
      <c r="BF270">
        <v>1.0579400000000001</v>
      </c>
      <c r="BG270">
        <v>19.435099999999998</v>
      </c>
      <c r="BH270">
        <v>56.03</v>
      </c>
      <c r="BI270">
        <v>23.1585</v>
      </c>
      <c r="BJ270">
        <v>31.333400000000001</v>
      </c>
      <c r="BK270">
        <v>0</v>
      </c>
      <c r="BL270">
        <v>34.2684</v>
      </c>
      <c r="BM270">
        <v>57.131799999999998</v>
      </c>
      <c r="BN270">
        <v>7.2502399999999998</v>
      </c>
      <c r="BO270">
        <v>0.89744199999999996</v>
      </c>
      <c r="BP270">
        <v>0.452075</v>
      </c>
      <c r="BQ270">
        <v>36.336199999999998</v>
      </c>
      <c r="BR270">
        <v>193773</v>
      </c>
    </row>
    <row r="271" spans="1:70" x14ac:dyDescent="0.25">
      <c r="A271">
        <v>39</v>
      </c>
      <c r="B271" s="7">
        <v>45994.553611111114</v>
      </c>
      <c r="C271" t="s">
        <v>146</v>
      </c>
      <c r="D271" s="6" t="s">
        <v>293</v>
      </c>
      <c r="E271" s="6" t="str">
        <f>VLOOKUP(F271,Germplasm!$A$1:$B$21,2,FALSE)</f>
        <v>Bamse</v>
      </c>
      <c r="F271" t="s">
        <v>69</v>
      </c>
      <c r="G271" s="6" t="s">
        <v>113</v>
      </c>
      <c r="H271">
        <v>41597.5</v>
      </c>
      <c r="I271">
        <v>407.68099999999998</v>
      </c>
      <c r="J271">
        <v>166338</v>
      </c>
      <c r="K271">
        <v>14.792199999999999</v>
      </c>
      <c r="L271">
        <v>70.531899999999993</v>
      </c>
      <c r="M271">
        <v>1517.08</v>
      </c>
      <c r="N271">
        <v>556.34100000000001</v>
      </c>
      <c r="O271">
        <v>26883500</v>
      </c>
      <c r="P271">
        <v>0.17100399999999999</v>
      </c>
      <c r="Q271">
        <v>0.40814400000000001</v>
      </c>
      <c r="R271">
        <v>11.417400000000001</v>
      </c>
      <c r="S271">
        <v>29.932500000000001</v>
      </c>
      <c r="T271">
        <v>42.073500000000003</v>
      </c>
      <c r="U271">
        <v>15.933</v>
      </c>
      <c r="V271">
        <v>0.23543</v>
      </c>
      <c r="W271">
        <v>78.150700000000001</v>
      </c>
      <c r="X271">
        <v>6.7811700000000004</v>
      </c>
      <c r="Y271">
        <v>19.312000000000001</v>
      </c>
      <c r="Z271">
        <v>12.722899999999999</v>
      </c>
      <c r="AA271">
        <v>31.346</v>
      </c>
      <c r="AB271">
        <v>21.452100000000002</v>
      </c>
      <c r="AC271">
        <v>8.3857599999999994</v>
      </c>
      <c r="AD271">
        <v>1.6906099999999999</v>
      </c>
      <c r="AE271">
        <v>8.9180299999999999</v>
      </c>
      <c r="AF271">
        <v>0</v>
      </c>
      <c r="AG271">
        <v>98.05</v>
      </c>
      <c r="AH271">
        <v>1.9500200000000001</v>
      </c>
      <c r="AI271">
        <v>0</v>
      </c>
      <c r="AJ271">
        <v>0</v>
      </c>
      <c r="AK271">
        <v>0</v>
      </c>
      <c r="AL271">
        <v>0.33352599999999999</v>
      </c>
      <c r="AM271">
        <v>4.0544200000000004</v>
      </c>
      <c r="AN271">
        <v>20.902200000000001</v>
      </c>
      <c r="AO271">
        <v>16.6191</v>
      </c>
      <c r="AP271">
        <v>24.4529</v>
      </c>
      <c r="AQ271">
        <v>25.324200000000001</v>
      </c>
      <c r="AR271">
        <v>8.64724</v>
      </c>
      <c r="AS271">
        <v>0.22821</v>
      </c>
      <c r="AT271">
        <v>0.43323</v>
      </c>
      <c r="AU271">
        <v>8.86144</v>
      </c>
      <c r="AV271">
        <v>35.105200000000004</v>
      </c>
      <c r="AW271">
        <v>38.644300000000001</v>
      </c>
      <c r="AX271">
        <v>15.635899999999999</v>
      </c>
      <c r="AY271">
        <v>1.31995</v>
      </c>
      <c r="AZ271">
        <v>646.27700000000004</v>
      </c>
      <c r="BA271">
        <v>691.79899999999998</v>
      </c>
      <c r="BB271">
        <v>24605</v>
      </c>
      <c r="BC271">
        <v>0.202899</v>
      </c>
      <c r="BD271">
        <v>3.7630299999999998E-2</v>
      </c>
      <c r="BE271">
        <v>0.12639900000000001</v>
      </c>
      <c r="BF271">
        <v>0.38981100000000002</v>
      </c>
      <c r="BG271">
        <v>8.7331099999999999</v>
      </c>
      <c r="BH271">
        <v>50.4313</v>
      </c>
      <c r="BI271">
        <v>40.281700000000001</v>
      </c>
      <c r="BJ271">
        <v>34.386499999999998</v>
      </c>
      <c r="BK271">
        <v>0</v>
      </c>
      <c r="BL271">
        <v>25.5838</v>
      </c>
      <c r="BM271">
        <v>62.146900000000002</v>
      </c>
      <c r="BN271">
        <v>11.3711</v>
      </c>
      <c r="BO271">
        <v>0.68313400000000002</v>
      </c>
      <c r="BP271">
        <v>0.215168</v>
      </c>
      <c r="BQ271">
        <v>36.302799999999998</v>
      </c>
      <c r="BR271">
        <v>103640</v>
      </c>
    </row>
    <row r="272" spans="1:70" x14ac:dyDescent="0.25">
      <c r="A272">
        <v>39</v>
      </c>
      <c r="B272" s="7">
        <v>46002.572939814818</v>
      </c>
      <c r="C272" t="s">
        <v>146</v>
      </c>
      <c r="D272" s="6" t="s">
        <v>294</v>
      </c>
      <c r="E272" s="6" t="str">
        <f>VLOOKUP(F272,Germplasm!$A$1:$B$21,2,FALSE)</f>
        <v>Bamse</v>
      </c>
      <c r="F272" t="s">
        <v>69</v>
      </c>
      <c r="G272" s="6" t="s">
        <v>113</v>
      </c>
      <c r="H272">
        <v>61595.199999999997</v>
      </c>
      <c r="I272">
        <v>377.33300000000003</v>
      </c>
      <c r="J272">
        <v>177008</v>
      </c>
      <c r="K272">
        <v>20.127800000000001</v>
      </c>
      <c r="L272">
        <v>79.566800000000001</v>
      </c>
      <c r="M272">
        <v>1617.81</v>
      </c>
      <c r="N272">
        <v>582.62599999999998</v>
      </c>
      <c r="O272">
        <v>37165900</v>
      </c>
      <c r="P272">
        <v>0.108206</v>
      </c>
      <c r="Q272">
        <v>0.85397400000000001</v>
      </c>
      <c r="R272">
        <v>21.532</v>
      </c>
      <c r="S272">
        <v>40.825200000000002</v>
      </c>
      <c r="T272">
        <v>27.453099999999999</v>
      </c>
      <c r="U272">
        <v>9.17544</v>
      </c>
      <c r="V272">
        <v>0.160244</v>
      </c>
      <c r="W272">
        <v>58.593200000000003</v>
      </c>
      <c r="X272">
        <v>11.8712</v>
      </c>
      <c r="Y272">
        <v>33.595100000000002</v>
      </c>
      <c r="Z272">
        <v>16.395600000000002</v>
      </c>
      <c r="AA272">
        <v>22.0352</v>
      </c>
      <c r="AB272">
        <v>9.6845199999999991</v>
      </c>
      <c r="AC272">
        <v>6.4183199999999996</v>
      </c>
      <c r="AD272">
        <v>1.72885</v>
      </c>
      <c r="AE272">
        <v>11.5992</v>
      </c>
      <c r="AF272">
        <v>0</v>
      </c>
      <c r="AG272">
        <v>93.494600000000005</v>
      </c>
      <c r="AH272">
        <v>6.5040500000000003</v>
      </c>
      <c r="AI272">
        <v>1.3188799999999999E-3</v>
      </c>
      <c r="AJ272">
        <v>0</v>
      </c>
      <c r="AK272">
        <v>0</v>
      </c>
      <c r="AL272">
        <v>0.22428999999999999</v>
      </c>
      <c r="AM272">
        <v>6.3490799999999998</v>
      </c>
      <c r="AN272">
        <v>38.369500000000002</v>
      </c>
      <c r="AO272">
        <v>22.5383</v>
      </c>
      <c r="AP272">
        <v>18.394400000000001</v>
      </c>
      <c r="AQ272">
        <v>11.2751</v>
      </c>
      <c r="AR272">
        <v>3.0736500000000002</v>
      </c>
      <c r="AS272">
        <v>0.27219300000000002</v>
      </c>
      <c r="AT272">
        <v>0.58228500000000005</v>
      </c>
      <c r="AU272">
        <v>4.7875300000000003</v>
      </c>
      <c r="AV272">
        <v>24.517299999999999</v>
      </c>
      <c r="AW272">
        <v>51.982300000000002</v>
      </c>
      <c r="AX272">
        <v>15.670299999999999</v>
      </c>
      <c r="AY272">
        <v>2.4603700000000002</v>
      </c>
      <c r="AZ272">
        <v>603.39</v>
      </c>
      <c r="BA272">
        <v>646.19899999999996</v>
      </c>
      <c r="BB272">
        <v>35627.9</v>
      </c>
      <c r="BC272">
        <v>0.27917799999999998</v>
      </c>
      <c r="BD272">
        <v>6.3965599999999997E-2</v>
      </c>
      <c r="BE272">
        <v>0.19980999999999999</v>
      </c>
      <c r="BF272">
        <v>0.54337800000000003</v>
      </c>
      <c r="BG272">
        <v>4.5600199999999997</v>
      </c>
      <c r="BH272">
        <v>30.236599999999999</v>
      </c>
      <c r="BI272">
        <v>64.396199999999993</v>
      </c>
      <c r="BJ272">
        <v>33.891300000000001</v>
      </c>
      <c r="BK272">
        <v>0</v>
      </c>
      <c r="BL272">
        <v>24.632000000000001</v>
      </c>
      <c r="BM272">
        <v>64.985799999999998</v>
      </c>
      <c r="BN272">
        <v>9.0323399999999996</v>
      </c>
      <c r="BO272">
        <v>0.95552700000000002</v>
      </c>
      <c r="BP272">
        <v>0.394345</v>
      </c>
      <c r="BQ272">
        <v>35.384</v>
      </c>
      <c r="BR272">
        <v>151644</v>
      </c>
    </row>
    <row r="273" spans="1:70" x14ac:dyDescent="0.25">
      <c r="A273">
        <v>39</v>
      </c>
      <c r="B273" s="7">
        <v>46013.610324074078</v>
      </c>
      <c r="C273" t="s">
        <v>146</v>
      </c>
      <c r="D273" s="6" t="s">
        <v>295</v>
      </c>
      <c r="E273" s="6" t="str">
        <f>VLOOKUP(F273,Germplasm!$A$1:$B$21,2,FALSE)</f>
        <v>Bamse</v>
      </c>
      <c r="F273" t="s">
        <v>69</v>
      </c>
      <c r="G273" s="6" t="s">
        <v>113</v>
      </c>
      <c r="H273">
        <v>51147.4</v>
      </c>
      <c r="I273">
        <v>405.07900000000001</v>
      </c>
      <c r="J273">
        <v>148780</v>
      </c>
      <c r="K273">
        <v>18.570399999999999</v>
      </c>
      <c r="L273">
        <v>72.253799999999998</v>
      </c>
      <c r="M273">
        <v>1491.04</v>
      </c>
      <c r="N273">
        <v>545.00599999999997</v>
      </c>
      <c r="O273">
        <v>30232500</v>
      </c>
      <c r="P273">
        <v>1.6259599999999999E-2</v>
      </c>
      <c r="Q273">
        <v>1.00667</v>
      </c>
      <c r="R273">
        <v>38.570900000000002</v>
      </c>
      <c r="S273">
        <v>55.236199999999997</v>
      </c>
      <c r="T273">
        <v>4.1283300000000001</v>
      </c>
      <c r="U273">
        <v>1.01905</v>
      </c>
      <c r="V273">
        <v>3.8888199999999998E-2</v>
      </c>
      <c r="W273">
        <v>35.453499999999998</v>
      </c>
      <c r="X273">
        <v>20.612500000000001</v>
      </c>
      <c r="Y273">
        <v>57.488199999999999</v>
      </c>
      <c r="Z273">
        <v>10.072900000000001</v>
      </c>
      <c r="AA273">
        <v>4.2273199999999997</v>
      </c>
      <c r="AB273">
        <v>1.2117199999999999</v>
      </c>
      <c r="AC273">
        <v>6.3873800000000003</v>
      </c>
      <c r="AD273">
        <v>1.8512200000000001</v>
      </c>
      <c r="AE273">
        <v>16.412299999999998</v>
      </c>
      <c r="AF273">
        <v>0</v>
      </c>
      <c r="AG273">
        <v>83.592699999999994</v>
      </c>
      <c r="AH273">
        <v>16.198699999999999</v>
      </c>
      <c r="AI273">
        <v>0.20858199999999999</v>
      </c>
      <c r="AJ273">
        <v>0</v>
      </c>
      <c r="AK273">
        <v>0</v>
      </c>
      <c r="AL273">
        <v>8.62121E-2</v>
      </c>
      <c r="AM273">
        <v>18.745899999999999</v>
      </c>
      <c r="AN273">
        <v>59.706600000000002</v>
      </c>
      <c r="AO273">
        <v>14.8712</v>
      </c>
      <c r="AP273">
        <v>4.8627900000000004</v>
      </c>
      <c r="AQ273">
        <v>1.48217</v>
      </c>
      <c r="AR273">
        <v>0.33143299999999998</v>
      </c>
      <c r="AS273">
        <v>0.276584</v>
      </c>
      <c r="AT273">
        <v>0.57625199999999999</v>
      </c>
      <c r="AU273">
        <v>3.1145900000000002</v>
      </c>
      <c r="AV273">
        <v>21.302800000000001</v>
      </c>
      <c r="AW273">
        <v>60.259</v>
      </c>
      <c r="AX273">
        <v>12.956799999999999</v>
      </c>
      <c r="AY273">
        <v>1.7906200000000001</v>
      </c>
      <c r="AZ273">
        <v>591.08600000000001</v>
      </c>
      <c r="BA273">
        <v>637.19899999999996</v>
      </c>
      <c r="BB273">
        <v>27629</v>
      </c>
      <c r="BC273">
        <v>0.35691299999999998</v>
      </c>
      <c r="BD273">
        <v>7.7776300000000007E-2</v>
      </c>
      <c r="BE273">
        <v>0.32701400000000003</v>
      </c>
      <c r="BF273">
        <v>0.68761300000000003</v>
      </c>
      <c r="BG273">
        <v>2.5984400000000001</v>
      </c>
      <c r="BH273">
        <v>11.0646</v>
      </c>
      <c r="BI273">
        <v>85.244600000000005</v>
      </c>
      <c r="BJ273">
        <v>29.446200000000001</v>
      </c>
      <c r="BK273">
        <v>0</v>
      </c>
      <c r="BL273">
        <v>36.870399999999997</v>
      </c>
      <c r="BM273">
        <v>58.379100000000001</v>
      </c>
      <c r="BN273">
        <v>3.7942499999999999</v>
      </c>
      <c r="BO273">
        <v>0.61072099999999996</v>
      </c>
      <c r="BP273">
        <v>0.34557399999999999</v>
      </c>
      <c r="BQ273">
        <v>32.7331</v>
      </c>
      <c r="BR273">
        <v>113145</v>
      </c>
    </row>
    <row r="274" spans="1:70" x14ac:dyDescent="0.25">
      <c r="A274">
        <v>39</v>
      </c>
      <c r="B274" s="7">
        <v>46024.534479166665</v>
      </c>
      <c r="C274" t="s">
        <v>146</v>
      </c>
      <c r="D274" s="6" t="s">
        <v>296</v>
      </c>
      <c r="E274" s="6" t="str">
        <f>VLOOKUP(F274,Germplasm!$A$1:$B$21,2,FALSE)</f>
        <v>Bamse</v>
      </c>
      <c r="F274" t="s">
        <v>69</v>
      </c>
      <c r="G274" s="6" t="s">
        <v>113</v>
      </c>
      <c r="H274">
        <v>40648.199999999997</v>
      </c>
      <c r="I274">
        <v>462.09500000000003</v>
      </c>
      <c r="J274">
        <v>160730</v>
      </c>
      <c r="K274">
        <v>13.215199999999999</v>
      </c>
      <c r="L274">
        <v>62.915900000000001</v>
      </c>
      <c r="M274">
        <v>1587.08</v>
      </c>
      <c r="N274">
        <v>629.20799999999997</v>
      </c>
      <c r="O274">
        <v>21879100</v>
      </c>
      <c r="P274">
        <v>4.83746E-3</v>
      </c>
      <c r="Q274">
        <v>1.1122399999999999</v>
      </c>
      <c r="R274">
        <v>41.021599999999999</v>
      </c>
      <c r="S274">
        <v>56.2179</v>
      </c>
      <c r="T274">
        <v>1.4293499999999999</v>
      </c>
      <c r="U274">
        <v>0.1976</v>
      </c>
      <c r="V274">
        <v>2.12982E-2</v>
      </c>
      <c r="W274">
        <v>33.280700000000003</v>
      </c>
      <c r="X274">
        <v>22.5974</v>
      </c>
      <c r="Y274">
        <v>59.378300000000003</v>
      </c>
      <c r="Z274">
        <v>8.5145700000000009</v>
      </c>
      <c r="AA274">
        <v>2.2221199999999999</v>
      </c>
      <c r="AB274">
        <v>0.78330200000000005</v>
      </c>
      <c r="AC274">
        <v>6.5042499999999999</v>
      </c>
      <c r="AD274">
        <v>1.9136899999999999</v>
      </c>
      <c r="AE274">
        <v>19.067599999999999</v>
      </c>
      <c r="AF274">
        <v>0</v>
      </c>
      <c r="AG274">
        <v>76.390900000000002</v>
      </c>
      <c r="AH274">
        <v>23.166599999999999</v>
      </c>
      <c r="AI274">
        <v>0.440164</v>
      </c>
      <c r="AJ274">
        <v>2.3664699999999999E-3</v>
      </c>
      <c r="AK274">
        <v>0</v>
      </c>
      <c r="AL274">
        <v>7.56323E-2</v>
      </c>
      <c r="AM274">
        <v>16.752300000000002</v>
      </c>
      <c r="AN274">
        <v>67.364000000000004</v>
      </c>
      <c r="AO274">
        <v>12.5364</v>
      </c>
      <c r="AP274">
        <v>2.3996</v>
      </c>
      <c r="AQ274">
        <v>0.72532399999999997</v>
      </c>
      <c r="AR274">
        <v>0.22244800000000001</v>
      </c>
      <c r="AS274">
        <v>0.26003599999999999</v>
      </c>
      <c r="AT274">
        <v>0.57386899999999996</v>
      </c>
      <c r="AU274">
        <v>3.1391200000000001</v>
      </c>
      <c r="AV274">
        <v>25.036100000000001</v>
      </c>
      <c r="AW274">
        <v>60.554499999999997</v>
      </c>
      <c r="AX274">
        <v>8.9346099999999993</v>
      </c>
      <c r="AY274">
        <v>1.7618400000000001</v>
      </c>
      <c r="AZ274">
        <v>538.255</v>
      </c>
      <c r="BA274">
        <v>566.99900000000002</v>
      </c>
      <c r="BB274">
        <v>21240.7</v>
      </c>
      <c r="BC274">
        <v>0.34322799999999998</v>
      </c>
      <c r="BD274">
        <v>9.7025299999999995E-2</v>
      </c>
      <c r="BE274">
        <v>0.24729599999999999</v>
      </c>
      <c r="BF274">
        <v>0.66261199999999998</v>
      </c>
      <c r="BG274">
        <v>2.7048800000000002</v>
      </c>
      <c r="BH274">
        <v>10.654999999999999</v>
      </c>
      <c r="BI274">
        <v>85.633099999999999</v>
      </c>
      <c r="BJ274">
        <v>27.4026</v>
      </c>
      <c r="BK274">
        <v>0</v>
      </c>
      <c r="BL274">
        <v>43.966700000000003</v>
      </c>
      <c r="BM274">
        <v>52.243400000000001</v>
      </c>
      <c r="BN274">
        <v>2.84687</v>
      </c>
      <c r="BO274">
        <v>0.62238199999999999</v>
      </c>
      <c r="BP274">
        <v>0.32065700000000003</v>
      </c>
      <c r="BQ274">
        <v>31.531500000000001</v>
      </c>
      <c r="BR274">
        <v>84514</v>
      </c>
    </row>
    <row r="275" spans="1:70" x14ac:dyDescent="0.25">
      <c r="A275">
        <v>39</v>
      </c>
      <c r="B275" s="7">
        <v>45952.563263888886</v>
      </c>
      <c r="C275" t="s">
        <v>149</v>
      </c>
      <c r="D275" s="6" t="s">
        <v>288</v>
      </c>
      <c r="E275" s="6" t="str">
        <f>VLOOKUP(F275,Germplasm!$A$1:$B$21,2,FALSE)</f>
        <v>Thermus</v>
      </c>
      <c r="F275" t="s">
        <v>75</v>
      </c>
      <c r="G275" s="6" t="s">
        <v>113</v>
      </c>
      <c r="H275">
        <v>22129.599999999999</v>
      </c>
      <c r="I275">
        <v>251.63399999999999</v>
      </c>
      <c r="J275">
        <v>141202</v>
      </c>
      <c r="K275">
        <v>9.9102999999999994</v>
      </c>
      <c r="L275">
        <v>62.4315</v>
      </c>
      <c r="M275">
        <v>1452.15</v>
      </c>
      <c r="N275">
        <v>572.88199999999995</v>
      </c>
      <c r="O275">
        <v>6439780</v>
      </c>
      <c r="P275">
        <v>0.256303</v>
      </c>
      <c r="Q275">
        <v>0.86607599999999996</v>
      </c>
      <c r="R275">
        <v>4.9457000000000004</v>
      </c>
      <c r="S275">
        <v>16.148800000000001</v>
      </c>
      <c r="T275">
        <v>36.315399999999997</v>
      </c>
      <c r="U275">
        <v>41.126100000000001</v>
      </c>
      <c r="V275">
        <v>0.59795900000000002</v>
      </c>
      <c r="W275">
        <v>116.72</v>
      </c>
      <c r="X275">
        <v>1.1901299999999999</v>
      </c>
      <c r="Y275">
        <v>1.8343799999999999</v>
      </c>
      <c r="Z275">
        <v>3.6572</v>
      </c>
      <c r="AA275">
        <v>16.613600000000002</v>
      </c>
      <c r="AB275">
        <v>39.611899999999999</v>
      </c>
      <c r="AC275">
        <v>37.092799999999997</v>
      </c>
      <c r="AD275">
        <v>1.58142</v>
      </c>
      <c r="AE275">
        <v>6.3627000000000002</v>
      </c>
      <c r="AF275">
        <v>0</v>
      </c>
      <c r="AG275">
        <v>100</v>
      </c>
      <c r="AH275">
        <v>0</v>
      </c>
      <c r="AI275">
        <v>0</v>
      </c>
      <c r="AJ275">
        <v>0</v>
      </c>
      <c r="AK275">
        <v>0</v>
      </c>
      <c r="AL275">
        <v>0.53991900000000004</v>
      </c>
      <c r="AM275">
        <v>0.69054599999999999</v>
      </c>
      <c r="AN275">
        <v>2.73325</v>
      </c>
      <c r="AO275">
        <v>5.2138200000000001</v>
      </c>
      <c r="AP275">
        <v>13.5717</v>
      </c>
      <c r="AQ275">
        <v>36.633699999999997</v>
      </c>
      <c r="AR275">
        <v>41.156999999999996</v>
      </c>
      <c r="AS275">
        <v>4.1093200000000003E-2</v>
      </c>
      <c r="AT275">
        <v>8.7070600000000002</v>
      </c>
      <c r="AU275">
        <v>33.809800000000003</v>
      </c>
      <c r="AV275">
        <v>39.6235</v>
      </c>
      <c r="AW275">
        <v>13.5486</v>
      </c>
      <c r="AX275">
        <v>2.9897999999999998</v>
      </c>
      <c r="AY275">
        <v>1.3212999999999999</v>
      </c>
      <c r="AZ275">
        <v>291.00299999999999</v>
      </c>
      <c r="BA275">
        <v>318.59899999999999</v>
      </c>
      <c r="BB275">
        <v>13993.6</v>
      </c>
      <c r="BC275">
        <v>1.2331999999999999E-2</v>
      </c>
      <c r="BD275">
        <v>2.8933500000000001E-2</v>
      </c>
      <c r="BE275">
        <v>0.49765599999999999</v>
      </c>
      <c r="BF275">
        <v>3.4546600000000001</v>
      </c>
      <c r="BG275">
        <v>38.535600000000002</v>
      </c>
      <c r="BH275">
        <v>52.9985</v>
      </c>
      <c r="BI275">
        <v>4.4846899999999996</v>
      </c>
      <c r="BJ275">
        <v>34.886899999999997</v>
      </c>
      <c r="BK275">
        <v>0</v>
      </c>
      <c r="BL275">
        <v>27.4328</v>
      </c>
      <c r="BM275">
        <v>57.350099999999998</v>
      </c>
      <c r="BN275">
        <v>13.729900000000001</v>
      </c>
      <c r="BO275">
        <v>1.1496200000000001</v>
      </c>
      <c r="BP275">
        <v>0.33755800000000002</v>
      </c>
      <c r="BQ275">
        <v>39.243200000000002</v>
      </c>
      <c r="BR275">
        <v>51843</v>
      </c>
    </row>
    <row r="276" spans="1:70" x14ac:dyDescent="0.25">
      <c r="A276">
        <v>39</v>
      </c>
      <c r="B276" s="7">
        <v>45959.525613425925</v>
      </c>
      <c r="C276" t="s">
        <v>149</v>
      </c>
      <c r="D276" s="6" t="s">
        <v>289</v>
      </c>
      <c r="E276" s="6" t="str">
        <f>VLOOKUP(F276,Germplasm!$A$1:$B$21,2,FALSE)</f>
        <v>Thermus</v>
      </c>
      <c r="F276" t="s">
        <v>75</v>
      </c>
      <c r="G276" s="6" t="s">
        <v>113</v>
      </c>
      <c r="H276">
        <v>49020.3</v>
      </c>
      <c r="I276">
        <v>367.125</v>
      </c>
      <c r="J276">
        <v>203740</v>
      </c>
      <c r="K276">
        <v>14.4346</v>
      </c>
      <c r="L276">
        <v>83.513599999999997</v>
      </c>
      <c r="M276">
        <v>1679.88</v>
      </c>
      <c r="N276">
        <v>580.28700000000003</v>
      </c>
      <c r="O276">
        <v>19782400</v>
      </c>
      <c r="P276">
        <v>0.25467000000000001</v>
      </c>
      <c r="Q276">
        <v>0.52941800000000006</v>
      </c>
      <c r="R276">
        <v>3.0998899999999998</v>
      </c>
      <c r="S276">
        <v>16.002400000000002</v>
      </c>
      <c r="T276">
        <v>42.832700000000003</v>
      </c>
      <c r="U276">
        <v>36.756700000000002</v>
      </c>
      <c r="V276">
        <v>0.77890199999999998</v>
      </c>
      <c r="W276">
        <v>115.81699999999999</v>
      </c>
      <c r="X276">
        <v>0.89676900000000004</v>
      </c>
      <c r="Y276">
        <v>2.0430199999999998</v>
      </c>
      <c r="Z276">
        <v>3.7589600000000001</v>
      </c>
      <c r="AA276">
        <v>17.5336</v>
      </c>
      <c r="AB276">
        <v>40.374200000000002</v>
      </c>
      <c r="AC276">
        <v>35.3934</v>
      </c>
      <c r="AD276">
        <v>1.6668499999999999</v>
      </c>
      <c r="AE276">
        <v>6.7622</v>
      </c>
      <c r="AF276">
        <v>0</v>
      </c>
      <c r="AG276">
        <v>99.869399999999999</v>
      </c>
      <c r="AH276">
        <v>0.12965299999999999</v>
      </c>
      <c r="AI276">
        <v>9.8222200000000004E-4</v>
      </c>
      <c r="AJ276">
        <v>0</v>
      </c>
      <c r="AK276">
        <v>0</v>
      </c>
      <c r="AL276">
        <v>0.538053</v>
      </c>
      <c r="AM276">
        <v>0.451822</v>
      </c>
      <c r="AN276">
        <v>2.3435800000000002</v>
      </c>
      <c r="AO276">
        <v>4.7706499999999998</v>
      </c>
      <c r="AP276">
        <v>14.6027</v>
      </c>
      <c r="AQ276">
        <v>39.440100000000001</v>
      </c>
      <c r="AR276">
        <v>38.391100000000002</v>
      </c>
      <c r="AS276">
        <v>4.9727300000000002E-2</v>
      </c>
      <c r="AT276">
        <v>6.9610099999999999</v>
      </c>
      <c r="AU276">
        <v>34.799100000000003</v>
      </c>
      <c r="AV276">
        <v>40.444000000000003</v>
      </c>
      <c r="AW276">
        <v>12.751200000000001</v>
      </c>
      <c r="AX276">
        <v>3.1922199999999998</v>
      </c>
      <c r="AY276">
        <v>1.8524700000000001</v>
      </c>
      <c r="AZ276">
        <v>403.55500000000001</v>
      </c>
      <c r="BA276">
        <v>441.59899999999999</v>
      </c>
      <c r="BB276">
        <v>29408.9</v>
      </c>
      <c r="BC276">
        <v>1.9093200000000001E-2</v>
      </c>
      <c r="BD276">
        <v>6.7773299999999995E-2</v>
      </c>
      <c r="BE276">
        <v>0.34574199999999999</v>
      </c>
      <c r="BF276">
        <v>2.67361</v>
      </c>
      <c r="BG276">
        <v>38.673000000000002</v>
      </c>
      <c r="BH276">
        <v>52.725700000000003</v>
      </c>
      <c r="BI276">
        <v>5.5141900000000001</v>
      </c>
      <c r="BJ276">
        <v>34.160899999999998</v>
      </c>
      <c r="BK276">
        <v>0</v>
      </c>
      <c r="BL276">
        <v>28.364599999999999</v>
      </c>
      <c r="BM276">
        <v>58.741799999999998</v>
      </c>
      <c r="BN276">
        <v>10.927199999999999</v>
      </c>
      <c r="BO276">
        <v>1.3976999999999999</v>
      </c>
      <c r="BP276">
        <v>0.56870600000000004</v>
      </c>
      <c r="BQ276">
        <v>36.909999999999997</v>
      </c>
      <c r="BR276">
        <v>101810</v>
      </c>
    </row>
    <row r="277" spans="1:70" x14ac:dyDescent="0.25">
      <c r="A277">
        <v>39</v>
      </c>
      <c r="B277" s="7">
        <v>45966.552627314813</v>
      </c>
      <c r="C277" t="s">
        <v>149</v>
      </c>
      <c r="D277" s="6" t="s">
        <v>290</v>
      </c>
      <c r="E277" s="6" t="str">
        <f>VLOOKUP(F277,Germplasm!$A$1:$B$21,2,FALSE)</f>
        <v>Thermus</v>
      </c>
      <c r="F277" t="s">
        <v>75</v>
      </c>
      <c r="G277" s="6" t="s">
        <v>113</v>
      </c>
      <c r="H277">
        <v>58685.5</v>
      </c>
      <c r="I277">
        <v>425.51499999999999</v>
      </c>
      <c r="J277">
        <v>201845</v>
      </c>
      <c r="K277">
        <v>17.242100000000001</v>
      </c>
      <c r="L277">
        <v>74.873500000000007</v>
      </c>
      <c r="M277">
        <v>1701.38</v>
      </c>
      <c r="N277">
        <v>598.10699999999997</v>
      </c>
      <c r="O277">
        <v>31270000</v>
      </c>
      <c r="P277">
        <v>0.26572200000000001</v>
      </c>
      <c r="Q277">
        <v>0.41316399999999998</v>
      </c>
      <c r="R277">
        <v>2.19625</v>
      </c>
      <c r="S277">
        <v>12.3049</v>
      </c>
      <c r="T277">
        <v>44.877499999999998</v>
      </c>
      <c r="U277">
        <v>39.6023</v>
      </c>
      <c r="V277">
        <v>0.60586200000000001</v>
      </c>
      <c r="W277">
        <v>116.154</v>
      </c>
      <c r="X277">
        <v>0.57136100000000001</v>
      </c>
      <c r="Y277">
        <v>1.27904</v>
      </c>
      <c r="Z277">
        <v>2.5606100000000001</v>
      </c>
      <c r="AA277">
        <v>15.016999999999999</v>
      </c>
      <c r="AB277">
        <v>48.5809</v>
      </c>
      <c r="AC277">
        <v>31.991199999999999</v>
      </c>
      <c r="AD277">
        <v>1.6862600000000001</v>
      </c>
      <c r="AE277">
        <v>6.7073600000000004</v>
      </c>
      <c r="AF277">
        <v>0</v>
      </c>
      <c r="AG277">
        <v>99.906599999999997</v>
      </c>
      <c r="AH277">
        <v>8.7513400000000005E-2</v>
      </c>
      <c r="AI277">
        <v>5.8903200000000001E-3</v>
      </c>
      <c r="AJ277">
        <v>0</v>
      </c>
      <c r="AK277">
        <v>0</v>
      </c>
      <c r="AL277">
        <v>0.55470399999999997</v>
      </c>
      <c r="AM277">
        <v>0.39885900000000002</v>
      </c>
      <c r="AN277">
        <v>1.7578400000000001</v>
      </c>
      <c r="AO277">
        <v>3.7109000000000001</v>
      </c>
      <c r="AP277">
        <v>11.305199999999999</v>
      </c>
      <c r="AQ277">
        <v>40.4236</v>
      </c>
      <c r="AR277">
        <v>42.403599999999997</v>
      </c>
      <c r="AS277">
        <v>4.4567700000000002E-2</v>
      </c>
      <c r="AT277">
        <v>4.80145</v>
      </c>
      <c r="AU277">
        <v>34.978400000000001</v>
      </c>
      <c r="AV277">
        <v>46.722900000000003</v>
      </c>
      <c r="AW277">
        <v>10.096</v>
      </c>
      <c r="AX277">
        <v>2.1112600000000001</v>
      </c>
      <c r="AY277">
        <v>1.2899799999999999</v>
      </c>
      <c r="AZ277">
        <v>532.84</v>
      </c>
      <c r="BA277">
        <v>608.399</v>
      </c>
      <c r="BB277">
        <v>34802.199999999997</v>
      </c>
      <c r="BC277">
        <v>1.7427399999999999E-2</v>
      </c>
      <c r="BD277">
        <v>4.2073699999999999E-2</v>
      </c>
      <c r="BE277">
        <v>0.23224700000000001</v>
      </c>
      <c r="BF277">
        <v>1.66107</v>
      </c>
      <c r="BG277">
        <v>37.844499999999996</v>
      </c>
      <c r="BH277">
        <v>56.737299999999998</v>
      </c>
      <c r="BI277">
        <v>3.4828600000000001</v>
      </c>
      <c r="BJ277">
        <v>33.761099999999999</v>
      </c>
      <c r="BK277">
        <v>0</v>
      </c>
      <c r="BL277">
        <v>25.476500000000001</v>
      </c>
      <c r="BM277">
        <v>64.711100000000002</v>
      </c>
      <c r="BN277">
        <v>8.3550000000000004</v>
      </c>
      <c r="BO277">
        <v>0.89196299999999995</v>
      </c>
      <c r="BP277">
        <v>0.56547099999999995</v>
      </c>
      <c r="BQ277">
        <v>36.4206</v>
      </c>
      <c r="BR277">
        <v>118839</v>
      </c>
    </row>
    <row r="278" spans="1:70" x14ac:dyDescent="0.25">
      <c r="A278">
        <v>39</v>
      </c>
      <c r="B278" s="7">
        <v>45973.557685185187</v>
      </c>
      <c r="C278" t="s">
        <v>149</v>
      </c>
      <c r="D278" s="6" t="s">
        <v>291</v>
      </c>
      <c r="E278" s="6" t="str">
        <f>VLOOKUP(F278,Germplasm!$A$1:$B$21,2,FALSE)</f>
        <v>Thermus</v>
      </c>
      <c r="F278" t="s">
        <v>75</v>
      </c>
      <c r="G278" s="6" t="s">
        <v>113</v>
      </c>
      <c r="H278">
        <v>74420.5</v>
      </c>
      <c r="I278">
        <v>536.41</v>
      </c>
      <c r="J278">
        <v>172056</v>
      </c>
      <c r="K278">
        <v>24.774000000000001</v>
      </c>
      <c r="L278">
        <v>75.547200000000004</v>
      </c>
      <c r="M278">
        <v>1675.35</v>
      </c>
      <c r="N278">
        <v>593.15200000000004</v>
      </c>
      <c r="O278">
        <v>49938800</v>
      </c>
      <c r="P278">
        <v>0.24520500000000001</v>
      </c>
      <c r="Q278">
        <v>0.48363699999999998</v>
      </c>
      <c r="R278">
        <v>2.81291</v>
      </c>
      <c r="S278">
        <v>16.930499999999999</v>
      </c>
      <c r="T278">
        <v>46.8157</v>
      </c>
      <c r="U278">
        <v>32.254899999999999</v>
      </c>
      <c r="V278">
        <v>0.70243999999999995</v>
      </c>
      <c r="W278">
        <v>117.48099999999999</v>
      </c>
      <c r="X278">
        <v>0.83296499999999996</v>
      </c>
      <c r="Y278">
        <v>1.71827</v>
      </c>
      <c r="Z278">
        <v>2.92578</v>
      </c>
      <c r="AA278">
        <v>15.3049</v>
      </c>
      <c r="AB278">
        <v>42.0291</v>
      </c>
      <c r="AC278">
        <v>37.189</v>
      </c>
      <c r="AD278">
        <v>1.74593</v>
      </c>
      <c r="AE278">
        <v>6.6497299999999999</v>
      </c>
      <c r="AF278">
        <v>0</v>
      </c>
      <c r="AG278">
        <v>99.843599999999995</v>
      </c>
      <c r="AH278">
        <v>0.15637799999999999</v>
      </c>
      <c r="AI278">
        <v>0</v>
      </c>
      <c r="AJ278">
        <v>0</v>
      </c>
      <c r="AK278">
        <v>0</v>
      </c>
      <c r="AL278">
        <v>0.531003</v>
      </c>
      <c r="AM278">
        <v>0.54543200000000003</v>
      </c>
      <c r="AN278">
        <v>2.5821299999999998</v>
      </c>
      <c r="AO278">
        <v>5.9013799999999996</v>
      </c>
      <c r="AP278">
        <v>14.9404</v>
      </c>
      <c r="AQ278">
        <v>37.975900000000003</v>
      </c>
      <c r="AR278">
        <v>38.054699999999997</v>
      </c>
      <c r="AS278">
        <v>3.94691E-2</v>
      </c>
      <c r="AT278">
        <v>5.0129299999999999</v>
      </c>
      <c r="AU278">
        <v>39.274900000000002</v>
      </c>
      <c r="AV278">
        <v>41.548000000000002</v>
      </c>
      <c r="AW278">
        <v>10.093999999999999</v>
      </c>
      <c r="AX278">
        <v>2.4799799999999999</v>
      </c>
      <c r="AY278">
        <v>1.59026</v>
      </c>
      <c r="AZ278">
        <v>671.03499999999997</v>
      </c>
      <c r="BA278">
        <v>813.59900000000005</v>
      </c>
      <c r="BB278">
        <v>42625.1</v>
      </c>
      <c r="BC278">
        <v>1.427E-2</v>
      </c>
      <c r="BD278">
        <v>4.2247300000000002E-2</v>
      </c>
      <c r="BE278">
        <v>0.30455900000000002</v>
      </c>
      <c r="BF278">
        <v>2.1539799999999998</v>
      </c>
      <c r="BG278">
        <v>41.7864</v>
      </c>
      <c r="BH278">
        <v>51.1905</v>
      </c>
      <c r="BI278">
        <v>4.5223500000000003</v>
      </c>
      <c r="BJ278">
        <v>32.164900000000003</v>
      </c>
      <c r="BK278">
        <v>0</v>
      </c>
      <c r="BL278">
        <v>32.078899999999997</v>
      </c>
      <c r="BM278">
        <v>58.357999999999997</v>
      </c>
      <c r="BN278">
        <v>7.7558499999999997</v>
      </c>
      <c r="BO278">
        <v>1.2125600000000001</v>
      </c>
      <c r="BP278">
        <v>0.594615</v>
      </c>
      <c r="BQ278">
        <v>34.992800000000003</v>
      </c>
      <c r="BR278">
        <v>158590</v>
      </c>
    </row>
    <row r="279" spans="1:70" x14ac:dyDescent="0.25">
      <c r="A279">
        <v>39</v>
      </c>
      <c r="B279" s="7">
        <v>45988.546851851854</v>
      </c>
      <c r="C279" t="s">
        <v>149</v>
      </c>
      <c r="D279" s="6" t="s">
        <v>292</v>
      </c>
      <c r="E279" s="6" t="str">
        <f>VLOOKUP(F279,Germplasm!$A$1:$B$21,2,FALSE)</f>
        <v>Thermus</v>
      </c>
      <c r="F279" t="s">
        <v>75</v>
      </c>
      <c r="G279" s="6" t="s">
        <v>113</v>
      </c>
      <c r="H279">
        <v>74379.8</v>
      </c>
      <c r="I279">
        <v>574.505</v>
      </c>
      <c r="J279">
        <v>179189</v>
      </c>
      <c r="K279">
        <v>24.744800000000001</v>
      </c>
      <c r="L279">
        <v>66.452200000000005</v>
      </c>
      <c r="M279">
        <v>1586.57</v>
      </c>
      <c r="N279">
        <v>576.63499999999999</v>
      </c>
      <c r="O279">
        <v>56603500</v>
      </c>
      <c r="P279">
        <v>0.20413700000000001</v>
      </c>
      <c r="Q279">
        <v>0.59038199999999996</v>
      </c>
      <c r="R279">
        <v>5.9599099999999998</v>
      </c>
      <c r="S279">
        <v>24.215599999999998</v>
      </c>
      <c r="T279">
        <v>46.863399999999999</v>
      </c>
      <c r="U279">
        <v>21.9313</v>
      </c>
      <c r="V279">
        <v>0.43931500000000001</v>
      </c>
      <c r="W279">
        <v>94.974599999999995</v>
      </c>
      <c r="X279">
        <v>3.06521</v>
      </c>
      <c r="Y279">
        <v>7.2506399999999998</v>
      </c>
      <c r="Z279">
        <v>9.5055300000000003</v>
      </c>
      <c r="AA279">
        <v>33.616799999999998</v>
      </c>
      <c r="AB279">
        <v>31.523499999999999</v>
      </c>
      <c r="AC279">
        <v>15.038399999999999</v>
      </c>
      <c r="AD279">
        <v>1.6774899999999999</v>
      </c>
      <c r="AE279">
        <v>7.3002599999999997</v>
      </c>
      <c r="AF279">
        <v>0</v>
      </c>
      <c r="AG279">
        <v>99.608999999999995</v>
      </c>
      <c r="AH279">
        <v>0.39099600000000001</v>
      </c>
      <c r="AI279">
        <v>0</v>
      </c>
      <c r="AJ279">
        <v>0</v>
      </c>
      <c r="AK279">
        <v>0</v>
      </c>
      <c r="AL279">
        <v>0.41145300000000001</v>
      </c>
      <c r="AM279">
        <v>1.70783</v>
      </c>
      <c r="AN279">
        <v>8.5552600000000005</v>
      </c>
      <c r="AO279">
        <v>14.816700000000001</v>
      </c>
      <c r="AP279">
        <v>26.206199999999999</v>
      </c>
      <c r="AQ279">
        <v>36.959099999999999</v>
      </c>
      <c r="AR279">
        <v>11.754899999999999</v>
      </c>
      <c r="AS279">
        <v>0.15501200000000001</v>
      </c>
      <c r="AT279">
        <v>1.3418300000000001</v>
      </c>
      <c r="AU279">
        <v>15.537599999999999</v>
      </c>
      <c r="AV279">
        <v>46.909500000000001</v>
      </c>
      <c r="AW279">
        <v>28.4316</v>
      </c>
      <c r="AX279">
        <v>6.0321100000000003</v>
      </c>
      <c r="AY279">
        <v>1.74726</v>
      </c>
      <c r="AZ279">
        <v>761.00699999999995</v>
      </c>
      <c r="BA279">
        <v>857.4</v>
      </c>
      <c r="BB279">
        <v>44339.8</v>
      </c>
      <c r="BC279">
        <v>0.108607</v>
      </c>
      <c r="BD279">
        <v>5.1651500000000003E-2</v>
      </c>
      <c r="BE279">
        <v>0.26158999999999999</v>
      </c>
      <c r="BF279">
        <v>1.0619099999999999</v>
      </c>
      <c r="BG279">
        <v>15.502700000000001</v>
      </c>
      <c r="BH279">
        <v>63.7973</v>
      </c>
      <c r="BI279">
        <v>19.3249</v>
      </c>
      <c r="BJ279">
        <v>32.2102</v>
      </c>
      <c r="BK279">
        <v>0</v>
      </c>
      <c r="BL279">
        <v>31.571300000000001</v>
      </c>
      <c r="BM279">
        <v>59.308100000000003</v>
      </c>
      <c r="BN279">
        <v>7.6355300000000002</v>
      </c>
      <c r="BO279">
        <v>0.94083399999999995</v>
      </c>
      <c r="BP279">
        <v>0.54428399999999999</v>
      </c>
      <c r="BQ279">
        <v>36.6464</v>
      </c>
      <c r="BR279">
        <v>180053</v>
      </c>
    </row>
    <row r="280" spans="1:70" x14ac:dyDescent="0.25">
      <c r="A280">
        <v>39</v>
      </c>
      <c r="B280" s="7">
        <v>45994.553611111114</v>
      </c>
      <c r="C280" t="s">
        <v>149</v>
      </c>
      <c r="D280" s="6" t="s">
        <v>293</v>
      </c>
      <c r="E280" s="6" t="str">
        <f>VLOOKUP(F280,Germplasm!$A$1:$B$21,2,FALSE)</f>
        <v>Thermus</v>
      </c>
      <c r="F280" t="s">
        <v>75</v>
      </c>
      <c r="G280" s="6" t="s">
        <v>113</v>
      </c>
      <c r="H280">
        <v>37693.9</v>
      </c>
      <c r="I280">
        <v>512.48699999999997</v>
      </c>
      <c r="J280">
        <v>182135</v>
      </c>
      <c r="K280">
        <v>12.1305</v>
      </c>
      <c r="L280">
        <v>73.449799999999996</v>
      </c>
      <c r="M280">
        <v>1619.93</v>
      </c>
      <c r="N280">
        <v>561.32100000000003</v>
      </c>
      <c r="O280">
        <v>28589600</v>
      </c>
      <c r="P280">
        <v>0.18298300000000001</v>
      </c>
      <c r="Q280">
        <v>0.28465800000000002</v>
      </c>
      <c r="R280">
        <v>6.49221</v>
      </c>
      <c r="S280">
        <v>31.804300000000001</v>
      </c>
      <c r="T280">
        <v>45.6875</v>
      </c>
      <c r="U280">
        <v>15.354699999999999</v>
      </c>
      <c r="V280">
        <v>0.37655499999999997</v>
      </c>
      <c r="W280">
        <v>80.038899999999998</v>
      </c>
      <c r="X280">
        <v>3.5044300000000002</v>
      </c>
      <c r="Y280">
        <v>16.092099999999999</v>
      </c>
      <c r="Z280">
        <v>17.419</v>
      </c>
      <c r="AA280">
        <v>37.554600000000001</v>
      </c>
      <c r="AB280">
        <v>18.080200000000001</v>
      </c>
      <c r="AC280">
        <v>7.3495499999999998</v>
      </c>
      <c r="AD280">
        <v>1.70608</v>
      </c>
      <c r="AE280">
        <v>8.7839299999999998</v>
      </c>
      <c r="AF280">
        <v>0</v>
      </c>
      <c r="AG280">
        <v>98.269599999999997</v>
      </c>
      <c r="AH280">
        <v>1.7270000000000001</v>
      </c>
      <c r="AI280">
        <v>3.3620999999999998E-3</v>
      </c>
      <c r="AJ280">
        <v>0</v>
      </c>
      <c r="AK280">
        <v>0</v>
      </c>
      <c r="AL280">
        <v>0.33538499999999999</v>
      </c>
      <c r="AM280">
        <v>3.2107999999999999</v>
      </c>
      <c r="AN280">
        <v>17.127600000000001</v>
      </c>
      <c r="AO280">
        <v>20.104199999999999</v>
      </c>
      <c r="AP280">
        <v>28.008500000000002</v>
      </c>
      <c r="AQ280">
        <v>25.486899999999999</v>
      </c>
      <c r="AR280">
        <v>6.0618600000000002</v>
      </c>
      <c r="AS280">
        <v>0.23802400000000001</v>
      </c>
      <c r="AT280">
        <v>0.35526200000000002</v>
      </c>
      <c r="AU280">
        <v>7.8280799999999999</v>
      </c>
      <c r="AV280">
        <v>34.631900000000002</v>
      </c>
      <c r="AW280">
        <v>38.686500000000002</v>
      </c>
      <c r="AX280">
        <v>16.587499999999999</v>
      </c>
      <c r="AY280">
        <v>1.91079</v>
      </c>
      <c r="AZ280">
        <v>758.46699999999998</v>
      </c>
      <c r="BA280">
        <v>847.19899999999996</v>
      </c>
      <c r="BB280">
        <v>22093.9</v>
      </c>
      <c r="BC280">
        <v>0.20064899999999999</v>
      </c>
      <c r="BD280">
        <v>2.3534699999999999E-2</v>
      </c>
      <c r="BE280">
        <v>6.0517799999999997E-2</v>
      </c>
      <c r="BF280">
        <v>0.28353699999999998</v>
      </c>
      <c r="BG280">
        <v>7.81576</v>
      </c>
      <c r="BH280">
        <v>51.983600000000003</v>
      </c>
      <c r="BI280">
        <v>39.832999999999998</v>
      </c>
      <c r="BJ280">
        <v>34.753100000000003</v>
      </c>
      <c r="BK280">
        <v>0</v>
      </c>
      <c r="BL280">
        <v>26.057400000000001</v>
      </c>
      <c r="BM280">
        <v>60.552500000000002</v>
      </c>
      <c r="BN280">
        <v>12.3378</v>
      </c>
      <c r="BO280">
        <v>0.76431700000000002</v>
      </c>
      <c r="BP280">
        <v>0.28802</v>
      </c>
      <c r="BQ280">
        <v>35.9191</v>
      </c>
      <c r="BR280">
        <v>89230</v>
      </c>
    </row>
    <row r="281" spans="1:70" x14ac:dyDescent="0.25">
      <c r="A281">
        <v>39</v>
      </c>
      <c r="B281" s="7">
        <v>46002.572939814818</v>
      </c>
      <c r="C281" t="s">
        <v>149</v>
      </c>
      <c r="D281" s="6" t="s">
        <v>294</v>
      </c>
      <c r="E281" s="6" t="str">
        <f>VLOOKUP(F281,Germplasm!$A$1:$B$21,2,FALSE)</f>
        <v>Thermus</v>
      </c>
      <c r="F281" t="s">
        <v>75</v>
      </c>
      <c r="G281" s="6" t="s">
        <v>113</v>
      </c>
      <c r="H281">
        <v>56092</v>
      </c>
      <c r="I281">
        <v>590.85400000000004</v>
      </c>
      <c r="J281">
        <v>158782</v>
      </c>
      <c r="K281">
        <v>19.307600000000001</v>
      </c>
      <c r="L281">
        <v>89.303399999999996</v>
      </c>
      <c r="M281">
        <v>1467.5</v>
      </c>
      <c r="N281">
        <v>491.52199999999999</v>
      </c>
      <c r="O281">
        <v>41858700</v>
      </c>
      <c r="P281">
        <v>0.104307</v>
      </c>
      <c r="Q281">
        <v>0.80048200000000003</v>
      </c>
      <c r="R281">
        <v>19.2012</v>
      </c>
      <c r="S281">
        <v>46.354399999999998</v>
      </c>
      <c r="T281">
        <v>26.503599999999999</v>
      </c>
      <c r="U281">
        <v>6.8735900000000001</v>
      </c>
      <c r="V281">
        <v>0.26682699999999998</v>
      </c>
      <c r="W281">
        <v>60.748399999999997</v>
      </c>
      <c r="X281">
        <v>10.2219</v>
      </c>
      <c r="Y281">
        <v>33.999299999999998</v>
      </c>
      <c r="Z281">
        <v>15.9442</v>
      </c>
      <c r="AA281">
        <v>20.6706</v>
      </c>
      <c r="AB281">
        <v>11.226800000000001</v>
      </c>
      <c r="AC281">
        <v>7.9371799999999997</v>
      </c>
      <c r="AD281">
        <v>1.8296600000000001</v>
      </c>
      <c r="AE281">
        <v>11.013199999999999</v>
      </c>
      <c r="AF281">
        <v>0</v>
      </c>
      <c r="AG281">
        <v>95.778300000000002</v>
      </c>
      <c r="AH281">
        <v>4.22018</v>
      </c>
      <c r="AI281">
        <v>1.4865E-3</v>
      </c>
      <c r="AJ281">
        <v>0</v>
      </c>
      <c r="AK281">
        <v>0</v>
      </c>
      <c r="AL281">
        <v>0.22200800000000001</v>
      </c>
      <c r="AM281">
        <v>6.5145999999999997</v>
      </c>
      <c r="AN281">
        <v>35.843299999999999</v>
      </c>
      <c r="AO281">
        <v>26.7102</v>
      </c>
      <c r="AP281">
        <v>18.314499999999999</v>
      </c>
      <c r="AQ281">
        <v>8.9725300000000008</v>
      </c>
      <c r="AR281">
        <v>3.6448999999999998</v>
      </c>
      <c r="AS281">
        <v>0.26224799999999998</v>
      </c>
      <c r="AT281">
        <v>0.58122200000000002</v>
      </c>
      <c r="AU281">
        <v>6.6260899999999996</v>
      </c>
      <c r="AV281">
        <v>29.872</v>
      </c>
      <c r="AW281">
        <v>39.788499999999999</v>
      </c>
      <c r="AX281">
        <v>20.565000000000001</v>
      </c>
      <c r="AY281">
        <v>2.5671900000000001</v>
      </c>
      <c r="AZ281">
        <v>746.25</v>
      </c>
      <c r="BA281">
        <v>808.19899999999996</v>
      </c>
      <c r="BB281">
        <v>30657.1</v>
      </c>
      <c r="BC281">
        <v>0.27021299999999998</v>
      </c>
      <c r="BD281">
        <v>3.9392299999999998E-2</v>
      </c>
      <c r="BE281">
        <v>0.16128600000000001</v>
      </c>
      <c r="BF281">
        <v>0.61541199999999996</v>
      </c>
      <c r="BG281">
        <v>6.3889899999999997</v>
      </c>
      <c r="BH281">
        <v>33.0197</v>
      </c>
      <c r="BI281">
        <v>59.775199999999998</v>
      </c>
      <c r="BJ281">
        <v>33.007899999999999</v>
      </c>
      <c r="BK281">
        <v>0</v>
      </c>
      <c r="BL281">
        <v>31.459599999999998</v>
      </c>
      <c r="BM281">
        <v>56.803699999999999</v>
      </c>
      <c r="BN281">
        <v>10.360900000000001</v>
      </c>
      <c r="BO281">
        <v>1.0004200000000001</v>
      </c>
      <c r="BP281">
        <v>0.37534200000000001</v>
      </c>
      <c r="BQ281">
        <v>33.170499999999997</v>
      </c>
      <c r="BR281">
        <v>134544</v>
      </c>
    </row>
    <row r="282" spans="1:70" x14ac:dyDescent="0.25">
      <c r="A282">
        <v>39</v>
      </c>
      <c r="B282" s="7">
        <v>46013.610324074078</v>
      </c>
      <c r="C282" t="s">
        <v>149</v>
      </c>
      <c r="D282" s="6" t="s">
        <v>295</v>
      </c>
      <c r="E282" s="6" t="str">
        <f>VLOOKUP(F282,Germplasm!$A$1:$B$21,2,FALSE)</f>
        <v>Thermus</v>
      </c>
      <c r="F282" t="s">
        <v>75</v>
      </c>
      <c r="G282" s="6" t="s">
        <v>113</v>
      </c>
      <c r="H282">
        <v>57121.599999999999</v>
      </c>
      <c r="I282">
        <v>540.78499999999997</v>
      </c>
      <c r="J282">
        <v>220538</v>
      </c>
      <c r="K282">
        <v>13.947800000000001</v>
      </c>
      <c r="L282">
        <v>64.438400000000001</v>
      </c>
      <c r="M282">
        <v>1758.34</v>
      </c>
      <c r="N282">
        <v>663.072</v>
      </c>
      <c r="O282">
        <v>41381200</v>
      </c>
      <c r="P282">
        <v>6.4949199999999999E-2</v>
      </c>
      <c r="Q282">
        <v>0.72284599999999999</v>
      </c>
      <c r="R282">
        <v>26.498699999999999</v>
      </c>
      <c r="S282">
        <v>53.979900000000001</v>
      </c>
      <c r="T282">
        <v>13.7264</v>
      </c>
      <c r="U282">
        <v>4.9774799999999999</v>
      </c>
      <c r="V282">
        <v>9.4649300000000006E-2</v>
      </c>
      <c r="W282">
        <v>47.885199999999998</v>
      </c>
      <c r="X282">
        <v>13.385199999999999</v>
      </c>
      <c r="Y282">
        <v>47.418500000000002</v>
      </c>
      <c r="Z282">
        <v>15.007300000000001</v>
      </c>
      <c r="AA282">
        <v>12.916600000000001</v>
      </c>
      <c r="AB282">
        <v>5.2438700000000003</v>
      </c>
      <c r="AC282">
        <v>6.0285500000000001</v>
      </c>
      <c r="AD282">
        <v>1.857</v>
      </c>
      <c r="AE282">
        <v>13.797499999999999</v>
      </c>
      <c r="AF282">
        <v>0</v>
      </c>
      <c r="AG282">
        <v>87.778800000000004</v>
      </c>
      <c r="AH282">
        <v>12.1746</v>
      </c>
      <c r="AI282">
        <v>4.5034699999999997E-2</v>
      </c>
      <c r="AJ282">
        <v>1.5265999999999999E-3</v>
      </c>
      <c r="AK282">
        <v>0</v>
      </c>
      <c r="AL282">
        <v>0.15687599999999999</v>
      </c>
      <c r="AM282">
        <v>11.920500000000001</v>
      </c>
      <c r="AN282">
        <v>46.295699999999997</v>
      </c>
      <c r="AO282">
        <v>23.395199999999999</v>
      </c>
      <c r="AP282">
        <v>11.768599999999999</v>
      </c>
      <c r="AQ282">
        <v>5.05152</v>
      </c>
      <c r="AR282">
        <v>1.5685800000000001</v>
      </c>
      <c r="AS282">
        <v>0.27491900000000002</v>
      </c>
      <c r="AT282">
        <v>0.65109499999999998</v>
      </c>
      <c r="AU282">
        <v>3.89283</v>
      </c>
      <c r="AV282">
        <v>25.3385</v>
      </c>
      <c r="AW282">
        <v>51.0137</v>
      </c>
      <c r="AX282">
        <v>16.546099999999999</v>
      </c>
      <c r="AY282">
        <v>2.55782</v>
      </c>
      <c r="AZ282">
        <v>724.44</v>
      </c>
      <c r="BA282">
        <v>810.59900000000005</v>
      </c>
      <c r="BB282">
        <v>30760.2</v>
      </c>
      <c r="BC282">
        <v>0.31328899999999998</v>
      </c>
      <c r="BD282">
        <v>2.2898999999999999E-2</v>
      </c>
      <c r="BE282">
        <v>0.26639200000000002</v>
      </c>
      <c r="BF282">
        <v>0.80909900000000001</v>
      </c>
      <c r="BG282">
        <v>3.4447800000000002</v>
      </c>
      <c r="BH282">
        <v>21.839600000000001</v>
      </c>
      <c r="BI282">
        <v>73.6173</v>
      </c>
      <c r="BJ282">
        <v>31.467700000000001</v>
      </c>
      <c r="BK282">
        <v>0</v>
      </c>
      <c r="BL282">
        <v>33.857700000000001</v>
      </c>
      <c r="BM282">
        <v>56.9193</v>
      </c>
      <c r="BN282">
        <v>8.0543499999999995</v>
      </c>
      <c r="BO282">
        <v>0.93046300000000004</v>
      </c>
      <c r="BP282">
        <v>0.23815</v>
      </c>
      <c r="BQ282">
        <v>32.620800000000003</v>
      </c>
      <c r="BR282">
        <v>131010</v>
      </c>
    </row>
    <row r="283" spans="1:70" x14ac:dyDescent="0.25">
      <c r="A283">
        <v>39</v>
      </c>
      <c r="B283" s="7">
        <v>46024.534479166665</v>
      </c>
      <c r="C283" t="s">
        <v>149</v>
      </c>
      <c r="D283" s="6" t="s">
        <v>296</v>
      </c>
      <c r="E283" s="6" t="str">
        <f>VLOOKUP(F283,Germplasm!$A$1:$B$21,2,FALSE)</f>
        <v>Thermus</v>
      </c>
      <c r="F283" t="s">
        <v>75</v>
      </c>
      <c r="G283" s="6" t="s">
        <v>113</v>
      </c>
      <c r="H283">
        <v>59591.3</v>
      </c>
      <c r="I283">
        <v>489.755</v>
      </c>
      <c r="J283">
        <v>223058</v>
      </c>
      <c r="K283">
        <v>14.119</v>
      </c>
      <c r="L283">
        <v>76.613900000000001</v>
      </c>
      <c r="M283">
        <v>1879.41</v>
      </c>
      <c r="N283">
        <v>741.91700000000003</v>
      </c>
      <c r="O283">
        <v>33807000</v>
      </c>
      <c r="P283">
        <v>2.21119E-2</v>
      </c>
      <c r="Q283">
        <v>0.80962000000000001</v>
      </c>
      <c r="R283">
        <v>32.679499999999997</v>
      </c>
      <c r="S283">
        <v>62.085700000000003</v>
      </c>
      <c r="T283">
        <v>3.6971599999999998</v>
      </c>
      <c r="U283">
        <v>0.70742799999999995</v>
      </c>
      <c r="V283">
        <v>2.0597000000000001E-2</v>
      </c>
      <c r="W283">
        <v>38.269599999999997</v>
      </c>
      <c r="X283">
        <v>16.220099999999999</v>
      </c>
      <c r="Y283">
        <v>57.666800000000002</v>
      </c>
      <c r="Z283">
        <v>12.557</v>
      </c>
      <c r="AA283">
        <v>4.3768599999999998</v>
      </c>
      <c r="AB283">
        <v>1.47902</v>
      </c>
      <c r="AC283">
        <v>7.7001099999999996</v>
      </c>
      <c r="AD283">
        <v>1.89218</v>
      </c>
      <c r="AE283">
        <v>19.194099999999999</v>
      </c>
      <c r="AF283">
        <v>0</v>
      </c>
      <c r="AG283">
        <v>73.429100000000005</v>
      </c>
      <c r="AH283">
        <v>26.223099999999999</v>
      </c>
      <c r="AI283">
        <v>0.33588899999999999</v>
      </c>
      <c r="AJ283">
        <v>1.18829E-2</v>
      </c>
      <c r="AK283">
        <v>0</v>
      </c>
      <c r="AL283">
        <v>7.4420100000000003E-2</v>
      </c>
      <c r="AM283">
        <v>21.177700000000002</v>
      </c>
      <c r="AN283">
        <v>59.366100000000003</v>
      </c>
      <c r="AO283">
        <v>14.579499999999999</v>
      </c>
      <c r="AP283">
        <v>3.8746100000000001</v>
      </c>
      <c r="AQ283">
        <v>0.74703699999999995</v>
      </c>
      <c r="AR283">
        <v>0.25508599999999998</v>
      </c>
      <c r="AS283">
        <v>0.24726799999999999</v>
      </c>
      <c r="AT283">
        <v>0.56087200000000004</v>
      </c>
      <c r="AU283">
        <v>4.5923400000000001</v>
      </c>
      <c r="AV283">
        <v>31.335999999999999</v>
      </c>
      <c r="AW283">
        <v>50.754199999999997</v>
      </c>
      <c r="AX283">
        <v>10.8142</v>
      </c>
      <c r="AY283">
        <v>1.9424600000000001</v>
      </c>
      <c r="AZ283">
        <v>567.31500000000005</v>
      </c>
      <c r="BA283">
        <v>617.399</v>
      </c>
      <c r="BB283">
        <v>31493.4</v>
      </c>
      <c r="BC283">
        <v>0.32656800000000002</v>
      </c>
      <c r="BD283">
        <v>4.8323699999999997E-2</v>
      </c>
      <c r="BE283">
        <v>0.38025199999999998</v>
      </c>
      <c r="BF283">
        <v>0.90547599999999995</v>
      </c>
      <c r="BG283">
        <v>3.8191600000000001</v>
      </c>
      <c r="BH283">
        <v>14.1557</v>
      </c>
      <c r="BI283">
        <v>80.691100000000006</v>
      </c>
      <c r="BJ283">
        <v>26.607600000000001</v>
      </c>
      <c r="BK283">
        <v>0</v>
      </c>
      <c r="BL283">
        <v>49.732999999999997</v>
      </c>
      <c r="BM283">
        <v>45.334000000000003</v>
      </c>
      <c r="BN283">
        <v>4.1043500000000002</v>
      </c>
      <c r="BO283">
        <v>0.65435100000000002</v>
      </c>
      <c r="BP283">
        <v>0.17428199999999999</v>
      </c>
      <c r="BQ283">
        <v>31.941500000000001</v>
      </c>
      <c r="BR283">
        <v>126232</v>
      </c>
    </row>
    <row r="284" spans="1:70" x14ac:dyDescent="0.25">
      <c r="A284">
        <v>39</v>
      </c>
      <c r="B284" s="7">
        <v>45952.563263888886</v>
      </c>
      <c r="C284" t="s">
        <v>148</v>
      </c>
      <c r="D284" s="6" t="s">
        <v>288</v>
      </c>
      <c r="E284" s="6" t="str">
        <f>VLOOKUP(F284,Germplasm!$A$1:$B$21,2,FALSE)</f>
        <v>Brage</v>
      </c>
      <c r="F284" t="s">
        <v>81</v>
      </c>
      <c r="G284" s="6" t="s">
        <v>113</v>
      </c>
      <c r="H284">
        <v>19243.5</v>
      </c>
      <c r="I284">
        <v>263.10399999999998</v>
      </c>
      <c r="J284">
        <v>85527.8</v>
      </c>
      <c r="K284">
        <v>14.3035</v>
      </c>
      <c r="L284">
        <v>68.267399999999995</v>
      </c>
      <c r="M284">
        <v>1122.6600000000001</v>
      </c>
      <c r="N284">
        <v>395.096</v>
      </c>
      <c r="O284">
        <v>5948610</v>
      </c>
      <c r="P284">
        <v>0.26846199999999998</v>
      </c>
      <c r="Q284">
        <v>0.61741500000000005</v>
      </c>
      <c r="R284">
        <v>3.6903000000000001</v>
      </c>
      <c r="S284">
        <v>14.8416</v>
      </c>
      <c r="T284">
        <v>36.969200000000001</v>
      </c>
      <c r="U284">
        <v>42.866599999999998</v>
      </c>
      <c r="V284">
        <v>1.0148299999999999</v>
      </c>
      <c r="W284">
        <v>118.554</v>
      </c>
      <c r="X284">
        <v>0.78773700000000002</v>
      </c>
      <c r="Y284">
        <v>1.36494</v>
      </c>
      <c r="Z284">
        <v>2.8765399999999999</v>
      </c>
      <c r="AA284">
        <v>16.1663</v>
      </c>
      <c r="AB284">
        <v>41.224899999999998</v>
      </c>
      <c r="AC284">
        <v>37.579500000000003</v>
      </c>
      <c r="AD284">
        <v>1.5730299999999999</v>
      </c>
      <c r="AE284">
        <v>6.3227099999999998</v>
      </c>
      <c r="AF284">
        <v>0</v>
      </c>
      <c r="AG284">
        <v>100</v>
      </c>
      <c r="AH284">
        <v>0</v>
      </c>
      <c r="AI284">
        <v>0</v>
      </c>
      <c r="AJ284">
        <v>0</v>
      </c>
      <c r="AK284">
        <v>0</v>
      </c>
      <c r="AL284">
        <v>0.55420800000000003</v>
      </c>
      <c r="AM284">
        <v>0.37139499999999998</v>
      </c>
      <c r="AN284">
        <v>1.43354</v>
      </c>
      <c r="AO284">
        <v>3.4016999999999999</v>
      </c>
      <c r="AP284">
        <v>13.457800000000001</v>
      </c>
      <c r="AQ284">
        <v>39.701500000000003</v>
      </c>
      <c r="AR284">
        <v>41.634099999999997</v>
      </c>
      <c r="AS284">
        <v>4.1660000000000003E-2</v>
      </c>
      <c r="AT284">
        <v>8.8307000000000002</v>
      </c>
      <c r="AU284">
        <v>34.9041</v>
      </c>
      <c r="AV284">
        <v>38.215899999999998</v>
      </c>
      <c r="AW284">
        <v>13.296900000000001</v>
      </c>
      <c r="AX284">
        <v>2.7464300000000001</v>
      </c>
      <c r="AY284">
        <v>2.0060099999999998</v>
      </c>
      <c r="AZ284">
        <v>309.12200000000001</v>
      </c>
      <c r="BA284">
        <v>313.19900000000001</v>
      </c>
      <c r="BB284">
        <v>12233.5</v>
      </c>
      <c r="BC284">
        <v>5.6138400000000001E-3</v>
      </c>
      <c r="BD284">
        <v>2.6021300000000001E-2</v>
      </c>
      <c r="BE284">
        <v>0.43526599999999999</v>
      </c>
      <c r="BF284">
        <v>4.1373899999999999</v>
      </c>
      <c r="BG284">
        <v>39.136099999999999</v>
      </c>
      <c r="BH284">
        <v>53.0764</v>
      </c>
      <c r="BI284">
        <v>3.1888000000000001</v>
      </c>
      <c r="BJ284">
        <v>35.896599999999999</v>
      </c>
      <c r="BK284">
        <v>0</v>
      </c>
      <c r="BL284">
        <v>24.831499999999998</v>
      </c>
      <c r="BM284">
        <v>59.4422</v>
      </c>
      <c r="BN284">
        <v>13.4152</v>
      </c>
      <c r="BO284">
        <v>1.62279</v>
      </c>
      <c r="BP284">
        <v>0.68838299999999997</v>
      </c>
      <c r="BQ284">
        <v>39.485300000000002</v>
      </c>
      <c r="BR284">
        <v>42273</v>
      </c>
    </row>
    <row r="285" spans="1:70" x14ac:dyDescent="0.25">
      <c r="A285">
        <v>39</v>
      </c>
      <c r="B285" s="7">
        <v>45959.525613425925</v>
      </c>
      <c r="C285" t="s">
        <v>148</v>
      </c>
      <c r="D285" s="6" t="s">
        <v>289</v>
      </c>
      <c r="E285" s="6" t="str">
        <f>VLOOKUP(F285,Germplasm!$A$1:$B$21,2,FALSE)</f>
        <v>Brage</v>
      </c>
      <c r="F285" t="s">
        <v>81</v>
      </c>
      <c r="G285" s="6" t="s">
        <v>113</v>
      </c>
      <c r="H285">
        <v>40520.199999999997</v>
      </c>
      <c r="I285">
        <v>423.89299999999997</v>
      </c>
      <c r="J285">
        <v>118354</v>
      </c>
      <c r="K285">
        <v>19.432200000000002</v>
      </c>
      <c r="L285">
        <v>64.6113</v>
      </c>
      <c r="M285">
        <v>1339.67</v>
      </c>
      <c r="N285">
        <v>490.11799999999999</v>
      </c>
      <c r="O285">
        <v>18767200</v>
      </c>
      <c r="P285">
        <v>0.24543300000000001</v>
      </c>
      <c r="Q285">
        <v>0.68765699999999996</v>
      </c>
      <c r="R285">
        <v>2.8022</v>
      </c>
      <c r="S285">
        <v>17.974900000000002</v>
      </c>
      <c r="T285">
        <v>45.214599999999997</v>
      </c>
      <c r="U285">
        <v>32.197099999999999</v>
      </c>
      <c r="V285">
        <v>1.12358</v>
      </c>
      <c r="W285">
        <v>121.121</v>
      </c>
      <c r="X285">
        <v>0.68397300000000005</v>
      </c>
      <c r="Y285">
        <v>1.2549699999999999</v>
      </c>
      <c r="Z285">
        <v>3.1202399999999999</v>
      </c>
      <c r="AA285">
        <v>15.2439</v>
      </c>
      <c r="AB285">
        <v>36.601700000000001</v>
      </c>
      <c r="AC285">
        <v>43.095199999999998</v>
      </c>
      <c r="AD285">
        <v>1.7618400000000001</v>
      </c>
      <c r="AE285">
        <v>6.4925300000000004</v>
      </c>
      <c r="AF285">
        <v>0</v>
      </c>
      <c r="AG285">
        <v>99.9251</v>
      </c>
      <c r="AH285">
        <v>6.3853800000000002E-2</v>
      </c>
      <c r="AI285">
        <v>1.10516E-2</v>
      </c>
      <c r="AJ285">
        <v>0</v>
      </c>
      <c r="AK285">
        <v>0</v>
      </c>
      <c r="AL285">
        <v>0.53383800000000003</v>
      </c>
      <c r="AM285">
        <v>0.38312299999999999</v>
      </c>
      <c r="AN285">
        <v>1.7387900000000001</v>
      </c>
      <c r="AO285">
        <v>4.7583399999999996</v>
      </c>
      <c r="AP285">
        <v>16.218900000000001</v>
      </c>
      <c r="AQ285">
        <v>41.628999999999998</v>
      </c>
      <c r="AR285">
        <v>35.271900000000002</v>
      </c>
      <c r="AS285">
        <v>2.4460099999999999E-2</v>
      </c>
      <c r="AT285">
        <v>9.0623299999999993</v>
      </c>
      <c r="AU285">
        <v>40.166499999999999</v>
      </c>
      <c r="AV285">
        <v>35.587499999999999</v>
      </c>
      <c r="AW285">
        <v>10.699199999999999</v>
      </c>
      <c r="AX285">
        <v>2.4976699999999998</v>
      </c>
      <c r="AY285">
        <v>1.9868399999999999</v>
      </c>
      <c r="AZ285">
        <v>463.15600000000001</v>
      </c>
      <c r="BA285">
        <v>472.19900000000001</v>
      </c>
      <c r="BB285">
        <v>22998.799999999999</v>
      </c>
      <c r="BC285">
        <v>-1.7521100000000001E-3</v>
      </c>
      <c r="BD285">
        <v>7.1221599999999996E-2</v>
      </c>
      <c r="BE285">
        <v>0.59678799999999999</v>
      </c>
      <c r="BF285">
        <v>4.2892599999999996</v>
      </c>
      <c r="BG285">
        <v>44.270299999999999</v>
      </c>
      <c r="BH285">
        <v>46.533499999999997</v>
      </c>
      <c r="BI285">
        <v>4.2389099999999997</v>
      </c>
      <c r="BJ285">
        <v>33.354300000000002</v>
      </c>
      <c r="BK285">
        <v>0</v>
      </c>
      <c r="BL285">
        <v>31.2073</v>
      </c>
      <c r="BM285">
        <v>56.849600000000002</v>
      </c>
      <c r="BN285">
        <v>9.5387799999999991</v>
      </c>
      <c r="BO285">
        <v>1.4403900000000001</v>
      </c>
      <c r="BP285">
        <v>0.963947</v>
      </c>
      <c r="BQ285">
        <v>34.6175</v>
      </c>
      <c r="BR285">
        <v>81436</v>
      </c>
    </row>
    <row r="286" spans="1:70" x14ac:dyDescent="0.25">
      <c r="A286">
        <v>39</v>
      </c>
      <c r="B286" s="7">
        <v>45966.552627314813</v>
      </c>
      <c r="C286" t="s">
        <v>148</v>
      </c>
      <c r="D286" s="6" t="s">
        <v>290</v>
      </c>
      <c r="E286" s="6" t="str">
        <f>VLOOKUP(F286,Germplasm!$A$1:$B$21,2,FALSE)</f>
        <v>Brage</v>
      </c>
      <c r="F286" t="s">
        <v>81</v>
      </c>
      <c r="G286" s="6" t="s">
        <v>113</v>
      </c>
      <c r="H286">
        <v>31118.6</v>
      </c>
      <c r="I286">
        <v>534.49699999999996</v>
      </c>
      <c r="J286">
        <v>101961</v>
      </c>
      <c r="K286">
        <v>17.7775</v>
      </c>
      <c r="L286">
        <v>80.221800000000002</v>
      </c>
      <c r="M286">
        <v>1276.6400000000001</v>
      </c>
      <c r="N286">
        <v>467.08100000000002</v>
      </c>
      <c r="O286">
        <v>18339900</v>
      </c>
      <c r="P286">
        <v>0.24743799999999999</v>
      </c>
      <c r="Q286">
        <v>0.41574100000000003</v>
      </c>
      <c r="R286">
        <v>2.0975999999999999</v>
      </c>
      <c r="S286">
        <v>14.1084</v>
      </c>
      <c r="T286">
        <v>50.712600000000002</v>
      </c>
      <c r="U286">
        <v>32.338099999999997</v>
      </c>
      <c r="V286">
        <v>0.32755400000000001</v>
      </c>
      <c r="W286">
        <v>112.396</v>
      </c>
      <c r="X286">
        <v>0.74329500000000004</v>
      </c>
      <c r="Y286">
        <v>2.0613800000000002</v>
      </c>
      <c r="Z286">
        <v>3.8235600000000001</v>
      </c>
      <c r="AA286">
        <v>20.6249</v>
      </c>
      <c r="AB286">
        <v>43.523699999999998</v>
      </c>
      <c r="AC286">
        <v>29.223199999999999</v>
      </c>
      <c r="AD286">
        <v>1.71678</v>
      </c>
      <c r="AE286">
        <v>7.4985900000000001</v>
      </c>
      <c r="AF286">
        <v>0</v>
      </c>
      <c r="AG286">
        <v>99.629900000000006</v>
      </c>
      <c r="AH286">
        <v>0.37007299999999999</v>
      </c>
      <c r="AI286">
        <v>0</v>
      </c>
      <c r="AJ286">
        <v>0</v>
      </c>
      <c r="AK286">
        <v>0</v>
      </c>
      <c r="AL286">
        <v>0.50384799999999996</v>
      </c>
      <c r="AM286">
        <v>0.48818099999999998</v>
      </c>
      <c r="AN286">
        <v>3.1243599999999998</v>
      </c>
      <c r="AO286">
        <v>6.8298100000000002</v>
      </c>
      <c r="AP286">
        <v>17.220199999999998</v>
      </c>
      <c r="AQ286">
        <v>44.948900000000002</v>
      </c>
      <c r="AR286">
        <v>27.388500000000001</v>
      </c>
      <c r="AS286">
        <v>7.3606699999999997E-2</v>
      </c>
      <c r="AT286">
        <v>3.0991599999999999</v>
      </c>
      <c r="AU286">
        <v>32.5837</v>
      </c>
      <c r="AV286">
        <v>45.667000000000002</v>
      </c>
      <c r="AW286">
        <v>13.7431</v>
      </c>
      <c r="AX286">
        <v>2.9716100000000001</v>
      </c>
      <c r="AY286">
        <v>1.9354</v>
      </c>
      <c r="AZ286">
        <v>589.35400000000004</v>
      </c>
      <c r="BA286">
        <v>629.09900000000005</v>
      </c>
      <c r="BB286">
        <v>18126.099999999999</v>
      </c>
      <c r="BC286">
        <v>3.84496E-2</v>
      </c>
      <c r="BD286">
        <v>2.6771199999999998E-2</v>
      </c>
      <c r="BE286">
        <v>0.22361900000000001</v>
      </c>
      <c r="BF286">
        <v>1.6944600000000001</v>
      </c>
      <c r="BG286">
        <v>33.738100000000003</v>
      </c>
      <c r="BH286">
        <v>56.7361</v>
      </c>
      <c r="BI286">
        <v>7.5809800000000003</v>
      </c>
      <c r="BJ286">
        <v>32.896999999999998</v>
      </c>
      <c r="BK286">
        <v>0</v>
      </c>
      <c r="BL286">
        <v>26.897200000000002</v>
      </c>
      <c r="BM286">
        <v>64.674599999999998</v>
      </c>
      <c r="BN286">
        <v>6.8219399999999997</v>
      </c>
      <c r="BO286">
        <v>1.00471</v>
      </c>
      <c r="BP286">
        <v>0.60156500000000002</v>
      </c>
      <c r="BQ286">
        <v>35.654000000000003</v>
      </c>
      <c r="BR286">
        <v>63501</v>
      </c>
    </row>
    <row r="287" spans="1:70" x14ac:dyDescent="0.25">
      <c r="A287">
        <v>39</v>
      </c>
      <c r="B287" s="7">
        <v>45973.557685185187</v>
      </c>
      <c r="C287" t="s">
        <v>148</v>
      </c>
      <c r="D287" s="6" t="s">
        <v>291</v>
      </c>
      <c r="E287" s="6" t="str">
        <f>VLOOKUP(F287,Germplasm!$A$1:$B$21,2,FALSE)</f>
        <v>Brage</v>
      </c>
      <c r="F287" t="s">
        <v>81</v>
      </c>
      <c r="G287" s="6" t="s">
        <v>113</v>
      </c>
      <c r="H287">
        <v>43820.2</v>
      </c>
      <c r="I287">
        <v>396.71100000000001</v>
      </c>
      <c r="J287">
        <v>131107</v>
      </c>
      <c r="K287">
        <v>19.1767</v>
      </c>
      <c r="L287">
        <v>57.581899999999997</v>
      </c>
      <c r="M287">
        <v>1426.19</v>
      </c>
      <c r="N287">
        <v>569.245</v>
      </c>
      <c r="O287">
        <v>23716800</v>
      </c>
      <c r="P287">
        <v>0.22014</v>
      </c>
      <c r="Q287">
        <v>0.49890400000000001</v>
      </c>
      <c r="R287">
        <v>4.0807200000000003</v>
      </c>
      <c r="S287">
        <v>20.2682</v>
      </c>
      <c r="T287">
        <v>50.216999999999999</v>
      </c>
      <c r="U287">
        <v>24.5626</v>
      </c>
      <c r="V287">
        <v>0.3725</v>
      </c>
      <c r="W287">
        <v>116.44199999999999</v>
      </c>
      <c r="X287">
        <v>1.7237899999999999</v>
      </c>
      <c r="Y287">
        <v>3.4196200000000001</v>
      </c>
      <c r="Z287">
        <v>3.8391000000000002</v>
      </c>
      <c r="AA287">
        <v>14.8139</v>
      </c>
      <c r="AB287">
        <v>37.469200000000001</v>
      </c>
      <c r="AC287">
        <v>38.734400000000001</v>
      </c>
      <c r="AD287">
        <v>1.74291</v>
      </c>
      <c r="AE287">
        <v>7.0225499999999998</v>
      </c>
      <c r="AF287">
        <v>0</v>
      </c>
      <c r="AG287">
        <v>99.597300000000004</v>
      </c>
      <c r="AH287">
        <v>0.40270299999999998</v>
      </c>
      <c r="AI287">
        <v>0</v>
      </c>
      <c r="AJ287">
        <v>0</v>
      </c>
      <c r="AK287">
        <v>0</v>
      </c>
      <c r="AL287">
        <v>0.50109400000000004</v>
      </c>
      <c r="AM287">
        <v>0.88594600000000001</v>
      </c>
      <c r="AN287">
        <v>5.2541500000000001</v>
      </c>
      <c r="AO287">
        <v>6.56853</v>
      </c>
      <c r="AP287">
        <v>15.5052</v>
      </c>
      <c r="AQ287">
        <v>40.580100000000002</v>
      </c>
      <c r="AR287">
        <v>31.206099999999999</v>
      </c>
      <c r="AS287">
        <v>3.9506600000000003E-2</v>
      </c>
      <c r="AT287">
        <v>4.9621899999999997</v>
      </c>
      <c r="AU287">
        <v>40.206499999999998</v>
      </c>
      <c r="AV287">
        <v>39.561100000000003</v>
      </c>
      <c r="AW287">
        <v>11.2499</v>
      </c>
      <c r="AX287">
        <v>2.7070599999999998</v>
      </c>
      <c r="AY287">
        <v>1.3132600000000001</v>
      </c>
      <c r="AZ287">
        <v>541.23</v>
      </c>
      <c r="BA287">
        <v>607.79899999999998</v>
      </c>
      <c r="BB287">
        <v>25142</v>
      </c>
      <c r="BC287">
        <v>2.5493200000000001E-2</v>
      </c>
      <c r="BD287">
        <v>1.9016499999999999E-2</v>
      </c>
      <c r="BE287">
        <v>0.24609600000000001</v>
      </c>
      <c r="BF287">
        <v>2.4039100000000002</v>
      </c>
      <c r="BG287">
        <v>42.4985</v>
      </c>
      <c r="BH287">
        <v>45.9238</v>
      </c>
      <c r="BI287">
        <v>8.9086800000000004</v>
      </c>
      <c r="BJ287">
        <v>30.325900000000001</v>
      </c>
      <c r="BK287">
        <v>0</v>
      </c>
      <c r="BL287">
        <v>35.445700000000002</v>
      </c>
      <c r="BM287">
        <v>58.121200000000002</v>
      </c>
      <c r="BN287">
        <v>5.1881500000000003</v>
      </c>
      <c r="BO287">
        <v>0.72262700000000002</v>
      </c>
      <c r="BP287">
        <v>0.52239500000000005</v>
      </c>
      <c r="BQ287">
        <v>35.049300000000002</v>
      </c>
      <c r="BR287">
        <v>89396</v>
      </c>
    </row>
    <row r="288" spans="1:70" x14ac:dyDescent="0.25">
      <c r="A288">
        <v>39</v>
      </c>
      <c r="B288" s="7">
        <v>45988.546851851854</v>
      </c>
      <c r="C288" t="s">
        <v>148</v>
      </c>
      <c r="D288" s="6" t="s">
        <v>292</v>
      </c>
      <c r="E288" s="6" t="str">
        <f>VLOOKUP(F288,Germplasm!$A$1:$B$21,2,FALSE)</f>
        <v>Brage</v>
      </c>
      <c r="F288" t="s">
        <v>81</v>
      </c>
      <c r="G288" s="6" t="s">
        <v>113</v>
      </c>
      <c r="H288">
        <v>45379.9</v>
      </c>
      <c r="I288">
        <v>429.73500000000001</v>
      </c>
      <c r="J288">
        <v>113566</v>
      </c>
      <c r="K288">
        <v>23.421299999999999</v>
      </c>
      <c r="L288">
        <v>60.793799999999997</v>
      </c>
      <c r="M288">
        <v>1326.12</v>
      </c>
      <c r="N288">
        <v>506.005</v>
      </c>
      <c r="O288">
        <v>26694200</v>
      </c>
      <c r="P288">
        <v>0.157277</v>
      </c>
      <c r="Q288">
        <v>0.88592000000000004</v>
      </c>
      <c r="R288">
        <v>14.350199999999999</v>
      </c>
      <c r="S288">
        <v>29.383800000000001</v>
      </c>
      <c r="T288">
        <v>40.382100000000001</v>
      </c>
      <c r="U288">
        <v>14.6586</v>
      </c>
      <c r="V288">
        <v>0.33932899999999999</v>
      </c>
      <c r="W288">
        <v>86.965999999999994</v>
      </c>
      <c r="X288">
        <v>8.6249400000000005</v>
      </c>
      <c r="Y288">
        <v>14.7194</v>
      </c>
      <c r="Z288">
        <v>8.9469200000000004</v>
      </c>
      <c r="AA288">
        <v>22.810300000000002</v>
      </c>
      <c r="AB288">
        <v>26.992100000000001</v>
      </c>
      <c r="AC288">
        <v>17.906400000000001</v>
      </c>
      <c r="AD288">
        <v>1.7060999999999999</v>
      </c>
      <c r="AE288">
        <v>9.0173199999999998</v>
      </c>
      <c r="AF288">
        <v>0</v>
      </c>
      <c r="AG288">
        <v>98.625299999999996</v>
      </c>
      <c r="AH288">
        <v>1.3746700000000001</v>
      </c>
      <c r="AI288">
        <v>0</v>
      </c>
      <c r="AJ288">
        <v>0</v>
      </c>
      <c r="AK288">
        <v>0</v>
      </c>
      <c r="AL288">
        <v>0.35802400000000001</v>
      </c>
      <c r="AM288">
        <v>3.10602</v>
      </c>
      <c r="AN288">
        <v>18.548400000000001</v>
      </c>
      <c r="AO288">
        <v>16.152899999999999</v>
      </c>
      <c r="AP288">
        <v>22.160499999999999</v>
      </c>
      <c r="AQ288">
        <v>29.358699999999999</v>
      </c>
      <c r="AR288">
        <v>10.673500000000001</v>
      </c>
      <c r="AS288">
        <v>0.16911100000000001</v>
      </c>
      <c r="AT288">
        <v>1.1375200000000001</v>
      </c>
      <c r="AU288">
        <v>18.610099999999999</v>
      </c>
      <c r="AV288">
        <v>39.2928</v>
      </c>
      <c r="AW288">
        <v>29.162099999999999</v>
      </c>
      <c r="AX288">
        <v>9.6679999999999993</v>
      </c>
      <c r="AY288">
        <v>2.1294900000000001</v>
      </c>
      <c r="AZ288">
        <v>588.23800000000006</v>
      </c>
      <c r="BA288">
        <v>628.20000000000005</v>
      </c>
      <c r="BB288">
        <v>26598.6</v>
      </c>
      <c r="BC288">
        <v>0.147399</v>
      </c>
      <c r="BD288">
        <v>5.0128199999999998E-2</v>
      </c>
      <c r="BE288">
        <v>0.214009</v>
      </c>
      <c r="BF288">
        <v>0.98810399999999998</v>
      </c>
      <c r="BG288">
        <v>18.4925</v>
      </c>
      <c r="BH288">
        <v>48.2455</v>
      </c>
      <c r="BI288">
        <v>32.009799999999998</v>
      </c>
      <c r="BJ288">
        <v>31.272300000000001</v>
      </c>
      <c r="BK288">
        <v>0</v>
      </c>
      <c r="BL288">
        <v>34.899799999999999</v>
      </c>
      <c r="BM288">
        <v>56.320999999999998</v>
      </c>
      <c r="BN288">
        <v>7.1548400000000001</v>
      </c>
      <c r="BO288">
        <v>0.97267999999999999</v>
      </c>
      <c r="BP288">
        <v>0.651667</v>
      </c>
      <c r="BQ288">
        <v>35.923000000000002</v>
      </c>
      <c r="BR288">
        <v>103734</v>
      </c>
    </row>
    <row r="289" spans="1:70" x14ac:dyDescent="0.25">
      <c r="A289">
        <v>39</v>
      </c>
      <c r="B289" s="7">
        <v>45994.553611111114</v>
      </c>
      <c r="C289" t="s">
        <v>148</v>
      </c>
      <c r="D289" s="6" t="s">
        <v>293</v>
      </c>
      <c r="E289" s="6" t="str">
        <f>VLOOKUP(F289,Germplasm!$A$1:$B$21,2,FALSE)</f>
        <v>Brage</v>
      </c>
      <c r="F289" t="s">
        <v>81</v>
      </c>
      <c r="G289" s="6" t="s">
        <v>113</v>
      </c>
      <c r="H289">
        <v>22375.1</v>
      </c>
      <c r="I289">
        <v>508.36399999999998</v>
      </c>
      <c r="J289">
        <v>134027</v>
      </c>
      <c r="K289">
        <v>10.0846</v>
      </c>
      <c r="L289">
        <v>55.908299999999997</v>
      </c>
      <c r="M289">
        <v>1431.4</v>
      </c>
      <c r="N289">
        <v>590.71600000000001</v>
      </c>
      <c r="O289">
        <v>14908400</v>
      </c>
      <c r="P289">
        <v>0.13637199999999999</v>
      </c>
      <c r="Q289">
        <v>0.45108199999999998</v>
      </c>
      <c r="R289">
        <v>18.7151</v>
      </c>
      <c r="S289">
        <v>33.2956</v>
      </c>
      <c r="T289">
        <v>36.121099999999998</v>
      </c>
      <c r="U289">
        <v>11.014099999999999</v>
      </c>
      <c r="V289">
        <v>0.40309400000000001</v>
      </c>
      <c r="W289">
        <v>66.864999999999995</v>
      </c>
      <c r="X289">
        <v>11.3346</v>
      </c>
      <c r="Y289">
        <v>26.919</v>
      </c>
      <c r="Z289">
        <v>14.776300000000001</v>
      </c>
      <c r="AA289">
        <v>25.082100000000001</v>
      </c>
      <c r="AB289">
        <v>15.461499999999999</v>
      </c>
      <c r="AC289">
        <v>6.4264700000000001</v>
      </c>
      <c r="AD289">
        <v>1.65544</v>
      </c>
      <c r="AE289">
        <v>10.752000000000001</v>
      </c>
      <c r="AF289">
        <v>0</v>
      </c>
      <c r="AG289">
        <v>95.9863</v>
      </c>
      <c r="AH289">
        <v>4.0136700000000003</v>
      </c>
      <c r="AI289">
        <v>0</v>
      </c>
      <c r="AJ289">
        <v>0</v>
      </c>
      <c r="AK289">
        <v>0</v>
      </c>
      <c r="AL289">
        <v>0.28025600000000001</v>
      </c>
      <c r="AM289">
        <v>6.09056</v>
      </c>
      <c r="AN289">
        <v>29.032399999999999</v>
      </c>
      <c r="AO289">
        <v>18.183399999999999</v>
      </c>
      <c r="AP289">
        <v>20.3505</v>
      </c>
      <c r="AQ289">
        <v>20.8688</v>
      </c>
      <c r="AR289">
        <v>5.4744000000000002</v>
      </c>
      <c r="AS289">
        <v>0.26508199999999998</v>
      </c>
      <c r="AT289">
        <v>0.27832699999999999</v>
      </c>
      <c r="AU289">
        <v>6.7431900000000002</v>
      </c>
      <c r="AV289">
        <v>28.8385</v>
      </c>
      <c r="AW289">
        <v>41.660699999999999</v>
      </c>
      <c r="AX289">
        <v>19.930099999999999</v>
      </c>
      <c r="AY289">
        <v>2.5490900000000001</v>
      </c>
      <c r="AZ289">
        <v>666.29300000000001</v>
      </c>
      <c r="BA289">
        <v>728.399</v>
      </c>
      <c r="BB289">
        <v>13516.1</v>
      </c>
      <c r="BC289">
        <v>0.25099500000000002</v>
      </c>
      <c r="BD289">
        <v>9.5974800000000002E-3</v>
      </c>
      <c r="BE289">
        <v>8.0618800000000004E-2</v>
      </c>
      <c r="BF289">
        <v>0.20922499999999999</v>
      </c>
      <c r="BG289">
        <v>6.7201599999999999</v>
      </c>
      <c r="BH289">
        <v>38.468600000000002</v>
      </c>
      <c r="BI289">
        <v>54.511800000000001</v>
      </c>
      <c r="BJ289">
        <v>34.904499999999999</v>
      </c>
      <c r="BK289">
        <v>0</v>
      </c>
      <c r="BL289">
        <v>25.6157</v>
      </c>
      <c r="BM289">
        <v>59.974699999999999</v>
      </c>
      <c r="BN289">
        <v>12.9412</v>
      </c>
      <c r="BO289">
        <v>0.94055299999999997</v>
      </c>
      <c r="BP289">
        <v>0.52786100000000002</v>
      </c>
      <c r="BQ289">
        <v>37.177900000000001</v>
      </c>
      <c r="BR289">
        <v>52097</v>
      </c>
    </row>
    <row r="290" spans="1:70" x14ac:dyDescent="0.25">
      <c r="A290">
        <v>39</v>
      </c>
      <c r="B290" s="7">
        <v>46002.572939814818</v>
      </c>
      <c r="C290" t="s">
        <v>148</v>
      </c>
      <c r="D290" s="6" t="s">
        <v>294</v>
      </c>
      <c r="E290" s="6" t="str">
        <f>VLOOKUP(F290,Germplasm!$A$1:$B$21,2,FALSE)</f>
        <v>Brage</v>
      </c>
      <c r="F290" t="s">
        <v>81</v>
      </c>
      <c r="G290" s="6" t="s">
        <v>113</v>
      </c>
      <c r="H290">
        <v>38561.599999999999</v>
      </c>
      <c r="I290">
        <v>540.26</v>
      </c>
      <c r="J290">
        <v>121098</v>
      </c>
      <c r="K290">
        <v>17.537199999999999</v>
      </c>
      <c r="L290">
        <v>66.318100000000001</v>
      </c>
      <c r="M290">
        <v>1315.19</v>
      </c>
      <c r="N290">
        <v>493.15499999999997</v>
      </c>
      <c r="O290">
        <v>25970200</v>
      </c>
      <c r="P290">
        <v>7.9841999999999996E-2</v>
      </c>
      <c r="Q290">
        <v>0.94617499999999999</v>
      </c>
      <c r="R290">
        <v>28.759</v>
      </c>
      <c r="S290">
        <v>43.938000000000002</v>
      </c>
      <c r="T290">
        <v>19.1812</v>
      </c>
      <c r="U290">
        <v>6.4993800000000004</v>
      </c>
      <c r="V290">
        <v>0.67615800000000004</v>
      </c>
      <c r="W290">
        <v>53.559699999999999</v>
      </c>
      <c r="X290">
        <v>15.9656</v>
      </c>
      <c r="Y290">
        <v>38.616900000000001</v>
      </c>
      <c r="Z290">
        <v>10.8475</v>
      </c>
      <c r="AA290">
        <v>16.1754</v>
      </c>
      <c r="AB290">
        <v>10.6411</v>
      </c>
      <c r="AC290">
        <v>7.7534999999999998</v>
      </c>
      <c r="AD290">
        <v>1.81575</v>
      </c>
      <c r="AE290">
        <v>12.013500000000001</v>
      </c>
      <c r="AF290">
        <v>0</v>
      </c>
      <c r="AG290">
        <v>91.858199999999997</v>
      </c>
      <c r="AH290">
        <v>8.1339799999999993</v>
      </c>
      <c r="AI290">
        <v>7.8104100000000003E-3</v>
      </c>
      <c r="AJ290">
        <v>0</v>
      </c>
      <c r="AK290">
        <v>0</v>
      </c>
      <c r="AL290">
        <v>0.209643</v>
      </c>
      <c r="AM290">
        <v>7.1967299999999996</v>
      </c>
      <c r="AN290">
        <v>43.410200000000003</v>
      </c>
      <c r="AO290">
        <v>20.8504</v>
      </c>
      <c r="AP290">
        <v>14.155799999999999</v>
      </c>
      <c r="AQ290">
        <v>9.8879800000000007</v>
      </c>
      <c r="AR290">
        <v>4.4988000000000001</v>
      </c>
      <c r="AS290">
        <v>0.25341200000000003</v>
      </c>
      <c r="AT290">
        <v>0.71744200000000002</v>
      </c>
      <c r="AU290">
        <v>5.9459499999999998</v>
      </c>
      <c r="AV290">
        <v>29.168500000000002</v>
      </c>
      <c r="AW290">
        <v>48.323</v>
      </c>
      <c r="AX290">
        <v>13.1137</v>
      </c>
      <c r="AY290">
        <v>2.7314099999999999</v>
      </c>
      <c r="AZ290">
        <v>673.47199999999998</v>
      </c>
      <c r="BA290">
        <v>770.399</v>
      </c>
      <c r="BB290">
        <v>21237.3</v>
      </c>
      <c r="BC290">
        <v>0.27062999999999998</v>
      </c>
      <c r="BD290">
        <v>5.6904400000000001E-2</v>
      </c>
      <c r="BE290">
        <v>0.225386</v>
      </c>
      <c r="BF290">
        <v>0.56792799999999999</v>
      </c>
      <c r="BG290">
        <v>5.81318</v>
      </c>
      <c r="BH290">
        <v>30.7027</v>
      </c>
      <c r="BI290">
        <v>62.633899999999997</v>
      </c>
      <c r="BJ290">
        <v>31.5276</v>
      </c>
      <c r="BK290">
        <v>0</v>
      </c>
      <c r="BL290">
        <v>33.430799999999998</v>
      </c>
      <c r="BM290">
        <v>57.99</v>
      </c>
      <c r="BN290">
        <v>6.3431699999999998</v>
      </c>
      <c r="BO290">
        <v>1.08565</v>
      </c>
      <c r="BP290">
        <v>1.15036</v>
      </c>
      <c r="BQ290">
        <v>33.447800000000001</v>
      </c>
      <c r="BR290">
        <v>89624</v>
      </c>
    </row>
    <row r="291" spans="1:70" x14ac:dyDescent="0.25">
      <c r="A291">
        <v>39</v>
      </c>
      <c r="B291" s="7">
        <v>46013.610324074078</v>
      </c>
      <c r="C291" t="s">
        <v>148</v>
      </c>
      <c r="D291" s="6" t="s">
        <v>295</v>
      </c>
      <c r="E291" s="6" t="str">
        <f>VLOOKUP(F291,Germplasm!$A$1:$B$21,2,FALSE)</f>
        <v>Brage</v>
      </c>
      <c r="F291" t="s">
        <v>81</v>
      </c>
      <c r="G291" s="6" t="s">
        <v>113</v>
      </c>
      <c r="H291">
        <v>34655.4</v>
      </c>
      <c r="I291">
        <v>464.60500000000002</v>
      </c>
      <c r="J291">
        <v>73116.600000000006</v>
      </c>
      <c r="K291">
        <v>25.791899999999998</v>
      </c>
      <c r="L291">
        <v>57.028700000000001</v>
      </c>
      <c r="M291">
        <v>1051.78</v>
      </c>
      <c r="N291">
        <v>404.96199999999999</v>
      </c>
      <c r="O291">
        <v>18862700</v>
      </c>
      <c r="P291">
        <v>2.26144E-2</v>
      </c>
      <c r="Q291">
        <v>0.86297500000000005</v>
      </c>
      <c r="R291">
        <v>38.085099999999997</v>
      </c>
      <c r="S291">
        <v>53.128100000000003</v>
      </c>
      <c r="T291">
        <v>6.6663199999999998</v>
      </c>
      <c r="U291">
        <v>1.2341200000000001</v>
      </c>
      <c r="V291">
        <v>2.33587E-2</v>
      </c>
      <c r="W291">
        <v>37.059199999999997</v>
      </c>
      <c r="X291">
        <v>20.992999999999999</v>
      </c>
      <c r="Y291">
        <v>55.207099999999997</v>
      </c>
      <c r="Z291">
        <v>11.535299999999999</v>
      </c>
      <c r="AA291">
        <v>6.2899900000000004</v>
      </c>
      <c r="AB291">
        <v>1.16404</v>
      </c>
      <c r="AC291">
        <v>4.8106</v>
      </c>
      <c r="AD291">
        <v>1.83769</v>
      </c>
      <c r="AE291">
        <v>17.390599999999999</v>
      </c>
      <c r="AF291">
        <v>0</v>
      </c>
      <c r="AG291">
        <v>80.056799999999996</v>
      </c>
      <c r="AH291">
        <v>19.8355</v>
      </c>
      <c r="AI291">
        <v>0.10771</v>
      </c>
      <c r="AJ291">
        <v>0</v>
      </c>
      <c r="AK291">
        <v>0</v>
      </c>
      <c r="AL291">
        <v>0.100106</v>
      </c>
      <c r="AM291">
        <v>14.8912</v>
      </c>
      <c r="AN291">
        <v>59.636099999999999</v>
      </c>
      <c r="AO291">
        <v>18.132899999999999</v>
      </c>
      <c r="AP291">
        <v>5.8889899999999997</v>
      </c>
      <c r="AQ291">
        <v>1.16923</v>
      </c>
      <c r="AR291">
        <v>0.28160200000000002</v>
      </c>
      <c r="AS291">
        <v>0.26930599999999999</v>
      </c>
      <c r="AT291">
        <v>0.37114399999999997</v>
      </c>
      <c r="AU291">
        <v>2.21</v>
      </c>
      <c r="AV291">
        <v>27.220700000000001</v>
      </c>
      <c r="AW291">
        <v>56.910899999999998</v>
      </c>
      <c r="AX291">
        <v>11.1875</v>
      </c>
      <c r="AY291">
        <v>2.0996899999999998</v>
      </c>
      <c r="AZ291">
        <v>544.29300000000001</v>
      </c>
      <c r="BA291">
        <v>585.29899999999998</v>
      </c>
      <c r="BB291">
        <v>18858.099999999999</v>
      </c>
      <c r="BC291">
        <v>0.33449800000000002</v>
      </c>
      <c r="BD291">
        <v>6.8778500000000006E-2</v>
      </c>
      <c r="BE291">
        <v>0.22839599999999999</v>
      </c>
      <c r="BF291">
        <v>0.36205999999999999</v>
      </c>
      <c r="BG291">
        <v>1.9193100000000001</v>
      </c>
      <c r="BH291">
        <v>13.000400000000001</v>
      </c>
      <c r="BI291">
        <v>84.421000000000006</v>
      </c>
      <c r="BJ291">
        <v>28.608499999999999</v>
      </c>
      <c r="BK291">
        <v>0</v>
      </c>
      <c r="BL291">
        <v>42.005499999999998</v>
      </c>
      <c r="BM291">
        <v>52.459800000000001</v>
      </c>
      <c r="BN291">
        <v>4.3940400000000004</v>
      </c>
      <c r="BO291">
        <v>0.76824300000000001</v>
      </c>
      <c r="BP291">
        <v>0.372442</v>
      </c>
      <c r="BQ291">
        <v>32.9938</v>
      </c>
      <c r="BR291">
        <v>77059</v>
      </c>
    </row>
    <row r="292" spans="1:70" x14ac:dyDescent="0.25">
      <c r="A292">
        <v>39</v>
      </c>
      <c r="B292" s="7">
        <v>46024.534479166665</v>
      </c>
      <c r="C292" t="s">
        <v>148</v>
      </c>
      <c r="D292" s="6" t="s">
        <v>296</v>
      </c>
      <c r="E292" s="6" t="str">
        <f>VLOOKUP(F292,Germplasm!$A$1:$B$21,2,FALSE)</f>
        <v>Brage</v>
      </c>
      <c r="F292" t="s">
        <v>81</v>
      </c>
      <c r="G292" s="6" t="s">
        <v>113</v>
      </c>
      <c r="H292">
        <v>26739.8</v>
      </c>
      <c r="I292">
        <v>372.58699999999999</v>
      </c>
      <c r="J292">
        <v>52571.9</v>
      </c>
      <c r="K292">
        <v>26.030200000000001</v>
      </c>
      <c r="L292">
        <v>78.960499999999996</v>
      </c>
      <c r="M292">
        <v>854.76599999999996</v>
      </c>
      <c r="N292">
        <v>304.202</v>
      </c>
      <c r="O292">
        <v>11268400</v>
      </c>
      <c r="P292">
        <v>5.5157000000000001E-3</v>
      </c>
      <c r="Q292">
        <v>1.05426</v>
      </c>
      <c r="R292">
        <v>39.729799999999997</v>
      </c>
      <c r="S292">
        <v>57.891100000000002</v>
      </c>
      <c r="T292">
        <v>1.1065100000000001</v>
      </c>
      <c r="U292">
        <v>0.20338899999999999</v>
      </c>
      <c r="V292">
        <v>1.4927599999999999E-2</v>
      </c>
      <c r="W292">
        <v>33.645800000000001</v>
      </c>
      <c r="X292">
        <v>21.797999999999998</v>
      </c>
      <c r="Y292">
        <v>62.154800000000002</v>
      </c>
      <c r="Z292">
        <v>8.0366499999999998</v>
      </c>
      <c r="AA292">
        <v>1.8137000000000001</v>
      </c>
      <c r="AB292">
        <v>0.73518399999999995</v>
      </c>
      <c r="AC292">
        <v>5.4616400000000001</v>
      </c>
      <c r="AD292">
        <v>1.95401</v>
      </c>
      <c r="AE292">
        <v>19.017299999999999</v>
      </c>
      <c r="AF292">
        <v>0</v>
      </c>
      <c r="AG292">
        <v>76.214699999999993</v>
      </c>
      <c r="AH292">
        <v>23.753499999999999</v>
      </c>
      <c r="AI292">
        <v>3.1721199999999998E-2</v>
      </c>
      <c r="AJ292">
        <v>0</v>
      </c>
      <c r="AK292">
        <v>0</v>
      </c>
      <c r="AL292">
        <v>7.6087399999999999E-2</v>
      </c>
      <c r="AM292">
        <v>15.9557</v>
      </c>
      <c r="AN292">
        <v>68.114599999999996</v>
      </c>
      <c r="AO292">
        <v>12.373100000000001</v>
      </c>
      <c r="AP292">
        <v>2.4182700000000001</v>
      </c>
      <c r="AQ292">
        <v>0.87699700000000003</v>
      </c>
      <c r="AR292">
        <v>0.26123299999999999</v>
      </c>
      <c r="AS292">
        <v>0.261013</v>
      </c>
      <c r="AT292">
        <v>0.68853600000000004</v>
      </c>
      <c r="AU292">
        <v>2.6197900000000001</v>
      </c>
      <c r="AV292">
        <v>29.511900000000001</v>
      </c>
      <c r="AW292">
        <v>54.340200000000003</v>
      </c>
      <c r="AX292">
        <v>10.19</v>
      </c>
      <c r="AY292">
        <v>2.6496499999999998</v>
      </c>
      <c r="AZ292">
        <v>421.40899999999999</v>
      </c>
      <c r="BA292">
        <v>425.30500000000001</v>
      </c>
      <c r="BB292">
        <v>13684.6</v>
      </c>
      <c r="BC292">
        <v>0.33511299999999999</v>
      </c>
      <c r="BD292">
        <v>0.15300800000000001</v>
      </c>
      <c r="BE292">
        <v>0.46462199999999998</v>
      </c>
      <c r="BF292">
        <v>0.66054599999999997</v>
      </c>
      <c r="BG292">
        <v>2.0301499999999999</v>
      </c>
      <c r="BH292">
        <v>10.648999999999999</v>
      </c>
      <c r="BI292">
        <v>86.042699999999996</v>
      </c>
      <c r="BJ292">
        <v>27.3828</v>
      </c>
      <c r="BK292">
        <v>0</v>
      </c>
      <c r="BL292">
        <v>48.137799999999999</v>
      </c>
      <c r="BM292">
        <v>46.676699999999997</v>
      </c>
      <c r="BN292">
        <v>3.7505600000000001</v>
      </c>
      <c r="BO292">
        <v>0.91244999999999998</v>
      </c>
      <c r="BP292">
        <v>0.52246599999999999</v>
      </c>
      <c r="BQ292">
        <v>30.794</v>
      </c>
      <c r="BR292">
        <v>53592</v>
      </c>
    </row>
    <row r="293" spans="1:70" x14ac:dyDescent="0.25">
      <c r="A293">
        <v>40</v>
      </c>
      <c r="B293" s="7">
        <v>45952.564108796294</v>
      </c>
      <c r="C293" t="s">
        <v>151</v>
      </c>
      <c r="D293" s="6" t="s">
        <v>297</v>
      </c>
      <c r="E293" s="6" t="str">
        <f>VLOOKUP(F293,Germplasm!$A$1:$B$21,2,FALSE)</f>
        <v>Tyra</v>
      </c>
      <c r="F293" t="s">
        <v>73</v>
      </c>
      <c r="G293" s="6" t="s">
        <v>113</v>
      </c>
      <c r="H293">
        <v>29822.1</v>
      </c>
      <c r="I293">
        <v>348.20800000000003</v>
      </c>
      <c r="J293">
        <v>128964</v>
      </c>
      <c r="K293">
        <v>13.669499999999999</v>
      </c>
      <c r="L293">
        <v>92.078100000000006</v>
      </c>
      <c r="M293">
        <v>1336.27</v>
      </c>
      <c r="N293">
        <v>459.65499999999997</v>
      </c>
      <c r="O293">
        <v>12484300</v>
      </c>
      <c r="P293">
        <v>0.20149300000000001</v>
      </c>
      <c r="Q293">
        <v>0.61518799999999996</v>
      </c>
      <c r="R293">
        <v>7.4232699999999996</v>
      </c>
      <c r="S293">
        <v>25.486799999999999</v>
      </c>
      <c r="T293">
        <v>40.44</v>
      </c>
      <c r="U293">
        <v>25.841200000000001</v>
      </c>
      <c r="V293">
        <v>0.193579</v>
      </c>
      <c r="W293">
        <v>117.066</v>
      </c>
      <c r="X293">
        <v>2.5936300000000001</v>
      </c>
      <c r="Y293">
        <v>3.73542</v>
      </c>
      <c r="Z293">
        <v>4.26858</v>
      </c>
      <c r="AA293">
        <v>14.2986</v>
      </c>
      <c r="AB293">
        <v>34.407899999999998</v>
      </c>
      <c r="AC293">
        <v>40.695900000000002</v>
      </c>
      <c r="AD293">
        <v>1.6916599999999999</v>
      </c>
      <c r="AE293">
        <v>15.3964</v>
      </c>
      <c r="AF293">
        <v>0</v>
      </c>
      <c r="AG293">
        <v>88.321299999999994</v>
      </c>
      <c r="AH293">
        <v>1.07945</v>
      </c>
      <c r="AI293">
        <v>1.74221</v>
      </c>
      <c r="AJ293">
        <v>8.8570600000000006</v>
      </c>
      <c r="AK293">
        <v>0</v>
      </c>
      <c r="AL293">
        <v>0.439689</v>
      </c>
      <c r="AM293">
        <v>10.4221</v>
      </c>
      <c r="AN293">
        <v>5.22499</v>
      </c>
      <c r="AO293">
        <v>6.51607</v>
      </c>
      <c r="AP293">
        <v>14.456099999999999</v>
      </c>
      <c r="AQ293">
        <v>36.9818</v>
      </c>
      <c r="AR293">
        <v>26.398900000000001</v>
      </c>
      <c r="AS293">
        <v>2.5738299999999999E-2</v>
      </c>
      <c r="AT293">
        <v>6.4241999999999999</v>
      </c>
      <c r="AU293">
        <v>39.590200000000003</v>
      </c>
      <c r="AV293">
        <v>41.150300000000001</v>
      </c>
      <c r="AW293">
        <v>9.3623399999999997</v>
      </c>
      <c r="AX293">
        <v>2.3032599999999999</v>
      </c>
      <c r="AY293">
        <v>1.1696800000000001</v>
      </c>
      <c r="AZ293">
        <v>418.62700000000001</v>
      </c>
      <c r="BA293">
        <v>474.59899999999999</v>
      </c>
      <c r="BB293">
        <v>17628.900000000001</v>
      </c>
      <c r="BC293">
        <v>-1.4546699999999999E-3</v>
      </c>
      <c r="BD293">
        <v>0.66112199999999999</v>
      </c>
      <c r="BE293">
        <v>0.91211799999999998</v>
      </c>
      <c r="BF293">
        <v>3.73706</v>
      </c>
      <c r="BG293">
        <v>40.704099999999997</v>
      </c>
      <c r="BH293">
        <v>48.230699999999999</v>
      </c>
      <c r="BI293">
        <v>5.75488</v>
      </c>
      <c r="BJ293">
        <v>31.557400000000001</v>
      </c>
      <c r="BK293">
        <v>0</v>
      </c>
      <c r="BL293">
        <v>35.651400000000002</v>
      </c>
      <c r="BM293">
        <v>54.910800000000002</v>
      </c>
      <c r="BN293">
        <v>6.6899600000000001</v>
      </c>
      <c r="BO293">
        <v>1.3517699999999999</v>
      </c>
      <c r="BP293">
        <v>1.3960699999999999</v>
      </c>
      <c r="BQ293">
        <v>36.2652</v>
      </c>
      <c r="BR293">
        <v>60957</v>
      </c>
    </row>
    <row r="294" spans="1:70" x14ac:dyDescent="0.25">
      <c r="A294">
        <v>40</v>
      </c>
      <c r="B294" s="7">
        <v>45959.527303240742</v>
      </c>
      <c r="C294" t="s">
        <v>151</v>
      </c>
      <c r="D294" s="6" t="s">
        <v>298</v>
      </c>
      <c r="E294" s="6" t="str">
        <f>VLOOKUP(F294,Germplasm!$A$1:$B$21,2,FALSE)</f>
        <v>Tyra</v>
      </c>
      <c r="F294" t="s">
        <v>73</v>
      </c>
      <c r="G294" s="6" t="s">
        <v>113</v>
      </c>
      <c r="H294">
        <v>38599.5</v>
      </c>
      <c r="I294">
        <v>431.47899999999998</v>
      </c>
      <c r="J294">
        <v>145960</v>
      </c>
      <c r="K294">
        <v>16.324000000000002</v>
      </c>
      <c r="L294">
        <v>82.072500000000005</v>
      </c>
      <c r="M294">
        <v>1435.04</v>
      </c>
      <c r="N294">
        <v>481.77300000000002</v>
      </c>
      <c r="O294">
        <v>19536500</v>
      </c>
      <c r="P294">
        <v>0.20485400000000001</v>
      </c>
      <c r="Q294">
        <v>1.3215399999999999</v>
      </c>
      <c r="R294">
        <v>6.9763299999999999</v>
      </c>
      <c r="S294">
        <v>24.293900000000001</v>
      </c>
      <c r="T294">
        <v>39.6357</v>
      </c>
      <c r="U294">
        <v>26.976099999999999</v>
      </c>
      <c r="V294">
        <v>0.79648200000000002</v>
      </c>
      <c r="W294">
        <v>117.779</v>
      </c>
      <c r="X294">
        <v>2.6466400000000001</v>
      </c>
      <c r="Y294">
        <v>3.20608</v>
      </c>
      <c r="Z294">
        <v>4.2313099999999997</v>
      </c>
      <c r="AA294">
        <v>14.5062</v>
      </c>
      <c r="AB294">
        <v>33.714199999999998</v>
      </c>
      <c r="AC294">
        <v>41.695599999999999</v>
      </c>
      <c r="AD294">
        <v>1.6200300000000001</v>
      </c>
      <c r="AE294">
        <v>12.8094</v>
      </c>
      <c r="AF294">
        <v>0</v>
      </c>
      <c r="AG294">
        <v>91.410600000000002</v>
      </c>
      <c r="AH294">
        <v>1.00627</v>
      </c>
      <c r="AI294">
        <v>1.46496</v>
      </c>
      <c r="AJ294">
        <v>6.11822</v>
      </c>
      <c r="AK294">
        <v>0</v>
      </c>
      <c r="AL294">
        <v>0.45386100000000001</v>
      </c>
      <c r="AM294">
        <v>8.1805400000000006</v>
      </c>
      <c r="AN294">
        <v>5.5765599999999997</v>
      </c>
      <c r="AO294">
        <v>7.7775499999999997</v>
      </c>
      <c r="AP294">
        <v>14.656700000000001</v>
      </c>
      <c r="AQ294">
        <v>34.4313</v>
      </c>
      <c r="AR294">
        <v>29.377400000000002</v>
      </c>
      <c r="AS294">
        <v>3.4207099999999997E-2</v>
      </c>
      <c r="AT294">
        <v>7.7656999999999998</v>
      </c>
      <c r="AU294">
        <v>38.836799999999997</v>
      </c>
      <c r="AV294">
        <v>38.543999999999997</v>
      </c>
      <c r="AW294">
        <v>9.7829800000000002</v>
      </c>
      <c r="AX294">
        <v>2.4984899999999999</v>
      </c>
      <c r="AY294">
        <v>2.5719699999999999</v>
      </c>
      <c r="AZ294">
        <v>506.13400000000001</v>
      </c>
      <c r="BA294">
        <v>591</v>
      </c>
      <c r="BB294">
        <v>23826.400000000001</v>
      </c>
      <c r="BC294">
        <v>7.8687400000000002E-4</v>
      </c>
      <c r="BD294">
        <v>0.79411200000000004</v>
      </c>
      <c r="BE294">
        <v>1.0975299999999999</v>
      </c>
      <c r="BF294">
        <v>3.98123</v>
      </c>
      <c r="BG294">
        <v>40.7273</v>
      </c>
      <c r="BH294">
        <v>46.403399999999998</v>
      </c>
      <c r="BI294">
        <v>6.99648</v>
      </c>
      <c r="BJ294">
        <v>33.003100000000003</v>
      </c>
      <c r="BK294">
        <v>0</v>
      </c>
      <c r="BL294">
        <v>35.2301</v>
      </c>
      <c r="BM294">
        <v>52.304699999999997</v>
      </c>
      <c r="BN294">
        <v>8.2433499999999995</v>
      </c>
      <c r="BO294">
        <v>1.69371</v>
      </c>
      <c r="BP294">
        <v>2.5281199999999999</v>
      </c>
      <c r="BQ294">
        <v>38.158999999999999</v>
      </c>
      <c r="BR294">
        <v>84371</v>
      </c>
    </row>
    <row r="295" spans="1:70" x14ac:dyDescent="0.25">
      <c r="A295">
        <v>40</v>
      </c>
      <c r="B295" s="7">
        <v>45966.550995370373</v>
      </c>
      <c r="C295" t="s">
        <v>151</v>
      </c>
      <c r="D295" s="6" t="s">
        <v>299</v>
      </c>
      <c r="E295" s="6" t="str">
        <f>VLOOKUP(F295,Germplasm!$A$1:$B$21,2,FALSE)</f>
        <v>Tyra</v>
      </c>
      <c r="F295" t="s">
        <v>73</v>
      </c>
      <c r="G295" s="6" t="s">
        <v>113</v>
      </c>
      <c r="H295">
        <v>54470.6</v>
      </c>
      <c r="I295">
        <v>449.35500000000002</v>
      </c>
      <c r="J295">
        <v>189151</v>
      </c>
      <c r="K295">
        <v>17.111999999999998</v>
      </c>
      <c r="L295">
        <v>72.114400000000003</v>
      </c>
      <c r="M295">
        <v>1690.96</v>
      </c>
      <c r="N295">
        <v>618.61</v>
      </c>
      <c r="O295">
        <v>28970800</v>
      </c>
      <c r="P295">
        <v>0.21050199999999999</v>
      </c>
      <c r="Q295">
        <v>0.68313100000000004</v>
      </c>
      <c r="R295">
        <v>6.3358699999999999</v>
      </c>
      <c r="S295">
        <v>25.464400000000001</v>
      </c>
      <c r="T295">
        <v>40.011299999999999</v>
      </c>
      <c r="U295">
        <v>26.905899999999999</v>
      </c>
      <c r="V295">
        <v>0.59943000000000002</v>
      </c>
      <c r="W295">
        <v>104.995</v>
      </c>
      <c r="X295">
        <v>2.3934899999999999</v>
      </c>
      <c r="Y295">
        <v>4.6009900000000004</v>
      </c>
      <c r="Z295">
        <v>7.4637099999999998</v>
      </c>
      <c r="AA295">
        <v>25.0839</v>
      </c>
      <c r="AB295">
        <v>34.878599999999999</v>
      </c>
      <c r="AC295">
        <v>25.5794</v>
      </c>
      <c r="AD295">
        <v>1.6828799999999999</v>
      </c>
      <c r="AE295">
        <v>11.206200000000001</v>
      </c>
      <c r="AF295">
        <v>0</v>
      </c>
      <c r="AG295">
        <v>93.549099999999996</v>
      </c>
      <c r="AH295">
        <v>0.94099500000000003</v>
      </c>
      <c r="AI295">
        <v>0.92070399999999997</v>
      </c>
      <c r="AJ295">
        <v>4.5891500000000001</v>
      </c>
      <c r="AK295">
        <v>0</v>
      </c>
      <c r="AL295">
        <v>0.43354199999999998</v>
      </c>
      <c r="AM295">
        <v>6.0999800000000004</v>
      </c>
      <c r="AN295">
        <v>6.0010700000000003</v>
      </c>
      <c r="AO295">
        <v>11.0823</v>
      </c>
      <c r="AP295">
        <v>20.105899999999998</v>
      </c>
      <c r="AQ295">
        <v>34.817700000000002</v>
      </c>
      <c r="AR295">
        <v>21.8932</v>
      </c>
      <c r="AS295">
        <v>0.10152799999999999</v>
      </c>
      <c r="AT295">
        <v>3.52725</v>
      </c>
      <c r="AU295">
        <v>25.346800000000002</v>
      </c>
      <c r="AV295">
        <v>46.344700000000003</v>
      </c>
      <c r="AW295">
        <v>17.795200000000001</v>
      </c>
      <c r="AX295">
        <v>4.5739299999999998</v>
      </c>
      <c r="AY295">
        <v>2.4120900000000001</v>
      </c>
      <c r="AZ295">
        <v>531.86199999999997</v>
      </c>
      <c r="BA295">
        <v>573</v>
      </c>
      <c r="BB295">
        <v>32367.5</v>
      </c>
      <c r="BC295">
        <v>4.9126400000000001E-2</v>
      </c>
      <c r="BD295">
        <v>0.395675</v>
      </c>
      <c r="BE295">
        <v>0.518266</v>
      </c>
      <c r="BF295">
        <v>2.41378</v>
      </c>
      <c r="BG295">
        <v>25.546399999999998</v>
      </c>
      <c r="BH295">
        <v>60.697200000000002</v>
      </c>
      <c r="BI295">
        <v>10.428699999999999</v>
      </c>
      <c r="BJ295">
        <v>32.767299999999999</v>
      </c>
      <c r="BK295">
        <v>0</v>
      </c>
      <c r="BL295">
        <v>35.685099999999998</v>
      </c>
      <c r="BM295">
        <v>51.061500000000002</v>
      </c>
      <c r="BN295">
        <v>10.281599999999999</v>
      </c>
      <c r="BO295">
        <v>1.5539499999999999</v>
      </c>
      <c r="BP295">
        <v>1.4178299999999999</v>
      </c>
      <c r="BQ295">
        <v>36.502899999999997</v>
      </c>
      <c r="BR295">
        <v>118279</v>
      </c>
    </row>
    <row r="296" spans="1:70" x14ac:dyDescent="0.25">
      <c r="A296">
        <v>40</v>
      </c>
      <c r="B296" s="7">
        <v>45973.559224537035</v>
      </c>
      <c r="C296" t="s">
        <v>151</v>
      </c>
      <c r="D296" s="6" t="s">
        <v>300</v>
      </c>
      <c r="E296" s="6" t="str">
        <f>VLOOKUP(F296,Germplasm!$A$1:$B$21,2,FALSE)</f>
        <v>Tyra</v>
      </c>
      <c r="F296" t="s">
        <v>73</v>
      </c>
      <c r="G296" s="6" t="s">
        <v>113</v>
      </c>
      <c r="H296">
        <v>71076.7</v>
      </c>
      <c r="I296">
        <v>416.52499999999998</v>
      </c>
      <c r="J296">
        <v>207726</v>
      </c>
      <c r="K296">
        <v>19.8565</v>
      </c>
      <c r="L296">
        <v>64.739500000000007</v>
      </c>
      <c r="M296">
        <v>1712.52</v>
      </c>
      <c r="N296">
        <v>656.07100000000003</v>
      </c>
      <c r="O296">
        <v>34633900</v>
      </c>
      <c r="P296">
        <v>0.212529</v>
      </c>
      <c r="Q296">
        <v>0.49881999999999999</v>
      </c>
      <c r="R296">
        <v>7.0619100000000001</v>
      </c>
      <c r="S296">
        <v>24.941700000000001</v>
      </c>
      <c r="T296">
        <v>38.353900000000003</v>
      </c>
      <c r="U296">
        <v>28.5549</v>
      </c>
      <c r="V296">
        <v>0.58881399999999995</v>
      </c>
      <c r="W296">
        <v>102.078</v>
      </c>
      <c r="X296">
        <v>3.0469200000000001</v>
      </c>
      <c r="Y296">
        <v>6.9442700000000004</v>
      </c>
      <c r="Z296">
        <v>8.2119</v>
      </c>
      <c r="AA296">
        <v>23.102599999999999</v>
      </c>
      <c r="AB296">
        <v>35.386000000000003</v>
      </c>
      <c r="AC296">
        <v>23.308299999999999</v>
      </c>
      <c r="AD296">
        <v>1.72319</v>
      </c>
      <c r="AE296">
        <v>11.500299999999999</v>
      </c>
      <c r="AF296">
        <v>0</v>
      </c>
      <c r="AG296">
        <v>94.2346</v>
      </c>
      <c r="AH296">
        <v>0.84593799999999997</v>
      </c>
      <c r="AI296">
        <v>0.96421500000000004</v>
      </c>
      <c r="AJ296">
        <v>3.9552100000000001</v>
      </c>
      <c r="AK296">
        <v>0</v>
      </c>
      <c r="AL296">
        <v>0.42362300000000003</v>
      </c>
      <c r="AM296">
        <v>5.58087</v>
      </c>
      <c r="AN296">
        <v>6.79643</v>
      </c>
      <c r="AO296">
        <v>12.0932</v>
      </c>
      <c r="AP296">
        <v>20.550599999999999</v>
      </c>
      <c r="AQ296">
        <v>36.2988</v>
      </c>
      <c r="AR296">
        <v>18.680099999999999</v>
      </c>
      <c r="AS296">
        <v>0.121526</v>
      </c>
      <c r="AT296">
        <v>3.0899899999999998</v>
      </c>
      <c r="AU296">
        <v>23.783300000000001</v>
      </c>
      <c r="AV296">
        <v>43.839599999999997</v>
      </c>
      <c r="AW296">
        <v>20.1328</v>
      </c>
      <c r="AX296">
        <v>6.4505999999999997</v>
      </c>
      <c r="AY296">
        <v>2.7036600000000002</v>
      </c>
      <c r="AZ296">
        <v>487.27600000000001</v>
      </c>
      <c r="BA296">
        <v>558</v>
      </c>
      <c r="BB296">
        <v>41247.199999999997</v>
      </c>
      <c r="BC296">
        <v>6.9566000000000003E-2</v>
      </c>
      <c r="BD296">
        <v>0.36447299999999999</v>
      </c>
      <c r="BE296">
        <v>0.52839000000000003</v>
      </c>
      <c r="BF296">
        <v>1.9451400000000001</v>
      </c>
      <c r="BG296">
        <v>24.034700000000001</v>
      </c>
      <c r="BH296">
        <v>57.576500000000003</v>
      </c>
      <c r="BI296">
        <v>15.5509</v>
      </c>
      <c r="BJ296">
        <v>33.759399999999999</v>
      </c>
      <c r="BK296">
        <v>0</v>
      </c>
      <c r="BL296">
        <v>31.253399999999999</v>
      </c>
      <c r="BM296">
        <v>55.090699999999998</v>
      </c>
      <c r="BN296">
        <v>10.958</v>
      </c>
      <c r="BO296">
        <v>1.6616599999999999</v>
      </c>
      <c r="BP296">
        <v>1.0362100000000001</v>
      </c>
      <c r="BQ296">
        <v>35.525599999999997</v>
      </c>
      <c r="BR296">
        <v>155567</v>
      </c>
    </row>
    <row r="297" spans="1:70" x14ac:dyDescent="0.25">
      <c r="A297">
        <v>40</v>
      </c>
      <c r="B297" s="7">
        <v>45988.550405092596</v>
      </c>
      <c r="C297" t="s">
        <v>151</v>
      </c>
      <c r="D297" s="6" t="s">
        <v>301</v>
      </c>
      <c r="E297" s="6" t="str">
        <f>VLOOKUP(F297,Germplasm!$A$1:$B$21,2,FALSE)</f>
        <v>Tyra</v>
      </c>
      <c r="F297" t="s">
        <v>73</v>
      </c>
      <c r="G297" s="6" t="s">
        <v>113</v>
      </c>
      <c r="H297">
        <v>53220.1</v>
      </c>
      <c r="I297">
        <v>483.53100000000001</v>
      </c>
      <c r="J297">
        <v>212992</v>
      </c>
      <c r="K297">
        <v>13.963800000000001</v>
      </c>
      <c r="L297">
        <v>83.288899999999998</v>
      </c>
      <c r="M297">
        <v>1765.69</v>
      </c>
      <c r="N297">
        <v>604.03</v>
      </c>
      <c r="O297">
        <v>30859800</v>
      </c>
      <c r="P297">
        <v>0.14433199999999999</v>
      </c>
      <c r="Q297">
        <v>0.91822700000000002</v>
      </c>
      <c r="R297">
        <v>14.8485</v>
      </c>
      <c r="S297">
        <v>36.805300000000003</v>
      </c>
      <c r="T297">
        <v>32.315800000000003</v>
      </c>
      <c r="U297">
        <v>14.3727</v>
      </c>
      <c r="V297">
        <v>0.73948800000000003</v>
      </c>
      <c r="W297">
        <v>78.131900000000002</v>
      </c>
      <c r="X297">
        <v>7.9635199999999999</v>
      </c>
      <c r="Y297">
        <v>18.911300000000001</v>
      </c>
      <c r="Z297">
        <v>13.762</v>
      </c>
      <c r="AA297">
        <v>25.5334</v>
      </c>
      <c r="AB297">
        <v>19.989000000000001</v>
      </c>
      <c r="AC297">
        <v>13.8409</v>
      </c>
      <c r="AD297">
        <v>1.7894099999999999</v>
      </c>
      <c r="AE297">
        <v>14.365</v>
      </c>
      <c r="AF297">
        <v>0</v>
      </c>
      <c r="AG297">
        <v>91.600200000000001</v>
      </c>
      <c r="AH297">
        <v>2.5146099999999998</v>
      </c>
      <c r="AI297">
        <v>1.0882000000000001</v>
      </c>
      <c r="AJ297">
        <v>4.79704</v>
      </c>
      <c r="AK297">
        <v>0</v>
      </c>
      <c r="AL297">
        <v>0.29969800000000002</v>
      </c>
      <c r="AM297">
        <v>9.8218700000000005</v>
      </c>
      <c r="AN297">
        <v>17.925599999999999</v>
      </c>
      <c r="AO297">
        <v>22.43</v>
      </c>
      <c r="AP297">
        <v>21.775500000000001</v>
      </c>
      <c r="AQ297">
        <v>19.7927</v>
      </c>
      <c r="AR297">
        <v>8.25441</v>
      </c>
      <c r="AS297">
        <v>0.203037</v>
      </c>
      <c r="AT297">
        <v>1.5551999999999999</v>
      </c>
      <c r="AU297">
        <v>12.741300000000001</v>
      </c>
      <c r="AV297">
        <v>37.209200000000003</v>
      </c>
      <c r="AW297">
        <v>33.542400000000001</v>
      </c>
      <c r="AX297">
        <v>11.7486</v>
      </c>
      <c r="AY297">
        <v>3.2032799999999999</v>
      </c>
      <c r="AZ297">
        <v>579.85299999999995</v>
      </c>
      <c r="BA297">
        <v>710.399</v>
      </c>
      <c r="BB297">
        <v>29741.8</v>
      </c>
      <c r="BC297">
        <v>0.16644600000000001</v>
      </c>
      <c r="BD297">
        <v>0.45035199999999997</v>
      </c>
      <c r="BE297">
        <v>0.40654299999999999</v>
      </c>
      <c r="BF297">
        <v>1.34755</v>
      </c>
      <c r="BG297">
        <v>12.0877</v>
      </c>
      <c r="BH297">
        <v>47.041600000000003</v>
      </c>
      <c r="BI297">
        <v>38.6663</v>
      </c>
      <c r="BJ297">
        <v>33.481999999999999</v>
      </c>
      <c r="BK297">
        <v>0</v>
      </c>
      <c r="BL297">
        <v>32.828400000000002</v>
      </c>
      <c r="BM297">
        <v>54.123699999999999</v>
      </c>
      <c r="BN297">
        <v>9.4679000000000002</v>
      </c>
      <c r="BO297">
        <v>1.8548500000000001</v>
      </c>
      <c r="BP297">
        <v>1.7251799999999999</v>
      </c>
      <c r="BQ297">
        <v>34.015599999999999</v>
      </c>
      <c r="BR297">
        <v>114133</v>
      </c>
    </row>
    <row r="298" spans="1:70" x14ac:dyDescent="0.25">
      <c r="A298">
        <v>40</v>
      </c>
      <c r="B298" s="7">
        <v>45994.555694444447</v>
      </c>
      <c r="C298" t="s">
        <v>151</v>
      </c>
      <c r="D298" s="6" t="s">
        <v>302</v>
      </c>
      <c r="E298" s="6" t="str">
        <f>VLOOKUP(F298,Germplasm!$A$1:$B$21,2,FALSE)</f>
        <v>Tyra</v>
      </c>
      <c r="F298" t="s">
        <v>73</v>
      </c>
      <c r="G298" s="6" t="s">
        <v>113</v>
      </c>
      <c r="H298">
        <v>60449.9</v>
      </c>
      <c r="I298">
        <v>528.923</v>
      </c>
      <c r="J298">
        <v>230850</v>
      </c>
      <c r="K298">
        <v>14.383699999999999</v>
      </c>
      <c r="L298">
        <v>65.434100000000001</v>
      </c>
      <c r="M298">
        <v>1849.11</v>
      </c>
      <c r="N298">
        <v>684.77</v>
      </c>
      <c r="O298">
        <v>38386700</v>
      </c>
      <c r="P298">
        <v>0.13206399999999999</v>
      </c>
      <c r="Q298">
        <v>1.15221</v>
      </c>
      <c r="R298">
        <v>14.511900000000001</v>
      </c>
      <c r="S298">
        <v>40.647799999999997</v>
      </c>
      <c r="T298">
        <v>31.677700000000002</v>
      </c>
      <c r="U298">
        <v>11.474600000000001</v>
      </c>
      <c r="V298">
        <v>0.53585799999999995</v>
      </c>
      <c r="W298">
        <v>75.358500000000006</v>
      </c>
      <c r="X298">
        <v>7.4360799999999996</v>
      </c>
      <c r="Y298">
        <v>20.876999999999999</v>
      </c>
      <c r="Z298">
        <v>15.109</v>
      </c>
      <c r="AA298">
        <v>26.0608</v>
      </c>
      <c r="AB298">
        <v>16.251300000000001</v>
      </c>
      <c r="AC298">
        <v>14.2658</v>
      </c>
      <c r="AD298">
        <v>1.8205100000000001</v>
      </c>
      <c r="AE298">
        <v>14.2934</v>
      </c>
      <c r="AF298">
        <v>0</v>
      </c>
      <c r="AG298">
        <v>91.423199999999994</v>
      </c>
      <c r="AH298">
        <v>3.5447899999999999</v>
      </c>
      <c r="AI298">
        <v>0.90842900000000004</v>
      </c>
      <c r="AJ298">
        <v>4.1235799999999996</v>
      </c>
      <c r="AK298">
        <v>0</v>
      </c>
      <c r="AL298">
        <v>0.275279</v>
      </c>
      <c r="AM298">
        <v>9.3434000000000008</v>
      </c>
      <c r="AN298">
        <v>20.852499999999999</v>
      </c>
      <c r="AO298">
        <v>24.728400000000001</v>
      </c>
      <c r="AP298">
        <v>23.231200000000001</v>
      </c>
      <c r="AQ298">
        <v>16.429099999999998</v>
      </c>
      <c r="AR298">
        <v>5.4153099999999998</v>
      </c>
      <c r="AS298">
        <v>0.21144199999999999</v>
      </c>
      <c r="AT298">
        <v>1.55315</v>
      </c>
      <c r="AU298">
        <v>12.360799999999999</v>
      </c>
      <c r="AV298">
        <v>36.1693</v>
      </c>
      <c r="AW298">
        <v>33.568899999999999</v>
      </c>
      <c r="AX298">
        <v>12.257300000000001</v>
      </c>
      <c r="AY298">
        <v>4.0906099999999999</v>
      </c>
      <c r="AZ298">
        <v>635.01599999999996</v>
      </c>
      <c r="BA298">
        <v>688.19899999999996</v>
      </c>
      <c r="BB298">
        <v>33204.9</v>
      </c>
      <c r="BC298">
        <v>0.177569</v>
      </c>
      <c r="BD298">
        <v>0.39633600000000002</v>
      </c>
      <c r="BE298">
        <v>0.541991</v>
      </c>
      <c r="BF298">
        <v>1.46729</v>
      </c>
      <c r="BG298">
        <v>11.5083</v>
      </c>
      <c r="BH298">
        <v>44.153500000000001</v>
      </c>
      <c r="BI298">
        <v>41.932600000000001</v>
      </c>
      <c r="BJ298">
        <v>32.831499999999998</v>
      </c>
      <c r="BK298">
        <v>0</v>
      </c>
      <c r="BL298">
        <v>36.146999999999998</v>
      </c>
      <c r="BM298">
        <v>50.366100000000003</v>
      </c>
      <c r="BN298">
        <v>9.8347999999999995</v>
      </c>
      <c r="BO298">
        <v>1.9793799999999999</v>
      </c>
      <c r="BP298">
        <v>1.6727399999999999</v>
      </c>
      <c r="BQ298">
        <v>33.359699999999997</v>
      </c>
      <c r="BR298">
        <v>130445</v>
      </c>
    </row>
    <row r="299" spans="1:70" x14ac:dyDescent="0.25">
      <c r="A299">
        <v>40</v>
      </c>
      <c r="B299" s="7">
        <v>46002.574652777781</v>
      </c>
      <c r="C299" t="s">
        <v>151</v>
      </c>
      <c r="D299" s="6" t="s">
        <v>303</v>
      </c>
      <c r="E299" s="6" t="str">
        <f>VLOOKUP(F299,Germplasm!$A$1:$B$21,2,FALSE)</f>
        <v>Tyra</v>
      </c>
      <c r="F299" t="s">
        <v>73</v>
      </c>
      <c r="G299" s="6" t="s">
        <v>113</v>
      </c>
      <c r="H299">
        <v>43852</v>
      </c>
      <c r="I299">
        <v>554.10699999999997</v>
      </c>
      <c r="J299">
        <v>255701</v>
      </c>
      <c r="K299">
        <v>9.5486500000000003</v>
      </c>
      <c r="L299">
        <v>88.817899999999995</v>
      </c>
      <c r="M299">
        <v>1894.18</v>
      </c>
      <c r="N299">
        <v>631.99300000000005</v>
      </c>
      <c r="O299">
        <v>27916800</v>
      </c>
      <c r="P299">
        <v>0.100275</v>
      </c>
      <c r="Q299">
        <v>1.0699700000000001</v>
      </c>
      <c r="R299">
        <v>20.6631</v>
      </c>
      <c r="S299">
        <v>46.16</v>
      </c>
      <c r="T299">
        <v>22.698399999999999</v>
      </c>
      <c r="U299">
        <v>8.9363100000000006</v>
      </c>
      <c r="V299">
        <v>0.47221999999999997</v>
      </c>
      <c r="W299">
        <v>63.779400000000003</v>
      </c>
      <c r="X299">
        <v>11.1221</v>
      </c>
      <c r="Y299">
        <v>30.443200000000001</v>
      </c>
      <c r="Z299">
        <v>13.822900000000001</v>
      </c>
      <c r="AA299">
        <v>20.063400000000001</v>
      </c>
      <c r="AB299">
        <v>13.6774</v>
      </c>
      <c r="AC299">
        <v>10.871</v>
      </c>
      <c r="AD299">
        <v>1.79603</v>
      </c>
      <c r="AE299">
        <v>16.845199999999998</v>
      </c>
      <c r="AF299">
        <v>0</v>
      </c>
      <c r="AG299">
        <v>85.813500000000005</v>
      </c>
      <c r="AH299">
        <v>7.4618700000000002</v>
      </c>
      <c r="AI299">
        <v>1.1735800000000001</v>
      </c>
      <c r="AJ299">
        <v>5.5510700000000002</v>
      </c>
      <c r="AK299">
        <v>0</v>
      </c>
      <c r="AL299">
        <v>0.22462099999999999</v>
      </c>
      <c r="AM299">
        <v>12.462</v>
      </c>
      <c r="AN299">
        <v>29.7897</v>
      </c>
      <c r="AO299">
        <v>24.914100000000001</v>
      </c>
      <c r="AP299">
        <v>16.930199999999999</v>
      </c>
      <c r="AQ299">
        <v>10.88</v>
      </c>
      <c r="AR299">
        <v>5.0240600000000004</v>
      </c>
      <c r="AS299">
        <v>0.223276</v>
      </c>
      <c r="AT299">
        <v>1.28416</v>
      </c>
      <c r="AU299">
        <v>8.9263499999999993</v>
      </c>
      <c r="AV299">
        <v>35.9634</v>
      </c>
      <c r="AW299">
        <v>38.985999999999997</v>
      </c>
      <c r="AX299">
        <v>11.038399999999999</v>
      </c>
      <c r="AY299">
        <v>3.8016700000000001</v>
      </c>
      <c r="AZ299">
        <v>636.61500000000001</v>
      </c>
      <c r="BA299">
        <v>704.99900000000002</v>
      </c>
      <c r="BB299">
        <v>24416</v>
      </c>
      <c r="BC299">
        <v>0.211481</v>
      </c>
      <c r="BD299">
        <v>0.395509</v>
      </c>
      <c r="BE299">
        <v>0.56486999999999998</v>
      </c>
      <c r="BF299">
        <v>1.1307400000000001</v>
      </c>
      <c r="BG299">
        <v>8.1183899999999998</v>
      </c>
      <c r="BH299">
        <v>38.587499999999999</v>
      </c>
      <c r="BI299">
        <v>51.203000000000003</v>
      </c>
      <c r="BJ299">
        <v>31.998799999999999</v>
      </c>
      <c r="BK299">
        <v>0</v>
      </c>
      <c r="BL299">
        <v>37.7776</v>
      </c>
      <c r="BM299">
        <v>50.821399999999997</v>
      </c>
      <c r="BN299">
        <v>7.6730700000000001</v>
      </c>
      <c r="BO299">
        <v>2.01241</v>
      </c>
      <c r="BP299">
        <v>1.71553</v>
      </c>
      <c r="BQ299">
        <v>33.867699999999999</v>
      </c>
      <c r="BR299">
        <v>100377</v>
      </c>
    </row>
    <row r="300" spans="1:70" x14ac:dyDescent="0.25">
      <c r="A300">
        <v>40</v>
      </c>
      <c r="B300" s="7">
        <v>46013.613483796296</v>
      </c>
      <c r="C300" t="s">
        <v>151</v>
      </c>
      <c r="D300" s="6" t="s">
        <v>304</v>
      </c>
      <c r="E300" s="6" t="str">
        <f>VLOOKUP(F300,Germplasm!$A$1:$B$21,2,FALSE)</f>
        <v>Tyra</v>
      </c>
      <c r="F300" t="s">
        <v>73</v>
      </c>
      <c r="G300" s="6" t="s">
        <v>113</v>
      </c>
      <c r="H300">
        <v>30918.3</v>
      </c>
      <c r="I300">
        <v>413.65199999999999</v>
      </c>
      <c r="J300">
        <v>142386</v>
      </c>
      <c r="K300">
        <v>11.919</v>
      </c>
      <c r="L300">
        <v>73.532499999999999</v>
      </c>
      <c r="M300">
        <v>1442.66</v>
      </c>
      <c r="N300">
        <v>522.27800000000002</v>
      </c>
      <c r="O300">
        <v>15071700</v>
      </c>
      <c r="P300">
        <v>2.6976199999999999E-2</v>
      </c>
      <c r="Q300">
        <v>1.3869800000000001</v>
      </c>
      <c r="R300">
        <v>32.204000000000001</v>
      </c>
      <c r="S300">
        <v>58.1753</v>
      </c>
      <c r="T300">
        <v>6.9565799999999998</v>
      </c>
      <c r="U300">
        <v>1.2121599999999999</v>
      </c>
      <c r="V300">
        <v>6.5014799999999998E-2</v>
      </c>
      <c r="W300">
        <v>42.934699999999999</v>
      </c>
      <c r="X300">
        <v>17.708600000000001</v>
      </c>
      <c r="Y300">
        <v>47.021599999999999</v>
      </c>
      <c r="Z300">
        <v>14.020099999999999</v>
      </c>
      <c r="AA300">
        <v>7.85379</v>
      </c>
      <c r="AB300">
        <v>3.2579600000000002</v>
      </c>
      <c r="AC300">
        <v>10.138</v>
      </c>
      <c r="AD300">
        <v>1.8218300000000001</v>
      </c>
      <c r="AE300">
        <v>22.1342</v>
      </c>
      <c r="AF300">
        <v>0</v>
      </c>
      <c r="AG300">
        <v>78.001900000000006</v>
      </c>
      <c r="AH300">
        <v>12.287800000000001</v>
      </c>
      <c r="AI300">
        <v>1.64415</v>
      </c>
      <c r="AJ300">
        <v>8.0661699999999996</v>
      </c>
      <c r="AK300">
        <v>0</v>
      </c>
      <c r="AL300">
        <v>9.8236699999999996E-2</v>
      </c>
      <c r="AM300">
        <v>21.904199999999999</v>
      </c>
      <c r="AN300">
        <v>49.509500000000003</v>
      </c>
      <c r="AO300">
        <v>20.3872</v>
      </c>
      <c r="AP300">
        <v>6.1099500000000004</v>
      </c>
      <c r="AQ300">
        <v>1.5878099999999999</v>
      </c>
      <c r="AR300">
        <v>0.501336</v>
      </c>
      <c r="AS300">
        <v>0.24607699999999999</v>
      </c>
      <c r="AT300">
        <v>1.31474</v>
      </c>
      <c r="AU300">
        <v>6.8135500000000002</v>
      </c>
      <c r="AV300">
        <v>30.4587</v>
      </c>
      <c r="AW300">
        <v>44.9801</v>
      </c>
      <c r="AX300">
        <v>12.3398</v>
      </c>
      <c r="AY300">
        <v>4.0930400000000002</v>
      </c>
      <c r="AZ300">
        <v>487.46899999999999</v>
      </c>
      <c r="BA300">
        <v>599.99900000000002</v>
      </c>
      <c r="BB300">
        <v>16971</v>
      </c>
      <c r="BC300">
        <v>0.28213100000000002</v>
      </c>
      <c r="BD300">
        <v>0.67759899999999995</v>
      </c>
      <c r="BE300">
        <v>0.65448200000000001</v>
      </c>
      <c r="BF300">
        <v>1.38409</v>
      </c>
      <c r="BG300">
        <v>5.40923</v>
      </c>
      <c r="BH300">
        <v>20.096800000000002</v>
      </c>
      <c r="BI300">
        <v>71.777799999999999</v>
      </c>
      <c r="BJ300">
        <v>30.4923</v>
      </c>
      <c r="BK300">
        <v>0</v>
      </c>
      <c r="BL300">
        <v>42.890999999999998</v>
      </c>
      <c r="BM300">
        <v>46.776000000000003</v>
      </c>
      <c r="BN300">
        <v>6.3945699999999999</v>
      </c>
      <c r="BO300">
        <v>1.962</v>
      </c>
      <c r="BP300">
        <v>1.97645</v>
      </c>
      <c r="BQ300">
        <v>33.3142</v>
      </c>
      <c r="BR300">
        <v>69215</v>
      </c>
    </row>
    <row r="301" spans="1:70" x14ac:dyDescent="0.25">
      <c r="A301">
        <v>40</v>
      </c>
      <c r="B301" s="7">
        <v>46024.53633101852</v>
      </c>
      <c r="C301" t="s">
        <v>151</v>
      </c>
      <c r="D301" s="6" t="s">
        <v>305</v>
      </c>
      <c r="E301" s="6" t="str">
        <f>VLOOKUP(F301,Germplasm!$A$1:$B$21,2,FALSE)</f>
        <v>Tyra</v>
      </c>
      <c r="F301" t="s">
        <v>73</v>
      </c>
      <c r="G301" s="6" t="s">
        <v>113</v>
      </c>
      <c r="H301">
        <v>28487.8</v>
      </c>
      <c r="I301">
        <v>359.42899999999997</v>
      </c>
      <c r="J301">
        <v>106781</v>
      </c>
      <c r="K301">
        <v>14.5374</v>
      </c>
      <c r="L301">
        <v>82.389600000000002</v>
      </c>
      <c r="M301">
        <v>1227.3800000000001</v>
      </c>
      <c r="N301">
        <v>446.55799999999999</v>
      </c>
      <c r="O301">
        <v>11683800</v>
      </c>
      <c r="P301">
        <v>8.1406199999999995E-3</v>
      </c>
      <c r="Q301">
        <v>1.23082</v>
      </c>
      <c r="R301">
        <v>36.483199999999997</v>
      </c>
      <c r="S301">
        <v>60.559199999999997</v>
      </c>
      <c r="T301">
        <v>1.41866</v>
      </c>
      <c r="U301">
        <v>0.276812</v>
      </c>
      <c r="V301">
        <v>3.1306100000000003E-2</v>
      </c>
      <c r="W301">
        <v>38.382599999999996</v>
      </c>
      <c r="X301">
        <v>19.589400000000001</v>
      </c>
      <c r="Y301">
        <v>53.904200000000003</v>
      </c>
      <c r="Z301">
        <v>9.9372199999999999</v>
      </c>
      <c r="AA301">
        <v>4.4174600000000002</v>
      </c>
      <c r="AB301">
        <v>2.2458</v>
      </c>
      <c r="AC301">
        <v>9.9059200000000001</v>
      </c>
      <c r="AD301">
        <v>1.83517</v>
      </c>
      <c r="AE301">
        <v>25.7866</v>
      </c>
      <c r="AF301">
        <v>0</v>
      </c>
      <c r="AG301">
        <v>69.343100000000007</v>
      </c>
      <c r="AH301">
        <v>19.4938</v>
      </c>
      <c r="AI301">
        <v>1.7795099999999999</v>
      </c>
      <c r="AJ301">
        <v>9.3835999999999995</v>
      </c>
      <c r="AK301">
        <v>0</v>
      </c>
      <c r="AL301">
        <v>7.0687899999999998E-2</v>
      </c>
      <c r="AM301">
        <v>25.845700000000001</v>
      </c>
      <c r="AN301">
        <v>55.1021</v>
      </c>
      <c r="AO301">
        <v>14.4453</v>
      </c>
      <c r="AP301">
        <v>3.2162899999999999</v>
      </c>
      <c r="AQ301">
        <v>1.1089</v>
      </c>
      <c r="AR301">
        <v>0.28175499999999998</v>
      </c>
      <c r="AS301">
        <v>0.23749799999999999</v>
      </c>
      <c r="AT301">
        <v>1.3115600000000001</v>
      </c>
      <c r="AU301">
        <v>6.7736599999999996</v>
      </c>
      <c r="AV301">
        <v>31.634</v>
      </c>
      <c r="AW301">
        <v>46.1815</v>
      </c>
      <c r="AX301">
        <v>10.303000000000001</v>
      </c>
      <c r="AY301">
        <v>3.7962799999999999</v>
      </c>
      <c r="AZ301">
        <v>410.13400000000001</v>
      </c>
      <c r="BA301">
        <v>441.59899999999999</v>
      </c>
      <c r="BB301">
        <v>15523.3</v>
      </c>
      <c r="BC301">
        <v>0.28534300000000001</v>
      </c>
      <c r="BD301">
        <v>0.66896199999999995</v>
      </c>
      <c r="BE301">
        <v>0.86009500000000005</v>
      </c>
      <c r="BF301">
        <v>1.4087799999999999</v>
      </c>
      <c r="BG301">
        <v>5.14574</v>
      </c>
      <c r="BH301">
        <v>17.4556</v>
      </c>
      <c r="BI301">
        <v>74.460800000000006</v>
      </c>
      <c r="BJ301">
        <v>29.129300000000001</v>
      </c>
      <c r="BK301">
        <v>0</v>
      </c>
      <c r="BL301">
        <v>47.606699999999996</v>
      </c>
      <c r="BM301">
        <v>43.380400000000002</v>
      </c>
      <c r="BN301">
        <v>5.0963099999999999</v>
      </c>
      <c r="BO301">
        <v>2.1288200000000002</v>
      </c>
      <c r="BP301">
        <v>1.7877400000000001</v>
      </c>
      <c r="BQ301">
        <v>33.036999999999999</v>
      </c>
      <c r="BR301">
        <v>60691</v>
      </c>
    </row>
    <row r="302" spans="1:70" x14ac:dyDescent="0.25">
      <c r="A302">
        <v>40</v>
      </c>
      <c r="B302" s="7">
        <v>45952.564108796294</v>
      </c>
      <c r="C302" t="s">
        <v>153</v>
      </c>
      <c r="D302" s="6" t="s">
        <v>297</v>
      </c>
      <c r="E302" s="6" t="str">
        <f>VLOOKUP(F302,Germplasm!$A$1:$B$21,2,FALSE)</f>
        <v>Annika</v>
      </c>
      <c r="F302" t="s">
        <v>66</v>
      </c>
      <c r="G302" s="6" t="s">
        <v>113</v>
      </c>
      <c r="H302">
        <v>35156.699999999997</v>
      </c>
      <c r="I302">
        <v>270.75</v>
      </c>
      <c r="J302">
        <v>140698</v>
      </c>
      <c r="K302">
        <v>15.036899999999999</v>
      </c>
      <c r="L302">
        <v>67.080600000000004</v>
      </c>
      <c r="M302">
        <v>1423.94</v>
      </c>
      <c r="N302">
        <v>547.53200000000004</v>
      </c>
      <c r="O302">
        <v>10767900</v>
      </c>
      <c r="P302">
        <v>0.26208700000000001</v>
      </c>
      <c r="Q302">
        <v>0.41620699999999999</v>
      </c>
      <c r="R302">
        <v>3.12155</v>
      </c>
      <c r="S302">
        <v>14.5573</v>
      </c>
      <c r="T302">
        <v>40.924100000000003</v>
      </c>
      <c r="U302">
        <v>40.564599999999999</v>
      </c>
      <c r="V302">
        <v>0.41620699999999999</v>
      </c>
      <c r="W302">
        <v>116.786</v>
      </c>
      <c r="X302">
        <v>0.78427999999999998</v>
      </c>
      <c r="Y302">
        <v>1.45248</v>
      </c>
      <c r="Z302">
        <v>3.0451000000000001</v>
      </c>
      <c r="AA302">
        <v>16.535</v>
      </c>
      <c r="AB302">
        <v>42.897599999999997</v>
      </c>
      <c r="AC302">
        <v>35.285499999999999</v>
      </c>
      <c r="AD302">
        <v>1.6617299999999999</v>
      </c>
      <c r="AE302">
        <v>6.6858199999999997</v>
      </c>
      <c r="AF302">
        <v>0</v>
      </c>
      <c r="AG302">
        <v>99.941999999999993</v>
      </c>
      <c r="AH302">
        <v>5.8042400000000001E-2</v>
      </c>
      <c r="AI302">
        <v>0</v>
      </c>
      <c r="AJ302">
        <v>0</v>
      </c>
      <c r="AK302">
        <v>0</v>
      </c>
      <c r="AL302">
        <v>0.54814200000000002</v>
      </c>
      <c r="AM302">
        <v>0.47424899999999998</v>
      </c>
      <c r="AN302">
        <v>2.0867</v>
      </c>
      <c r="AO302">
        <v>4.2993899999999998</v>
      </c>
      <c r="AP302">
        <v>12.2186</v>
      </c>
      <c r="AQ302">
        <v>38.602499999999999</v>
      </c>
      <c r="AR302">
        <v>42.318600000000004</v>
      </c>
      <c r="AS302">
        <v>3.99838E-2</v>
      </c>
      <c r="AT302">
        <v>6.7442500000000001</v>
      </c>
      <c r="AU302">
        <v>35.424300000000002</v>
      </c>
      <c r="AV302">
        <v>42.150100000000002</v>
      </c>
      <c r="AW302">
        <v>12.2399</v>
      </c>
      <c r="AX302">
        <v>2.2650700000000001</v>
      </c>
      <c r="AY302">
        <v>1.17642</v>
      </c>
      <c r="AZ302">
        <v>306.28399999999999</v>
      </c>
      <c r="BA302">
        <v>377.99900000000002</v>
      </c>
      <c r="BB302">
        <v>21156.7</v>
      </c>
      <c r="BC302">
        <v>1.31313E-2</v>
      </c>
      <c r="BD302">
        <v>6.2289400000000002E-2</v>
      </c>
      <c r="BE302">
        <v>0.36241099999999998</v>
      </c>
      <c r="BF302">
        <v>2.4675099999999999</v>
      </c>
      <c r="BG302">
        <v>39.273499999999999</v>
      </c>
      <c r="BH302">
        <v>54.174799999999998</v>
      </c>
      <c r="BI302">
        <v>3.6595</v>
      </c>
      <c r="BJ302">
        <v>34.121499999999997</v>
      </c>
      <c r="BK302">
        <v>0</v>
      </c>
      <c r="BL302">
        <v>26.2621</v>
      </c>
      <c r="BM302">
        <v>62.130899999999997</v>
      </c>
      <c r="BN302">
        <v>10.4335</v>
      </c>
      <c r="BO302">
        <v>0.83665999999999996</v>
      </c>
      <c r="BP302">
        <v>0.33692899999999998</v>
      </c>
      <c r="BQ302">
        <v>37.034100000000002</v>
      </c>
      <c r="BR302">
        <v>70638</v>
      </c>
    </row>
    <row r="303" spans="1:70" x14ac:dyDescent="0.25">
      <c r="A303">
        <v>40</v>
      </c>
      <c r="B303" s="7">
        <v>45959.527303240742</v>
      </c>
      <c r="C303" t="s">
        <v>153</v>
      </c>
      <c r="D303" s="6" t="s">
        <v>298</v>
      </c>
      <c r="E303" s="6" t="str">
        <f>VLOOKUP(F303,Germplasm!$A$1:$B$21,2,FALSE)</f>
        <v>Annika</v>
      </c>
      <c r="F303" t="s">
        <v>66</v>
      </c>
      <c r="G303" s="6" t="s">
        <v>113</v>
      </c>
      <c r="H303">
        <v>53667.7</v>
      </c>
      <c r="I303">
        <v>411.07</v>
      </c>
      <c r="J303">
        <v>155002</v>
      </c>
      <c r="K303">
        <v>21.327999999999999</v>
      </c>
      <c r="L303">
        <v>60.441000000000003</v>
      </c>
      <c r="M303">
        <v>1489.79</v>
      </c>
      <c r="N303">
        <v>574.34900000000005</v>
      </c>
      <c r="O303">
        <v>25514200</v>
      </c>
      <c r="P303">
        <v>0.25183499999999998</v>
      </c>
      <c r="Q303">
        <v>0.62448599999999999</v>
      </c>
      <c r="R303">
        <v>2.8960699999999999</v>
      </c>
      <c r="S303">
        <v>16.551600000000001</v>
      </c>
      <c r="T303">
        <v>43.604799999999997</v>
      </c>
      <c r="U303">
        <v>35.534799999999997</v>
      </c>
      <c r="V303">
        <v>0.78821200000000002</v>
      </c>
      <c r="W303">
        <v>119.73099999999999</v>
      </c>
      <c r="X303">
        <v>0.73095200000000005</v>
      </c>
      <c r="Y303">
        <v>1.3608100000000001</v>
      </c>
      <c r="Z303">
        <v>2.83345</v>
      </c>
      <c r="AA303">
        <v>14.5341</v>
      </c>
      <c r="AB303">
        <v>39.863300000000002</v>
      </c>
      <c r="AC303">
        <v>40.677500000000002</v>
      </c>
      <c r="AD303">
        <v>1.6234</v>
      </c>
      <c r="AE303">
        <v>6.5833300000000001</v>
      </c>
      <c r="AF303">
        <v>0</v>
      </c>
      <c r="AG303">
        <v>99.852400000000003</v>
      </c>
      <c r="AH303">
        <v>0.14583299999999999</v>
      </c>
      <c r="AI303">
        <v>1.78936E-3</v>
      </c>
      <c r="AJ303">
        <v>0</v>
      </c>
      <c r="AK303">
        <v>0</v>
      </c>
      <c r="AL303">
        <v>0.54275099999999998</v>
      </c>
      <c r="AM303">
        <v>0.51354500000000003</v>
      </c>
      <c r="AN303">
        <v>2.2295400000000001</v>
      </c>
      <c r="AO303">
        <v>4.5888099999999996</v>
      </c>
      <c r="AP303">
        <v>13.246600000000001</v>
      </c>
      <c r="AQ303">
        <v>39.388199999999998</v>
      </c>
      <c r="AR303">
        <v>40.033299999999997</v>
      </c>
      <c r="AS303">
        <v>2.4150999999999999E-2</v>
      </c>
      <c r="AT303">
        <v>8.2623599999999993</v>
      </c>
      <c r="AU303">
        <v>39.050899999999999</v>
      </c>
      <c r="AV303">
        <v>39.149299999999997</v>
      </c>
      <c r="AW303">
        <v>9.8307300000000009</v>
      </c>
      <c r="AX303">
        <v>2.1758600000000001</v>
      </c>
      <c r="AY303">
        <v>1.5307900000000001</v>
      </c>
      <c r="AZ303">
        <v>475.411</v>
      </c>
      <c r="BA303">
        <v>584.4</v>
      </c>
      <c r="BB303">
        <v>33058.800000000003</v>
      </c>
      <c r="BC303">
        <v>2.5808300000000001E-3</v>
      </c>
      <c r="BD303">
        <v>0.10825600000000001</v>
      </c>
      <c r="BE303">
        <v>0.58780399999999999</v>
      </c>
      <c r="BF303">
        <v>2.9694400000000001</v>
      </c>
      <c r="BG303">
        <v>43.646900000000002</v>
      </c>
      <c r="BH303">
        <v>48.8459</v>
      </c>
      <c r="BI303">
        <v>3.8417500000000002</v>
      </c>
      <c r="BJ303">
        <v>33.382899999999999</v>
      </c>
      <c r="BK303">
        <v>0</v>
      </c>
      <c r="BL303">
        <v>29.936800000000002</v>
      </c>
      <c r="BM303">
        <v>58.673900000000003</v>
      </c>
      <c r="BN303">
        <v>9.5766399999999994</v>
      </c>
      <c r="BO303">
        <v>0.99846100000000004</v>
      </c>
      <c r="BP303">
        <v>0.81415700000000002</v>
      </c>
      <c r="BQ303">
        <v>38.0745</v>
      </c>
      <c r="BR303">
        <v>111772</v>
      </c>
    </row>
    <row r="304" spans="1:70" x14ac:dyDescent="0.25">
      <c r="A304">
        <v>40</v>
      </c>
      <c r="B304" s="7">
        <v>45966.550995370373</v>
      </c>
      <c r="C304" t="s">
        <v>153</v>
      </c>
      <c r="D304" s="6" t="s">
        <v>299</v>
      </c>
      <c r="E304" s="6" t="str">
        <f>VLOOKUP(F304,Germplasm!$A$1:$B$21,2,FALSE)</f>
        <v>Annika</v>
      </c>
      <c r="F304" t="s">
        <v>66</v>
      </c>
      <c r="G304" s="6" t="s">
        <v>113</v>
      </c>
      <c r="H304">
        <v>70014.3</v>
      </c>
      <c r="I304">
        <v>487.78899999999999</v>
      </c>
      <c r="J304">
        <v>209987</v>
      </c>
      <c r="K304">
        <v>19.966699999999999</v>
      </c>
      <c r="L304">
        <v>74.229100000000003</v>
      </c>
      <c r="M304">
        <v>1825.75</v>
      </c>
      <c r="N304">
        <v>671.351</v>
      </c>
      <c r="O304">
        <v>41624900</v>
      </c>
      <c r="P304">
        <v>0.26521899999999998</v>
      </c>
      <c r="Q304">
        <v>0.45091500000000001</v>
      </c>
      <c r="R304">
        <v>2.5263800000000001</v>
      </c>
      <c r="S304">
        <v>13.1191</v>
      </c>
      <c r="T304">
        <v>43.296900000000001</v>
      </c>
      <c r="U304">
        <v>39.874299999999998</v>
      </c>
      <c r="V304">
        <v>0.73247600000000002</v>
      </c>
      <c r="W304">
        <v>117.114</v>
      </c>
      <c r="X304">
        <v>0.71923400000000004</v>
      </c>
      <c r="Y304">
        <v>1.1778200000000001</v>
      </c>
      <c r="Z304">
        <v>2.4559899999999999</v>
      </c>
      <c r="AA304">
        <v>14.0669</v>
      </c>
      <c r="AB304">
        <v>47.539099999999998</v>
      </c>
      <c r="AC304">
        <v>34.040999999999997</v>
      </c>
      <c r="AD304">
        <v>1.6698900000000001</v>
      </c>
      <c r="AE304">
        <v>6.3391200000000003</v>
      </c>
      <c r="AF304">
        <v>0</v>
      </c>
      <c r="AG304">
        <v>99.931700000000006</v>
      </c>
      <c r="AH304">
        <v>6.8299299999999993E-2</v>
      </c>
      <c r="AI304">
        <v>0</v>
      </c>
      <c r="AJ304">
        <v>0</v>
      </c>
      <c r="AK304">
        <v>0</v>
      </c>
      <c r="AL304">
        <v>0.55138799999999999</v>
      </c>
      <c r="AM304">
        <v>0.45509699999999997</v>
      </c>
      <c r="AN304">
        <v>1.9228400000000001</v>
      </c>
      <c r="AO304">
        <v>4.1620799999999996</v>
      </c>
      <c r="AP304">
        <v>10.814299999999999</v>
      </c>
      <c r="AQ304">
        <v>40.739899999999999</v>
      </c>
      <c r="AR304">
        <v>41.905799999999999</v>
      </c>
      <c r="AS304">
        <v>4.0118300000000003E-2</v>
      </c>
      <c r="AT304">
        <v>5.3217699999999999</v>
      </c>
      <c r="AU304">
        <v>36.346400000000003</v>
      </c>
      <c r="AV304">
        <v>45.112400000000001</v>
      </c>
      <c r="AW304">
        <v>9.9410399999999992</v>
      </c>
      <c r="AX304">
        <v>1.8684700000000001</v>
      </c>
      <c r="AY304">
        <v>1.4098900000000001</v>
      </c>
      <c r="AZ304">
        <v>594.51900000000001</v>
      </c>
      <c r="BA304">
        <v>733.2</v>
      </c>
      <c r="BB304">
        <v>41927.5</v>
      </c>
      <c r="BC304">
        <v>1.3435799999999999E-2</v>
      </c>
      <c r="BD304">
        <v>3.5543499999999999E-2</v>
      </c>
      <c r="BE304">
        <v>0.255077</v>
      </c>
      <c r="BF304">
        <v>1.80227</v>
      </c>
      <c r="BG304">
        <v>39.575299999999999</v>
      </c>
      <c r="BH304">
        <v>55.038800000000002</v>
      </c>
      <c r="BI304">
        <v>3.2930000000000001</v>
      </c>
      <c r="BJ304">
        <v>33.7562</v>
      </c>
      <c r="BK304">
        <v>0</v>
      </c>
      <c r="BL304">
        <v>26.2395</v>
      </c>
      <c r="BM304">
        <v>63.415199999999999</v>
      </c>
      <c r="BN304">
        <v>8.7499800000000008</v>
      </c>
      <c r="BO304">
        <v>0.94852499999999995</v>
      </c>
      <c r="BP304">
        <v>0.64675300000000002</v>
      </c>
      <c r="BQ304">
        <v>36.839500000000001</v>
      </c>
      <c r="BR304">
        <v>143486</v>
      </c>
    </row>
    <row r="305" spans="1:70" x14ac:dyDescent="0.25">
      <c r="A305">
        <v>40</v>
      </c>
      <c r="B305" s="7">
        <v>45973.559224537035</v>
      </c>
      <c r="C305" t="s">
        <v>153</v>
      </c>
      <c r="D305" s="6" t="s">
        <v>300</v>
      </c>
      <c r="E305" s="6" t="str">
        <f>VLOOKUP(F305,Germplasm!$A$1:$B$21,2,FALSE)</f>
        <v>Annika</v>
      </c>
      <c r="F305" t="s">
        <v>66</v>
      </c>
      <c r="G305" s="6" t="s">
        <v>113</v>
      </c>
      <c r="H305">
        <v>76151</v>
      </c>
      <c r="I305">
        <v>581.39300000000003</v>
      </c>
      <c r="J305">
        <v>216624</v>
      </c>
      <c r="K305">
        <v>20.212399999999999</v>
      </c>
      <c r="L305">
        <v>73.963099999999997</v>
      </c>
      <c r="M305">
        <v>1783.45</v>
      </c>
      <c r="N305">
        <v>648.08500000000004</v>
      </c>
      <c r="O305">
        <v>54900400</v>
      </c>
      <c r="P305">
        <v>0.257521</v>
      </c>
      <c r="Q305">
        <v>0.33879999999999999</v>
      </c>
      <c r="R305">
        <v>2.3024499999999999</v>
      </c>
      <c r="S305">
        <v>15.073399999999999</v>
      </c>
      <c r="T305">
        <v>44.53</v>
      </c>
      <c r="U305">
        <v>37.205800000000004</v>
      </c>
      <c r="V305">
        <v>0.54944000000000004</v>
      </c>
      <c r="W305">
        <v>112.383</v>
      </c>
      <c r="X305">
        <v>0.76261800000000002</v>
      </c>
      <c r="Y305">
        <v>2.9432499999999999</v>
      </c>
      <c r="Z305">
        <v>4.00596</v>
      </c>
      <c r="AA305">
        <v>16.8017</v>
      </c>
      <c r="AB305">
        <v>47.222000000000001</v>
      </c>
      <c r="AC305">
        <v>28.264399999999998</v>
      </c>
      <c r="AD305">
        <v>1.7392099999999999</v>
      </c>
      <c r="AE305">
        <v>6.8306800000000001</v>
      </c>
      <c r="AF305">
        <v>0</v>
      </c>
      <c r="AG305">
        <v>99.7012</v>
      </c>
      <c r="AH305">
        <v>0.29882900000000001</v>
      </c>
      <c r="AI305">
        <v>0</v>
      </c>
      <c r="AJ305">
        <v>0</v>
      </c>
      <c r="AK305">
        <v>0</v>
      </c>
      <c r="AL305">
        <v>0.52066199999999996</v>
      </c>
      <c r="AM305">
        <v>0.56657000000000002</v>
      </c>
      <c r="AN305">
        <v>3.7369500000000002</v>
      </c>
      <c r="AO305">
        <v>6.5977199999999998</v>
      </c>
      <c r="AP305">
        <v>13.168799999999999</v>
      </c>
      <c r="AQ305">
        <v>40.073599999999999</v>
      </c>
      <c r="AR305">
        <v>35.856400000000001</v>
      </c>
      <c r="AS305">
        <v>7.2931700000000002E-2</v>
      </c>
      <c r="AT305">
        <v>3.1177199999999998</v>
      </c>
      <c r="AU305">
        <v>32.577500000000001</v>
      </c>
      <c r="AV305">
        <v>45.9315</v>
      </c>
      <c r="AW305">
        <v>12.5045</v>
      </c>
      <c r="AX305">
        <v>4.1677499999999998</v>
      </c>
      <c r="AY305">
        <v>1.7009799999999999</v>
      </c>
      <c r="AZ305">
        <v>720.94100000000003</v>
      </c>
      <c r="BA305">
        <v>792.6</v>
      </c>
      <c r="BB305">
        <v>43784.800000000003</v>
      </c>
      <c r="BC305">
        <v>4.0206800000000001E-2</v>
      </c>
      <c r="BD305">
        <v>2.7916099999999999E-2</v>
      </c>
      <c r="BE305">
        <v>0.18082000000000001</v>
      </c>
      <c r="BF305">
        <v>1.2923899999999999</v>
      </c>
      <c r="BG305">
        <v>34.190899999999999</v>
      </c>
      <c r="BH305">
        <v>56.735700000000001</v>
      </c>
      <c r="BI305">
        <v>7.5722500000000004</v>
      </c>
      <c r="BJ305">
        <v>33.698599999999999</v>
      </c>
      <c r="BK305">
        <v>0</v>
      </c>
      <c r="BL305">
        <v>26.020399999999999</v>
      </c>
      <c r="BM305">
        <v>63.456499999999998</v>
      </c>
      <c r="BN305">
        <v>8.9598099999999992</v>
      </c>
      <c r="BO305">
        <v>1.05003</v>
      </c>
      <c r="BP305">
        <v>0.51327599999999995</v>
      </c>
      <c r="BQ305">
        <v>35.149099999999997</v>
      </c>
      <c r="BR305">
        <v>157615</v>
      </c>
    </row>
    <row r="306" spans="1:70" x14ac:dyDescent="0.25">
      <c r="A306">
        <v>40</v>
      </c>
      <c r="B306" s="7">
        <v>45988.550405092596</v>
      </c>
      <c r="C306" t="s">
        <v>153</v>
      </c>
      <c r="D306" s="6" t="s">
        <v>301</v>
      </c>
      <c r="E306" s="6" t="str">
        <f>VLOOKUP(F306,Germplasm!$A$1:$B$21,2,FALSE)</f>
        <v>Annika</v>
      </c>
      <c r="F306" t="s">
        <v>66</v>
      </c>
      <c r="G306" s="6" t="s">
        <v>113</v>
      </c>
      <c r="H306">
        <v>84520</v>
      </c>
      <c r="I306">
        <v>556.21299999999997</v>
      </c>
      <c r="J306">
        <v>216866</v>
      </c>
      <c r="K306">
        <v>21.7133</v>
      </c>
      <c r="L306">
        <v>82.628600000000006</v>
      </c>
      <c r="M306">
        <v>1746.43</v>
      </c>
      <c r="N306">
        <v>588.202</v>
      </c>
      <c r="O306">
        <v>64027300</v>
      </c>
      <c r="P306">
        <v>0.23016200000000001</v>
      </c>
      <c r="Q306">
        <v>0.75319100000000005</v>
      </c>
      <c r="R306">
        <v>5.6244899999999998</v>
      </c>
      <c r="S306">
        <v>17.967700000000001</v>
      </c>
      <c r="T306">
        <v>44.001100000000001</v>
      </c>
      <c r="U306">
        <v>30.979099999999999</v>
      </c>
      <c r="V306">
        <v>0.67431700000000006</v>
      </c>
      <c r="W306">
        <v>100.996</v>
      </c>
      <c r="X306">
        <v>3.0816400000000002</v>
      </c>
      <c r="Y306">
        <v>5.1223700000000001</v>
      </c>
      <c r="Z306">
        <v>6.1760599999999997</v>
      </c>
      <c r="AA306">
        <v>27.325900000000001</v>
      </c>
      <c r="AB306">
        <v>41.053400000000003</v>
      </c>
      <c r="AC306">
        <v>17.240600000000001</v>
      </c>
      <c r="AD306">
        <v>1.7948999999999999</v>
      </c>
      <c r="AE306">
        <v>7.2514000000000003</v>
      </c>
      <c r="AF306">
        <v>0</v>
      </c>
      <c r="AG306">
        <v>99.228999999999999</v>
      </c>
      <c r="AH306">
        <v>0.76874399999999998</v>
      </c>
      <c r="AI306">
        <v>2.2217999999999999E-3</v>
      </c>
      <c r="AJ306">
        <v>0</v>
      </c>
      <c r="AK306">
        <v>0</v>
      </c>
      <c r="AL306">
        <v>0.44828200000000001</v>
      </c>
      <c r="AM306">
        <v>1.34975</v>
      </c>
      <c r="AN306">
        <v>7.0142300000000004</v>
      </c>
      <c r="AO306">
        <v>12.133800000000001</v>
      </c>
      <c r="AP306">
        <v>21.502099999999999</v>
      </c>
      <c r="AQ306">
        <v>38.026699999999998</v>
      </c>
      <c r="AR306">
        <v>19.973400000000002</v>
      </c>
      <c r="AS306">
        <v>0.13344400000000001</v>
      </c>
      <c r="AT306">
        <v>1.74356</v>
      </c>
      <c r="AU306">
        <v>19.2486</v>
      </c>
      <c r="AV306">
        <v>48.619100000000003</v>
      </c>
      <c r="AW306">
        <v>23.209499999999998</v>
      </c>
      <c r="AX306">
        <v>5.1345900000000002</v>
      </c>
      <c r="AY306">
        <v>2.04461</v>
      </c>
      <c r="AZ306">
        <v>757.54</v>
      </c>
      <c r="BA306">
        <v>823.79899999999998</v>
      </c>
      <c r="BB306">
        <v>47088.9</v>
      </c>
      <c r="BC306">
        <v>8.9879600000000004E-2</v>
      </c>
      <c r="BD306">
        <v>8.5539400000000002E-2</v>
      </c>
      <c r="BE306">
        <v>0.24662000000000001</v>
      </c>
      <c r="BF306">
        <v>0.94482200000000005</v>
      </c>
      <c r="BG306">
        <v>19.7135</v>
      </c>
      <c r="BH306">
        <v>62.893700000000003</v>
      </c>
      <c r="BI306">
        <v>16.1158</v>
      </c>
      <c r="BJ306">
        <v>33.839300000000001</v>
      </c>
      <c r="BK306">
        <v>0</v>
      </c>
      <c r="BL306">
        <v>27.256499999999999</v>
      </c>
      <c r="BM306">
        <v>61.478400000000001</v>
      </c>
      <c r="BN306">
        <v>9.2771399999999993</v>
      </c>
      <c r="BO306">
        <v>1.1903300000000001</v>
      </c>
      <c r="BP306">
        <v>0.79762699999999997</v>
      </c>
      <c r="BQ306">
        <v>33.908999999999999</v>
      </c>
      <c r="BR306">
        <v>180034</v>
      </c>
    </row>
    <row r="307" spans="1:70" x14ac:dyDescent="0.25">
      <c r="A307">
        <v>40</v>
      </c>
      <c r="B307" s="7">
        <v>45994.555694444447</v>
      </c>
      <c r="C307" t="s">
        <v>153</v>
      </c>
      <c r="D307" s="6" t="s">
        <v>302</v>
      </c>
      <c r="E307" s="6" t="str">
        <f>VLOOKUP(F307,Germplasm!$A$1:$B$21,2,FALSE)</f>
        <v>Annika</v>
      </c>
      <c r="F307" t="s">
        <v>66</v>
      </c>
      <c r="G307" s="6" t="s">
        <v>113</v>
      </c>
      <c r="H307">
        <v>67876.800000000003</v>
      </c>
      <c r="I307">
        <v>584.36400000000003</v>
      </c>
      <c r="J307">
        <v>184036</v>
      </c>
      <c r="K307">
        <v>19.588799999999999</v>
      </c>
      <c r="L307">
        <v>80.054699999999997</v>
      </c>
      <c r="M307">
        <v>1591.95</v>
      </c>
      <c r="N307">
        <v>547.75</v>
      </c>
      <c r="O307">
        <v>50899200</v>
      </c>
      <c r="P307">
        <v>0.205405</v>
      </c>
      <c r="Q307">
        <v>0.46449099999999999</v>
      </c>
      <c r="R307">
        <v>6.3266099999999996</v>
      </c>
      <c r="S307">
        <v>24.016400000000001</v>
      </c>
      <c r="T307">
        <v>45.600299999999997</v>
      </c>
      <c r="U307">
        <v>23.352399999999999</v>
      </c>
      <c r="V307">
        <v>0.23986499999999999</v>
      </c>
      <c r="W307">
        <v>89.1233</v>
      </c>
      <c r="X307">
        <v>3.4972599999999998</v>
      </c>
      <c r="Y307">
        <v>8.4039000000000001</v>
      </c>
      <c r="Z307">
        <v>14.3985</v>
      </c>
      <c r="AA307">
        <v>35.188600000000001</v>
      </c>
      <c r="AB307">
        <v>27.5627</v>
      </c>
      <c r="AC307">
        <v>10.949</v>
      </c>
      <c r="AD307">
        <v>1.88283</v>
      </c>
      <c r="AE307">
        <v>9.1497100000000007</v>
      </c>
      <c r="AF307">
        <v>0</v>
      </c>
      <c r="AG307">
        <v>98.215599999999995</v>
      </c>
      <c r="AH307">
        <v>1.77779</v>
      </c>
      <c r="AI307">
        <v>5.9635000000000001E-3</v>
      </c>
      <c r="AJ307">
        <v>6.6261200000000003E-4</v>
      </c>
      <c r="AK307">
        <v>0</v>
      </c>
      <c r="AL307">
        <v>0.35444500000000001</v>
      </c>
      <c r="AM307">
        <v>3.2434799999999999</v>
      </c>
      <c r="AN307">
        <v>13.5921</v>
      </c>
      <c r="AO307">
        <v>21.9497</v>
      </c>
      <c r="AP307">
        <v>25.391300000000001</v>
      </c>
      <c r="AQ307">
        <v>26.075800000000001</v>
      </c>
      <c r="AR307">
        <v>9.7476800000000008</v>
      </c>
      <c r="AS307">
        <v>0.196518</v>
      </c>
      <c r="AT307">
        <v>0.97138800000000003</v>
      </c>
      <c r="AU307">
        <v>11.434699999999999</v>
      </c>
      <c r="AV307">
        <v>41.356200000000001</v>
      </c>
      <c r="AW307">
        <v>32.772799999999997</v>
      </c>
      <c r="AX307">
        <v>11.4937</v>
      </c>
      <c r="AY307">
        <v>1.9712700000000001</v>
      </c>
      <c r="AZ307">
        <v>749.87599999999998</v>
      </c>
      <c r="BA307">
        <v>828.59900000000005</v>
      </c>
      <c r="BB307">
        <v>36050.5</v>
      </c>
      <c r="BC307">
        <v>0.163188</v>
      </c>
      <c r="BD307">
        <v>2.2528800000000002E-2</v>
      </c>
      <c r="BE307">
        <v>0.15041299999999999</v>
      </c>
      <c r="BF307">
        <v>0.82230099999999995</v>
      </c>
      <c r="BG307">
        <v>11.402200000000001</v>
      </c>
      <c r="BH307">
        <v>53.054600000000001</v>
      </c>
      <c r="BI307">
        <v>34.547899999999998</v>
      </c>
      <c r="BJ307">
        <v>34.2926</v>
      </c>
      <c r="BK307">
        <v>0</v>
      </c>
      <c r="BL307">
        <v>28.0364</v>
      </c>
      <c r="BM307">
        <v>59.028100000000002</v>
      </c>
      <c r="BN307">
        <v>11.6374</v>
      </c>
      <c r="BO307">
        <v>0.88657399999999997</v>
      </c>
      <c r="BP307">
        <v>0.41148200000000001</v>
      </c>
      <c r="BQ307">
        <v>32.122500000000002</v>
      </c>
      <c r="BR307">
        <v>150918</v>
      </c>
    </row>
    <row r="308" spans="1:70" x14ac:dyDescent="0.25">
      <c r="A308">
        <v>40</v>
      </c>
      <c r="B308" s="7">
        <v>46002.574652777781</v>
      </c>
      <c r="C308" t="s">
        <v>153</v>
      </c>
      <c r="D308" s="6" t="s">
        <v>303</v>
      </c>
      <c r="E308" s="6" t="str">
        <f>VLOOKUP(F308,Germplasm!$A$1:$B$21,2,FALSE)</f>
        <v>Annika</v>
      </c>
      <c r="F308" t="s">
        <v>66</v>
      </c>
      <c r="G308" s="6" t="s">
        <v>113</v>
      </c>
      <c r="H308">
        <v>64368.2</v>
      </c>
      <c r="I308">
        <v>483.33</v>
      </c>
      <c r="J308">
        <v>210617</v>
      </c>
      <c r="K308">
        <v>16.610399999999998</v>
      </c>
      <c r="L308">
        <v>89.239699999999999</v>
      </c>
      <c r="M308">
        <v>1746.79</v>
      </c>
      <c r="N308">
        <v>608.48900000000003</v>
      </c>
      <c r="O308">
        <v>45141000</v>
      </c>
      <c r="P308">
        <v>0.16403400000000001</v>
      </c>
      <c r="Q308">
        <v>0.65231399999999995</v>
      </c>
      <c r="R308">
        <v>10.778700000000001</v>
      </c>
      <c r="S308">
        <v>36.182200000000002</v>
      </c>
      <c r="T308">
        <v>34.915100000000002</v>
      </c>
      <c r="U308">
        <v>16.983499999999999</v>
      </c>
      <c r="V308">
        <v>0.488174</v>
      </c>
      <c r="W308">
        <v>77.6982</v>
      </c>
      <c r="X308">
        <v>5.5736800000000004</v>
      </c>
      <c r="Y308">
        <v>21.178999999999998</v>
      </c>
      <c r="Z308">
        <v>12.725099999999999</v>
      </c>
      <c r="AA308">
        <v>30.391999999999999</v>
      </c>
      <c r="AB308">
        <v>21.991199999999999</v>
      </c>
      <c r="AC308">
        <v>8.1390700000000002</v>
      </c>
      <c r="AD308">
        <v>1.83992</v>
      </c>
      <c r="AE308">
        <v>10.9697</v>
      </c>
      <c r="AF308">
        <v>0</v>
      </c>
      <c r="AG308">
        <v>93.733000000000004</v>
      </c>
      <c r="AH308">
        <v>6.2656099999999997</v>
      </c>
      <c r="AI308">
        <v>1.415E-3</v>
      </c>
      <c r="AJ308">
        <v>0</v>
      </c>
      <c r="AK308">
        <v>0</v>
      </c>
      <c r="AL308">
        <v>0.30247000000000002</v>
      </c>
      <c r="AM308">
        <v>5.7208399999999999</v>
      </c>
      <c r="AN308">
        <v>22.602499999999999</v>
      </c>
      <c r="AO308">
        <v>20.840800000000002</v>
      </c>
      <c r="AP308">
        <v>22.930700000000002</v>
      </c>
      <c r="AQ308">
        <v>20.492000000000001</v>
      </c>
      <c r="AR308">
        <v>7.41317</v>
      </c>
      <c r="AS308">
        <v>0.22242700000000001</v>
      </c>
      <c r="AT308">
        <v>0.93885099999999999</v>
      </c>
      <c r="AU308">
        <v>7.6162200000000002</v>
      </c>
      <c r="AV308">
        <v>38.524700000000003</v>
      </c>
      <c r="AW308">
        <v>37.527099999999997</v>
      </c>
      <c r="AX308">
        <v>13.1326</v>
      </c>
      <c r="AY308">
        <v>2.2604600000000001</v>
      </c>
      <c r="AZ308">
        <v>701.29399999999998</v>
      </c>
      <c r="BA308">
        <v>782.399</v>
      </c>
      <c r="BB308">
        <v>34984.300000000003</v>
      </c>
      <c r="BC308">
        <v>0.206287</v>
      </c>
      <c r="BD308">
        <v>4.5987399999999998E-2</v>
      </c>
      <c r="BE308">
        <v>0.21083499999999999</v>
      </c>
      <c r="BF308">
        <v>0.75419400000000003</v>
      </c>
      <c r="BG308">
        <v>7.54406</v>
      </c>
      <c r="BH308">
        <v>49.725099999999998</v>
      </c>
      <c r="BI308">
        <v>41.719799999999999</v>
      </c>
      <c r="BJ308">
        <v>33.595500000000001</v>
      </c>
      <c r="BK308">
        <v>0</v>
      </c>
      <c r="BL308">
        <v>29.869199999999999</v>
      </c>
      <c r="BM308">
        <v>58.702599999999997</v>
      </c>
      <c r="BN308">
        <v>9.7210300000000007</v>
      </c>
      <c r="BO308">
        <v>1.17516</v>
      </c>
      <c r="BP308">
        <v>0.53203900000000004</v>
      </c>
      <c r="BQ308">
        <v>32.964700000000001</v>
      </c>
      <c r="BR308">
        <v>141343</v>
      </c>
    </row>
    <row r="309" spans="1:70" x14ac:dyDescent="0.25">
      <c r="A309">
        <v>40</v>
      </c>
      <c r="B309" s="7">
        <v>46013.613483796296</v>
      </c>
      <c r="C309" t="s">
        <v>153</v>
      </c>
      <c r="D309" s="6" t="s">
        <v>304</v>
      </c>
      <c r="E309" s="6" t="str">
        <f>VLOOKUP(F309,Germplasm!$A$1:$B$21,2,FALSE)</f>
        <v>Annika</v>
      </c>
      <c r="F309" t="s">
        <v>66</v>
      </c>
      <c r="G309" s="6" t="s">
        <v>113</v>
      </c>
      <c r="H309">
        <v>59212.4</v>
      </c>
      <c r="I309">
        <v>437.52600000000001</v>
      </c>
      <c r="J309">
        <v>173572</v>
      </c>
      <c r="K309">
        <v>18.5273</v>
      </c>
      <c r="L309">
        <v>69.845399999999998</v>
      </c>
      <c r="M309">
        <v>1682.85</v>
      </c>
      <c r="N309">
        <v>604.96600000000001</v>
      </c>
      <c r="O309">
        <v>39121000</v>
      </c>
      <c r="P309">
        <v>9.31279E-2</v>
      </c>
      <c r="Q309">
        <v>0.76539400000000002</v>
      </c>
      <c r="R309">
        <v>19.584599999999998</v>
      </c>
      <c r="S309">
        <v>51.139400000000002</v>
      </c>
      <c r="T309">
        <v>21.181699999999999</v>
      </c>
      <c r="U309">
        <v>7.2359299999999998</v>
      </c>
      <c r="V309">
        <v>9.2971600000000001E-2</v>
      </c>
      <c r="W309">
        <v>53.9848</v>
      </c>
      <c r="X309">
        <v>10.042400000000001</v>
      </c>
      <c r="Y309">
        <v>40.5075</v>
      </c>
      <c r="Z309">
        <v>19.395800000000001</v>
      </c>
      <c r="AA309">
        <v>17.941400000000002</v>
      </c>
      <c r="AB309">
        <v>6.2269399999999999</v>
      </c>
      <c r="AC309">
        <v>5.8860400000000004</v>
      </c>
      <c r="AD309">
        <v>1.8412900000000001</v>
      </c>
      <c r="AE309">
        <v>13.9802</v>
      </c>
      <c r="AF309">
        <v>0</v>
      </c>
      <c r="AG309">
        <v>85.902199999999993</v>
      </c>
      <c r="AH309">
        <v>13.9832</v>
      </c>
      <c r="AI309">
        <v>0.114593</v>
      </c>
      <c r="AJ309">
        <v>0</v>
      </c>
      <c r="AK309">
        <v>0</v>
      </c>
      <c r="AL309">
        <v>0.15642600000000001</v>
      </c>
      <c r="AM309">
        <v>15.312200000000001</v>
      </c>
      <c r="AN309">
        <v>42.448399999999999</v>
      </c>
      <c r="AO309">
        <v>21.342400000000001</v>
      </c>
      <c r="AP309">
        <v>12.8712</v>
      </c>
      <c r="AQ309">
        <v>6.51234</v>
      </c>
      <c r="AR309">
        <v>1.51349</v>
      </c>
      <c r="AS309">
        <v>0.27451100000000001</v>
      </c>
      <c r="AT309">
        <v>0.43819200000000003</v>
      </c>
      <c r="AU309">
        <v>4.0021000000000004</v>
      </c>
      <c r="AV309">
        <v>26.125</v>
      </c>
      <c r="AW309">
        <v>49.812600000000003</v>
      </c>
      <c r="AX309">
        <v>17.1082</v>
      </c>
      <c r="AY309">
        <v>2.5138400000000001</v>
      </c>
      <c r="AZ309">
        <v>660.68899999999996</v>
      </c>
      <c r="BA309">
        <v>742.79899999999998</v>
      </c>
      <c r="BB309">
        <v>32158.2</v>
      </c>
      <c r="BC309">
        <v>0.31663400000000003</v>
      </c>
      <c r="BD309">
        <v>6.5584600000000007E-2</v>
      </c>
      <c r="BE309">
        <v>0.134773</v>
      </c>
      <c r="BF309">
        <v>0.63134199999999996</v>
      </c>
      <c r="BG309">
        <v>3.6042700000000001</v>
      </c>
      <c r="BH309">
        <v>24.081099999999999</v>
      </c>
      <c r="BI309">
        <v>71.482900000000001</v>
      </c>
      <c r="BJ309">
        <v>32.355899999999998</v>
      </c>
      <c r="BK309">
        <v>0</v>
      </c>
      <c r="BL309">
        <v>32.7866</v>
      </c>
      <c r="BM309">
        <v>56.019399999999997</v>
      </c>
      <c r="BN309">
        <v>9.9248999999999992</v>
      </c>
      <c r="BO309">
        <v>1.0039499999999999</v>
      </c>
      <c r="BP309">
        <v>0.26522099999999998</v>
      </c>
      <c r="BQ309">
        <v>32.935400000000001</v>
      </c>
      <c r="BR309">
        <v>138752</v>
      </c>
    </row>
    <row r="310" spans="1:70" x14ac:dyDescent="0.25">
      <c r="A310">
        <v>40</v>
      </c>
      <c r="B310" s="7">
        <v>46024.53633101852</v>
      </c>
      <c r="C310" t="s">
        <v>153</v>
      </c>
      <c r="D310" s="6" t="s">
        <v>305</v>
      </c>
      <c r="E310" s="6" t="str">
        <f>VLOOKUP(F310,Germplasm!$A$1:$B$21,2,FALSE)</f>
        <v>Annika</v>
      </c>
      <c r="F310" t="s">
        <v>66</v>
      </c>
      <c r="G310" s="6" t="s">
        <v>113</v>
      </c>
      <c r="H310">
        <v>38353.699999999997</v>
      </c>
      <c r="I310">
        <v>525.38499999999999</v>
      </c>
      <c r="J310">
        <v>125277</v>
      </c>
      <c r="K310">
        <v>17.122599999999998</v>
      </c>
      <c r="L310">
        <v>91.566199999999995</v>
      </c>
      <c r="M310">
        <v>1349.79</v>
      </c>
      <c r="N310">
        <v>468.91300000000001</v>
      </c>
      <c r="O310">
        <v>25458000</v>
      </c>
      <c r="P310">
        <v>1.60719E-2</v>
      </c>
      <c r="Q310">
        <v>0.99972799999999995</v>
      </c>
      <c r="R310">
        <v>32.129600000000003</v>
      </c>
      <c r="S310">
        <v>64.769900000000007</v>
      </c>
      <c r="T310">
        <v>1.95916</v>
      </c>
      <c r="U310">
        <v>0.13068299999999999</v>
      </c>
      <c r="V310">
        <v>1.08903E-2</v>
      </c>
      <c r="W310">
        <v>36.648200000000003</v>
      </c>
      <c r="X310">
        <v>16.3779</v>
      </c>
      <c r="Y310">
        <v>60.752499999999998</v>
      </c>
      <c r="Z310">
        <v>11.800700000000001</v>
      </c>
      <c r="AA310">
        <v>3.2191700000000001</v>
      </c>
      <c r="AB310">
        <v>1.00299</v>
      </c>
      <c r="AC310">
        <v>6.8467200000000004</v>
      </c>
      <c r="AD310">
        <v>1.78799</v>
      </c>
      <c r="AE310">
        <v>18.541499999999999</v>
      </c>
      <c r="AF310">
        <v>0</v>
      </c>
      <c r="AG310">
        <v>74.554900000000004</v>
      </c>
      <c r="AH310">
        <v>24.848400000000002</v>
      </c>
      <c r="AI310">
        <v>0.57827399999999995</v>
      </c>
      <c r="AJ310">
        <v>1.8513499999999999E-2</v>
      </c>
      <c r="AK310">
        <v>0</v>
      </c>
      <c r="AL310">
        <v>5.3225500000000002E-2</v>
      </c>
      <c r="AM310">
        <v>29.161999999999999</v>
      </c>
      <c r="AN310">
        <v>55.820300000000003</v>
      </c>
      <c r="AO310">
        <v>10.802099999999999</v>
      </c>
      <c r="AP310">
        <v>3.19739</v>
      </c>
      <c r="AQ310">
        <v>0.86468800000000001</v>
      </c>
      <c r="AR310">
        <v>0.153553</v>
      </c>
      <c r="AS310">
        <v>0.24631700000000001</v>
      </c>
      <c r="AT310">
        <v>0.60985599999999995</v>
      </c>
      <c r="AU310">
        <v>3.4641999999999999</v>
      </c>
      <c r="AV310">
        <v>29.204499999999999</v>
      </c>
      <c r="AW310">
        <v>58.292400000000001</v>
      </c>
      <c r="AX310">
        <v>6.68119</v>
      </c>
      <c r="AY310">
        <v>1.7478899999999999</v>
      </c>
      <c r="AZ310">
        <v>663.76900000000001</v>
      </c>
      <c r="BA310">
        <v>715.19899999999996</v>
      </c>
      <c r="BB310">
        <v>21450.7</v>
      </c>
      <c r="BC310">
        <v>0.34420099999999998</v>
      </c>
      <c r="BD310">
        <v>0.100191</v>
      </c>
      <c r="BE310">
        <v>0.37026999999999999</v>
      </c>
      <c r="BF310">
        <v>0.87993500000000002</v>
      </c>
      <c r="BG310">
        <v>2.7236600000000002</v>
      </c>
      <c r="BH310">
        <v>11.3912</v>
      </c>
      <c r="BI310">
        <v>84.534700000000001</v>
      </c>
      <c r="BJ310">
        <v>26.261299999999999</v>
      </c>
      <c r="BK310">
        <v>0</v>
      </c>
      <c r="BL310">
        <v>49.152200000000001</v>
      </c>
      <c r="BM310">
        <v>47.575299999999999</v>
      </c>
      <c r="BN310">
        <v>2.2793399999999999</v>
      </c>
      <c r="BO310">
        <v>0.70786800000000005</v>
      </c>
      <c r="BP310">
        <v>0.285325</v>
      </c>
      <c r="BQ310">
        <v>34.038200000000003</v>
      </c>
      <c r="BR310">
        <v>91825</v>
      </c>
    </row>
    <row r="311" spans="1:70" x14ac:dyDescent="0.25">
      <c r="A311">
        <v>40</v>
      </c>
      <c r="B311" s="7">
        <v>45952.564108796294</v>
      </c>
      <c r="C311" t="s">
        <v>152</v>
      </c>
      <c r="D311" s="6" t="s">
        <v>297</v>
      </c>
      <c r="E311" s="6" t="str">
        <f>VLOOKUP(F311,Germplasm!$A$1:$B$21,2,FALSE)</f>
        <v>Sunnita</v>
      </c>
      <c r="F311" t="s">
        <v>65</v>
      </c>
      <c r="G311" s="6" t="s">
        <v>113</v>
      </c>
      <c r="H311">
        <v>34757.1</v>
      </c>
      <c r="I311">
        <v>345.77100000000002</v>
      </c>
      <c r="J311">
        <v>154450</v>
      </c>
      <c r="K311">
        <v>12.7142</v>
      </c>
      <c r="L311">
        <v>84.614199999999997</v>
      </c>
      <c r="M311">
        <v>1488.37</v>
      </c>
      <c r="N311">
        <v>529.32799999999997</v>
      </c>
      <c r="O311">
        <v>14517200</v>
      </c>
      <c r="P311">
        <v>0.252305</v>
      </c>
      <c r="Q311">
        <v>0.56337599999999999</v>
      </c>
      <c r="R311">
        <v>3.7226699999999999</v>
      </c>
      <c r="S311">
        <v>16.902699999999999</v>
      </c>
      <c r="T311">
        <v>40.438699999999997</v>
      </c>
      <c r="U311">
        <v>37.845700000000001</v>
      </c>
      <c r="V311">
        <v>0.52679299999999996</v>
      </c>
      <c r="W311">
        <v>116.002</v>
      </c>
      <c r="X311">
        <v>0.90286500000000003</v>
      </c>
      <c r="Y311">
        <v>2.0252300000000001</v>
      </c>
      <c r="Z311">
        <v>3.54854</v>
      </c>
      <c r="AA311">
        <v>16.9832</v>
      </c>
      <c r="AB311">
        <v>41.942999999999998</v>
      </c>
      <c r="AC311">
        <v>34.597099999999998</v>
      </c>
      <c r="AD311">
        <v>1.76997</v>
      </c>
      <c r="AE311">
        <v>6.6237899999999996</v>
      </c>
      <c r="AF311">
        <v>0</v>
      </c>
      <c r="AG311">
        <v>99.877099999999999</v>
      </c>
      <c r="AH311">
        <v>0.122918</v>
      </c>
      <c r="AI311">
        <v>0</v>
      </c>
      <c r="AJ311">
        <v>0</v>
      </c>
      <c r="AK311">
        <v>0</v>
      </c>
      <c r="AL311">
        <v>0.52601799999999999</v>
      </c>
      <c r="AM311">
        <v>0.64239500000000005</v>
      </c>
      <c r="AN311">
        <v>3.3773300000000002</v>
      </c>
      <c r="AO311">
        <v>6.1912799999999999</v>
      </c>
      <c r="AP311">
        <v>14.339</v>
      </c>
      <c r="AQ311">
        <v>37.604300000000002</v>
      </c>
      <c r="AR311">
        <v>37.845700000000001</v>
      </c>
      <c r="AS311">
        <v>4.5092199999999999E-2</v>
      </c>
      <c r="AT311">
        <v>6.6185700000000001</v>
      </c>
      <c r="AU311">
        <v>34.136200000000002</v>
      </c>
      <c r="AV311">
        <v>42.9863</v>
      </c>
      <c r="AW311">
        <v>12.423500000000001</v>
      </c>
      <c r="AX311">
        <v>2.6149399999999998</v>
      </c>
      <c r="AY311">
        <v>1.2203999999999999</v>
      </c>
      <c r="AZ311">
        <v>417.67599999999999</v>
      </c>
      <c r="BA311">
        <v>444.59899999999999</v>
      </c>
      <c r="BB311">
        <v>19637.099999999999</v>
      </c>
      <c r="BC311">
        <v>1.6682200000000001E-2</v>
      </c>
      <c r="BD311">
        <v>3.3656199999999997E-2</v>
      </c>
      <c r="BE311">
        <v>0.50338000000000005</v>
      </c>
      <c r="BF311">
        <v>3.04955</v>
      </c>
      <c r="BG311">
        <v>37.168199999999999</v>
      </c>
      <c r="BH311">
        <v>54.404600000000002</v>
      </c>
      <c r="BI311">
        <v>4.8406399999999996</v>
      </c>
      <c r="BJ311">
        <v>33.511200000000002</v>
      </c>
      <c r="BK311">
        <v>0</v>
      </c>
      <c r="BL311">
        <v>28.830200000000001</v>
      </c>
      <c r="BM311">
        <v>59.379800000000003</v>
      </c>
      <c r="BN311">
        <v>10.6061</v>
      </c>
      <c r="BO311">
        <v>0.80921299999999996</v>
      </c>
      <c r="BP311">
        <v>0.37460900000000003</v>
      </c>
      <c r="BQ311">
        <v>34.430700000000002</v>
      </c>
      <c r="BR311">
        <v>68338</v>
      </c>
    </row>
    <row r="312" spans="1:70" x14ac:dyDescent="0.25">
      <c r="A312">
        <v>40</v>
      </c>
      <c r="B312" s="7">
        <v>45959.527303240742</v>
      </c>
      <c r="C312" t="s">
        <v>152</v>
      </c>
      <c r="D312" s="6" t="s">
        <v>298</v>
      </c>
      <c r="E312" s="6" t="str">
        <f>VLOOKUP(F312,Germplasm!$A$1:$B$21,2,FALSE)</f>
        <v>Sunnita</v>
      </c>
      <c r="F312" t="s">
        <v>65</v>
      </c>
      <c r="G312" s="6" t="s">
        <v>113</v>
      </c>
      <c r="H312">
        <v>54658.6</v>
      </c>
      <c r="I312">
        <v>443.64800000000002</v>
      </c>
      <c r="J312">
        <v>254378</v>
      </c>
      <c r="K312">
        <v>12.334099999999999</v>
      </c>
      <c r="L312">
        <v>86.789900000000003</v>
      </c>
      <c r="M312">
        <v>1883.58</v>
      </c>
      <c r="N312">
        <v>661.99</v>
      </c>
      <c r="O312">
        <v>27961900</v>
      </c>
      <c r="P312">
        <v>0.24013100000000001</v>
      </c>
      <c r="Q312">
        <v>0.67192200000000002</v>
      </c>
      <c r="R312">
        <v>3.7738499999999999</v>
      </c>
      <c r="S312">
        <v>18.5016</v>
      </c>
      <c r="T312">
        <v>43.290199999999999</v>
      </c>
      <c r="U312">
        <v>33.200600000000001</v>
      </c>
      <c r="V312">
        <v>0.56187299999999996</v>
      </c>
      <c r="W312">
        <v>115.84099999999999</v>
      </c>
      <c r="X312">
        <v>1.00207</v>
      </c>
      <c r="Y312">
        <v>2.3539599999999998</v>
      </c>
      <c r="Z312">
        <v>4.1066799999999999</v>
      </c>
      <c r="AA312">
        <v>17.062000000000001</v>
      </c>
      <c r="AB312">
        <v>39.552100000000003</v>
      </c>
      <c r="AC312">
        <v>35.923200000000001</v>
      </c>
      <c r="AD312">
        <v>1.7421</v>
      </c>
      <c r="AE312">
        <v>6.7237499999999999</v>
      </c>
      <c r="AF312">
        <v>0</v>
      </c>
      <c r="AG312">
        <v>99.655500000000004</v>
      </c>
      <c r="AH312">
        <v>0.33998699999999998</v>
      </c>
      <c r="AI312">
        <v>4.47351E-3</v>
      </c>
      <c r="AJ312">
        <v>0</v>
      </c>
      <c r="AK312">
        <v>0</v>
      </c>
      <c r="AL312">
        <v>0.51107999999999998</v>
      </c>
      <c r="AM312">
        <v>1.13985</v>
      </c>
      <c r="AN312">
        <v>3.9053800000000001</v>
      </c>
      <c r="AO312">
        <v>7.1066200000000004</v>
      </c>
      <c r="AP312">
        <v>16.176200000000001</v>
      </c>
      <c r="AQ312">
        <v>37.003100000000003</v>
      </c>
      <c r="AR312">
        <v>34.668799999999997</v>
      </c>
      <c r="AS312">
        <v>4.5325200000000003E-2</v>
      </c>
      <c r="AT312">
        <v>6.6807400000000001</v>
      </c>
      <c r="AU312">
        <v>35.031199999999998</v>
      </c>
      <c r="AV312">
        <v>41.680599999999998</v>
      </c>
      <c r="AW312">
        <v>12.394299999999999</v>
      </c>
      <c r="AX312">
        <v>2.7807400000000002</v>
      </c>
      <c r="AY312">
        <v>1.43242</v>
      </c>
      <c r="AZ312">
        <v>511.57400000000001</v>
      </c>
      <c r="BA312">
        <v>588.6</v>
      </c>
      <c r="BB312">
        <v>31375.200000000001</v>
      </c>
      <c r="BC312">
        <v>1.9074799999999999E-2</v>
      </c>
      <c r="BD312">
        <v>9.1259699999999999E-2</v>
      </c>
      <c r="BE312">
        <v>0.60213499999999998</v>
      </c>
      <c r="BF312">
        <v>3.0518299999999998</v>
      </c>
      <c r="BG312">
        <v>37.966700000000003</v>
      </c>
      <c r="BH312">
        <v>51.812199999999997</v>
      </c>
      <c r="BI312">
        <v>6.4758599999999999</v>
      </c>
      <c r="BJ312">
        <v>32.683</v>
      </c>
      <c r="BK312">
        <v>0</v>
      </c>
      <c r="BL312">
        <v>31.833500000000001</v>
      </c>
      <c r="BM312">
        <v>57.1813</v>
      </c>
      <c r="BN312">
        <v>9.3863199999999996</v>
      </c>
      <c r="BO312">
        <v>0.85265100000000005</v>
      </c>
      <c r="BP312">
        <v>0.74618200000000001</v>
      </c>
      <c r="BQ312">
        <v>35.074800000000003</v>
      </c>
      <c r="BR312">
        <v>111769</v>
      </c>
    </row>
    <row r="313" spans="1:70" x14ac:dyDescent="0.25">
      <c r="A313">
        <v>40</v>
      </c>
      <c r="B313" s="7">
        <v>45966.550995370373</v>
      </c>
      <c r="C313" t="s">
        <v>152</v>
      </c>
      <c r="D313" s="6" t="s">
        <v>299</v>
      </c>
      <c r="E313" s="6" t="str">
        <f>VLOOKUP(F313,Germplasm!$A$1:$B$21,2,FALSE)</f>
        <v>Sunnita</v>
      </c>
      <c r="F313" t="s">
        <v>65</v>
      </c>
      <c r="G313" s="6" t="s">
        <v>113</v>
      </c>
      <c r="H313">
        <v>69457.3</v>
      </c>
      <c r="I313">
        <v>495.28899999999999</v>
      </c>
      <c r="J313">
        <v>233018</v>
      </c>
      <c r="K313">
        <v>16.318300000000001</v>
      </c>
      <c r="L313">
        <v>85.360699999999994</v>
      </c>
      <c r="M313">
        <v>1803.76</v>
      </c>
      <c r="N313">
        <v>605.68600000000004</v>
      </c>
      <c r="O313">
        <v>41348200</v>
      </c>
      <c r="P313">
        <v>0.22414500000000001</v>
      </c>
      <c r="Q313">
        <v>0.628664</v>
      </c>
      <c r="R313">
        <v>4.3741000000000003</v>
      </c>
      <c r="S313">
        <v>22.171199999999999</v>
      </c>
      <c r="T313">
        <v>43.577399999999997</v>
      </c>
      <c r="U313">
        <v>28.828099999999999</v>
      </c>
      <c r="V313">
        <v>0.420545</v>
      </c>
      <c r="W313">
        <v>107.873</v>
      </c>
      <c r="X313">
        <v>1.6053900000000001</v>
      </c>
      <c r="Y313">
        <v>4.64968</v>
      </c>
      <c r="Z313">
        <v>7.07606</v>
      </c>
      <c r="AA313">
        <v>22.453900000000001</v>
      </c>
      <c r="AB313">
        <v>35.5396</v>
      </c>
      <c r="AC313">
        <v>28.6753</v>
      </c>
      <c r="AD313">
        <v>1.82664</v>
      </c>
      <c r="AE313">
        <v>6.6903699999999997</v>
      </c>
      <c r="AF313">
        <v>0</v>
      </c>
      <c r="AG313">
        <v>99.784000000000006</v>
      </c>
      <c r="AH313">
        <v>0.21457799999999999</v>
      </c>
      <c r="AI313">
        <v>7.1765399999999997E-4</v>
      </c>
      <c r="AJ313">
        <v>7.1765399999999997E-4</v>
      </c>
      <c r="AK313">
        <v>0</v>
      </c>
      <c r="AL313">
        <v>0.47038799999999997</v>
      </c>
      <c r="AM313">
        <v>1.10806</v>
      </c>
      <c r="AN313">
        <v>5.4355099999999998</v>
      </c>
      <c r="AO313">
        <v>10.7454</v>
      </c>
      <c r="AP313">
        <v>19.957899999999999</v>
      </c>
      <c r="AQ313">
        <v>37.941600000000001</v>
      </c>
      <c r="AR313">
        <v>24.811399999999999</v>
      </c>
      <c r="AS313">
        <v>9.7885299999999995E-2</v>
      </c>
      <c r="AT313">
        <v>3.6155400000000002</v>
      </c>
      <c r="AU313">
        <v>29.435300000000002</v>
      </c>
      <c r="AV313">
        <v>41.194000000000003</v>
      </c>
      <c r="AW313">
        <v>17.960699999999999</v>
      </c>
      <c r="AX313">
        <v>5.57043</v>
      </c>
      <c r="AY313">
        <v>2.2240099999999998</v>
      </c>
      <c r="AZ313">
        <v>595.30399999999997</v>
      </c>
      <c r="BA313">
        <v>694.2</v>
      </c>
      <c r="BB313">
        <v>38024.6</v>
      </c>
      <c r="BC313">
        <v>5.5573900000000002E-2</v>
      </c>
      <c r="BD313">
        <v>5.5259299999999997E-2</v>
      </c>
      <c r="BE313">
        <v>0.30787300000000001</v>
      </c>
      <c r="BF313">
        <v>2.1680299999999999</v>
      </c>
      <c r="BG313">
        <v>30.5168</v>
      </c>
      <c r="BH313">
        <v>54.509399999999999</v>
      </c>
      <c r="BI313">
        <v>12.4427</v>
      </c>
      <c r="BJ313">
        <v>32.682699999999997</v>
      </c>
      <c r="BK313">
        <v>0</v>
      </c>
      <c r="BL313">
        <v>32.351100000000002</v>
      </c>
      <c r="BM313">
        <v>56.098999999999997</v>
      </c>
      <c r="BN313">
        <v>9.8957300000000004</v>
      </c>
      <c r="BO313">
        <v>1.06572</v>
      </c>
      <c r="BP313">
        <v>0.588476</v>
      </c>
      <c r="BQ313">
        <v>33.2376</v>
      </c>
      <c r="BR313">
        <v>139343</v>
      </c>
    </row>
    <row r="314" spans="1:70" x14ac:dyDescent="0.25">
      <c r="A314">
        <v>40</v>
      </c>
      <c r="B314" s="7">
        <v>45973.559224537035</v>
      </c>
      <c r="C314" t="s">
        <v>152</v>
      </c>
      <c r="D314" s="6" t="s">
        <v>300</v>
      </c>
      <c r="E314" s="6" t="str">
        <f>VLOOKUP(F314,Germplasm!$A$1:$B$21,2,FALSE)</f>
        <v>Sunnita</v>
      </c>
      <c r="F314" t="s">
        <v>65</v>
      </c>
      <c r="G314" s="6" t="s">
        <v>113</v>
      </c>
      <c r="H314">
        <v>74207</v>
      </c>
      <c r="I314">
        <v>478.37299999999999</v>
      </c>
      <c r="J314">
        <v>240603</v>
      </c>
      <c r="K314">
        <v>17.507200000000001</v>
      </c>
      <c r="L314">
        <v>67.493899999999996</v>
      </c>
      <c r="M314">
        <v>1836.58</v>
      </c>
      <c r="N314">
        <v>668.87400000000002</v>
      </c>
      <c r="O314">
        <v>47774100</v>
      </c>
      <c r="P314">
        <v>0.1961</v>
      </c>
      <c r="Q314">
        <v>0.64787899999999998</v>
      </c>
      <c r="R314">
        <v>8.2639600000000009</v>
      </c>
      <c r="S314">
        <v>25.6829</v>
      </c>
      <c r="T314">
        <v>42.316499999999998</v>
      </c>
      <c r="U314">
        <v>22.561900000000001</v>
      </c>
      <c r="V314">
        <v>0.52695899999999996</v>
      </c>
      <c r="W314">
        <v>99.798100000000005</v>
      </c>
      <c r="X314">
        <v>4.0056500000000002</v>
      </c>
      <c r="Y314">
        <v>9.7347400000000004</v>
      </c>
      <c r="Z314">
        <v>7.4964399999999998</v>
      </c>
      <c r="AA314">
        <v>22.094100000000001</v>
      </c>
      <c r="AB314">
        <v>32.480499999999999</v>
      </c>
      <c r="AC314">
        <v>24.188600000000001</v>
      </c>
      <c r="AD314">
        <v>1.7616799999999999</v>
      </c>
      <c r="AE314">
        <v>7.3239400000000003</v>
      </c>
      <c r="AF314">
        <v>0</v>
      </c>
      <c r="AG314">
        <v>99.424000000000007</v>
      </c>
      <c r="AH314">
        <v>0.57532700000000003</v>
      </c>
      <c r="AI314">
        <v>6.3642400000000002E-4</v>
      </c>
      <c r="AJ314">
        <v>0</v>
      </c>
      <c r="AK314">
        <v>0</v>
      </c>
      <c r="AL314">
        <v>0.436415</v>
      </c>
      <c r="AM314">
        <v>1.72725</v>
      </c>
      <c r="AN314">
        <v>8.9735800000000001</v>
      </c>
      <c r="AO314">
        <v>13.7639</v>
      </c>
      <c r="AP314">
        <v>19.3123</v>
      </c>
      <c r="AQ314">
        <v>35.390300000000003</v>
      </c>
      <c r="AR314">
        <v>20.832699999999999</v>
      </c>
      <c r="AS314">
        <v>0.12295399999999999</v>
      </c>
      <c r="AT314">
        <v>2.78626</v>
      </c>
      <c r="AU314">
        <v>24.838999999999999</v>
      </c>
      <c r="AV314">
        <v>41.575699999999998</v>
      </c>
      <c r="AW314">
        <v>22.032399999999999</v>
      </c>
      <c r="AX314">
        <v>6.5500699999999998</v>
      </c>
      <c r="AY314">
        <v>2.2166600000000001</v>
      </c>
      <c r="AZ314">
        <v>643.79499999999996</v>
      </c>
      <c r="BA314">
        <v>700.2</v>
      </c>
      <c r="BB314">
        <v>42122.8</v>
      </c>
      <c r="BC314">
        <v>8.7427900000000003E-2</v>
      </c>
      <c r="BD314">
        <v>4.3913199999999999E-2</v>
      </c>
      <c r="BE314">
        <v>0.25138700000000003</v>
      </c>
      <c r="BF314">
        <v>1.6375200000000001</v>
      </c>
      <c r="BG314">
        <v>25.6905</v>
      </c>
      <c r="BH314">
        <v>52.658999999999999</v>
      </c>
      <c r="BI314">
        <v>19.717700000000001</v>
      </c>
      <c r="BJ314">
        <v>31.788599999999999</v>
      </c>
      <c r="BK314">
        <v>0</v>
      </c>
      <c r="BL314">
        <v>33.6738</v>
      </c>
      <c r="BM314">
        <v>56.5501</v>
      </c>
      <c r="BN314">
        <v>8.0373999999999999</v>
      </c>
      <c r="BO314">
        <v>1.1201099999999999</v>
      </c>
      <c r="BP314">
        <v>0.61860400000000004</v>
      </c>
      <c r="BQ314">
        <v>34.636200000000002</v>
      </c>
      <c r="BR314">
        <v>157128</v>
      </c>
    </row>
    <row r="315" spans="1:70" x14ac:dyDescent="0.25">
      <c r="A315">
        <v>40</v>
      </c>
      <c r="B315" s="7">
        <v>45988.550405092596</v>
      </c>
      <c r="C315" t="s">
        <v>152</v>
      </c>
      <c r="D315" s="6" t="s">
        <v>301</v>
      </c>
      <c r="E315" s="6" t="str">
        <f>VLOOKUP(F315,Germplasm!$A$1:$B$21,2,FALSE)</f>
        <v>Sunnita</v>
      </c>
      <c r="F315" t="s">
        <v>65</v>
      </c>
      <c r="G315" s="6" t="s">
        <v>113</v>
      </c>
      <c r="H315">
        <v>45763.3</v>
      </c>
      <c r="I315">
        <v>481.67399999999998</v>
      </c>
      <c r="J315">
        <v>172465</v>
      </c>
      <c r="K315">
        <v>14.656700000000001</v>
      </c>
      <c r="L315">
        <v>87.122600000000006</v>
      </c>
      <c r="M315">
        <v>1558.77</v>
      </c>
      <c r="N315">
        <v>528.21100000000001</v>
      </c>
      <c r="O315">
        <v>30442400</v>
      </c>
      <c r="P315">
        <v>0.139099</v>
      </c>
      <c r="Q315">
        <v>1.2378800000000001</v>
      </c>
      <c r="R315">
        <v>13.9048</v>
      </c>
      <c r="S315">
        <v>37.057000000000002</v>
      </c>
      <c r="T315">
        <v>36.337200000000003</v>
      </c>
      <c r="U315">
        <v>10.690099999999999</v>
      </c>
      <c r="V315">
        <v>0.77304600000000001</v>
      </c>
      <c r="W315">
        <v>76.488500000000002</v>
      </c>
      <c r="X315">
        <v>7.3519699999999997</v>
      </c>
      <c r="Y315">
        <v>20.409400000000002</v>
      </c>
      <c r="Z315">
        <v>14.511200000000001</v>
      </c>
      <c r="AA315">
        <v>25.694199999999999</v>
      </c>
      <c r="AB315">
        <v>18.600300000000001</v>
      </c>
      <c r="AC315">
        <v>13.4329</v>
      </c>
      <c r="AD315">
        <v>1.8104199999999999</v>
      </c>
      <c r="AE315">
        <v>8.8316199999999991</v>
      </c>
      <c r="AF315">
        <v>0</v>
      </c>
      <c r="AG315">
        <v>98.093500000000006</v>
      </c>
      <c r="AH315">
        <v>1.90551</v>
      </c>
      <c r="AI315">
        <v>1.0039599999999999E-3</v>
      </c>
      <c r="AJ315">
        <v>0</v>
      </c>
      <c r="AK315">
        <v>0</v>
      </c>
      <c r="AL315">
        <v>0.31767600000000001</v>
      </c>
      <c r="AM315">
        <v>4.1553699999999996</v>
      </c>
      <c r="AN315">
        <v>20.062000000000001</v>
      </c>
      <c r="AO315">
        <v>22.064900000000002</v>
      </c>
      <c r="AP315">
        <v>25.022600000000001</v>
      </c>
      <c r="AQ315">
        <v>22.3049</v>
      </c>
      <c r="AR315">
        <v>6.39018</v>
      </c>
      <c r="AS315">
        <v>0.21271399999999999</v>
      </c>
      <c r="AT315">
        <v>1.38947</v>
      </c>
      <c r="AU315">
        <v>12.032400000000001</v>
      </c>
      <c r="AV315">
        <v>35.476799999999997</v>
      </c>
      <c r="AW315">
        <v>35.696599999999997</v>
      </c>
      <c r="AX315">
        <v>12.0816</v>
      </c>
      <c r="AY315">
        <v>3.3230900000000001</v>
      </c>
      <c r="AZ315">
        <v>665.21500000000003</v>
      </c>
      <c r="BA315">
        <v>698.399</v>
      </c>
      <c r="BB315">
        <v>25277.7</v>
      </c>
      <c r="BC315">
        <v>0.182502</v>
      </c>
      <c r="BD315">
        <v>6.7265000000000005E-2</v>
      </c>
      <c r="BE315">
        <v>0.27910000000000001</v>
      </c>
      <c r="BF315">
        <v>1.0943099999999999</v>
      </c>
      <c r="BG315">
        <v>11.9772</v>
      </c>
      <c r="BH315">
        <v>45.942999999999998</v>
      </c>
      <c r="BI315">
        <v>40.639099999999999</v>
      </c>
      <c r="BJ315">
        <v>32.248899999999999</v>
      </c>
      <c r="BK315">
        <v>0</v>
      </c>
      <c r="BL315">
        <v>34.615400000000001</v>
      </c>
      <c r="BM315">
        <v>54.482700000000001</v>
      </c>
      <c r="BN315">
        <v>8.2344399999999993</v>
      </c>
      <c r="BO315">
        <v>1.4246099999999999</v>
      </c>
      <c r="BP315">
        <v>1.2428999999999999</v>
      </c>
      <c r="BQ315">
        <v>33.564399999999999</v>
      </c>
      <c r="BR315">
        <v>99606</v>
      </c>
    </row>
    <row r="316" spans="1:70" x14ac:dyDescent="0.25">
      <c r="A316">
        <v>40</v>
      </c>
      <c r="B316" s="7">
        <v>45994.555694444447</v>
      </c>
      <c r="C316" t="s">
        <v>152</v>
      </c>
      <c r="D316" s="6" t="s">
        <v>302</v>
      </c>
      <c r="E316" s="6" t="str">
        <f>VLOOKUP(F316,Germplasm!$A$1:$B$21,2,FALSE)</f>
        <v>Sunnita</v>
      </c>
      <c r="F316" t="s">
        <v>65</v>
      </c>
      <c r="G316" s="6" t="s">
        <v>113</v>
      </c>
      <c r="H316">
        <v>55019</v>
      </c>
      <c r="I316">
        <v>494.00599999999997</v>
      </c>
      <c r="J316">
        <v>191490</v>
      </c>
      <c r="K316">
        <v>15.3611</v>
      </c>
      <c r="L316">
        <v>65.742999999999995</v>
      </c>
      <c r="M316">
        <v>1676.66</v>
      </c>
      <c r="N316">
        <v>634.21</v>
      </c>
      <c r="O316">
        <v>36121400</v>
      </c>
      <c r="P316">
        <v>0.106444</v>
      </c>
      <c r="Q316">
        <v>1.04243</v>
      </c>
      <c r="R316">
        <v>19.970099999999999</v>
      </c>
      <c r="S316">
        <v>44.726999999999997</v>
      </c>
      <c r="T316">
        <v>25.680299999999999</v>
      </c>
      <c r="U316">
        <v>7.9812399999999997</v>
      </c>
      <c r="V316">
        <v>0.59898600000000002</v>
      </c>
      <c r="W316">
        <v>64.090999999999994</v>
      </c>
      <c r="X316">
        <v>10.536</v>
      </c>
      <c r="Y316">
        <v>29.848400000000002</v>
      </c>
      <c r="Z316">
        <v>15.545500000000001</v>
      </c>
      <c r="AA316">
        <v>20.165299999999998</v>
      </c>
      <c r="AB316">
        <v>12.9518</v>
      </c>
      <c r="AC316">
        <v>10.952999999999999</v>
      </c>
      <c r="AD316">
        <v>1.8704400000000001</v>
      </c>
      <c r="AE316">
        <v>10.8773</v>
      </c>
      <c r="AF316">
        <v>0</v>
      </c>
      <c r="AG316">
        <v>96.3399</v>
      </c>
      <c r="AH316">
        <v>3.65265</v>
      </c>
      <c r="AI316">
        <v>7.4459499999999998E-3</v>
      </c>
      <c r="AJ316">
        <v>0</v>
      </c>
      <c r="AK316">
        <v>0</v>
      </c>
      <c r="AL316">
        <v>0.25688499999999997</v>
      </c>
      <c r="AM316">
        <v>5.5439299999999996</v>
      </c>
      <c r="AN316">
        <v>28.5718</v>
      </c>
      <c r="AO316">
        <v>27.752700000000001</v>
      </c>
      <c r="AP316">
        <v>21.0017</v>
      </c>
      <c r="AQ316">
        <v>11.921799999999999</v>
      </c>
      <c r="AR316">
        <v>5.2080299999999999</v>
      </c>
      <c r="AS316">
        <v>0.24432200000000001</v>
      </c>
      <c r="AT316">
        <v>1.05898</v>
      </c>
      <c r="AU316">
        <v>9.1626600000000007</v>
      </c>
      <c r="AV316">
        <v>31.3996</v>
      </c>
      <c r="AW316">
        <v>38.128300000000003</v>
      </c>
      <c r="AX316">
        <v>16.488700000000001</v>
      </c>
      <c r="AY316">
        <v>3.76186</v>
      </c>
      <c r="AZ316">
        <v>656.52700000000004</v>
      </c>
      <c r="BA316">
        <v>697.19899999999996</v>
      </c>
      <c r="BB316">
        <v>29415</v>
      </c>
      <c r="BC316">
        <v>0.22850500000000001</v>
      </c>
      <c r="BD316">
        <v>5.2949000000000003E-2</v>
      </c>
      <c r="BE316">
        <v>0.26474500000000001</v>
      </c>
      <c r="BF316">
        <v>0.95639200000000002</v>
      </c>
      <c r="BG316">
        <v>8.9467300000000005</v>
      </c>
      <c r="BH316">
        <v>37.105699999999999</v>
      </c>
      <c r="BI316">
        <v>52.673499999999997</v>
      </c>
      <c r="BJ316">
        <v>32.172199999999997</v>
      </c>
      <c r="BK316">
        <v>0</v>
      </c>
      <c r="BL316">
        <v>35.892000000000003</v>
      </c>
      <c r="BM316">
        <v>52.403799999999997</v>
      </c>
      <c r="BN316">
        <v>9.1759000000000004</v>
      </c>
      <c r="BO316">
        <v>1.6579699999999999</v>
      </c>
      <c r="BP316">
        <v>0.87034900000000004</v>
      </c>
      <c r="BQ316">
        <v>32.357300000000002</v>
      </c>
      <c r="BR316">
        <v>120871</v>
      </c>
    </row>
    <row r="317" spans="1:70" x14ac:dyDescent="0.25">
      <c r="A317">
        <v>40</v>
      </c>
      <c r="B317" s="7">
        <v>46002.574652777781</v>
      </c>
      <c r="C317" t="s">
        <v>152</v>
      </c>
      <c r="D317" s="6" t="s">
        <v>303</v>
      </c>
      <c r="E317" s="6" t="str">
        <f>VLOOKUP(F317,Germplasm!$A$1:$B$21,2,FALSE)</f>
        <v>Sunnita</v>
      </c>
      <c r="F317" t="s">
        <v>65</v>
      </c>
      <c r="G317" s="6" t="s">
        <v>113</v>
      </c>
      <c r="H317">
        <v>48302.6</v>
      </c>
      <c r="I317">
        <v>434.54500000000002</v>
      </c>
      <c r="J317">
        <v>134770</v>
      </c>
      <c r="K317">
        <v>18.872699999999998</v>
      </c>
      <c r="L317">
        <v>74.035799999999995</v>
      </c>
      <c r="M317">
        <v>1390.39</v>
      </c>
      <c r="N317">
        <v>529.33000000000004</v>
      </c>
      <c r="O317">
        <v>22899700</v>
      </c>
      <c r="P317">
        <v>4.8721100000000003E-2</v>
      </c>
      <c r="Q317">
        <v>1.0379100000000001</v>
      </c>
      <c r="R317">
        <v>31.561199999999999</v>
      </c>
      <c r="S317">
        <v>52.313600000000001</v>
      </c>
      <c r="T317">
        <v>11.916</v>
      </c>
      <c r="U317">
        <v>2.9877899999999999</v>
      </c>
      <c r="V317">
        <v>0.183563</v>
      </c>
      <c r="W317">
        <v>48.256599999999999</v>
      </c>
      <c r="X317">
        <v>17.564499999999999</v>
      </c>
      <c r="Y317">
        <v>42.45</v>
      </c>
      <c r="Z317">
        <v>12.7684</v>
      </c>
      <c r="AA317">
        <v>12.329000000000001</v>
      </c>
      <c r="AB317">
        <v>6.3065699999999998</v>
      </c>
      <c r="AC317">
        <v>8.5815800000000007</v>
      </c>
      <c r="AD317">
        <v>1.8990800000000001</v>
      </c>
      <c r="AE317">
        <v>15.1694</v>
      </c>
      <c r="AF317">
        <v>0</v>
      </c>
      <c r="AG317">
        <v>89.893299999999996</v>
      </c>
      <c r="AH317">
        <v>10.0022</v>
      </c>
      <c r="AI317">
        <v>8.6899599999999994E-2</v>
      </c>
      <c r="AJ317">
        <v>1.7575199999999999E-2</v>
      </c>
      <c r="AK317">
        <v>0</v>
      </c>
      <c r="AL317">
        <v>0.17977399999999999</v>
      </c>
      <c r="AM317">
        <v>7.51633</v>
      </c>
      <c r="AN317">
        <v>40.933599999999998</v>
      </c>
      <c r="AO317">
        <v>32.9604</v>
      </c>
      <c r="AP317">
        <v>12.3466</v>
      </c>
      <c r="AQ317">
        <v>4.7404200000000003</v>
      </c>
      <c r="AR317">
        <v>1.50268</v>
      </c>
      <c r="AS317">
        <v>0.251305</v>
      </c>
      <c r="AT317">
        <v>0.62001399999999995</v>
      </c>
      <c r="AU317">
        <v>6.57606</v>
      </c>
      <c r="AV317">
        <v>31.152999999999999</v>
      </c>
      <c r="AW317">
        <v>45.120399999999997</v>
      </c>
      <c r="AX317">
        <v>12.9275</v>
      </c>
      <c r="AY317">
        <v>3.6029200000000001</v>
      </c>
      <c r="AZ317">
        <v>474.089</v>
      </c>
      <c r="BA317">
        <v>572.69899999999996</v>
      </c>
      <c r="BB317">
        <v>25434.799999999999</v>
      </c>
      <c r="BC317">
        <v>0.26589099999999999</v>
      </c>
      <c r="BD317">
        <v>8.0064800000000005E-2</v>
      </c>
      <c r="BE317">
        <v>0.22750100000000001</v>
      </c>
      <c r="BF317">
        <v>0.76256900000000005</v>
      </c>
      <c r="BG317">
        <v>6.1259399999999999</v>
      </c>
      <c r="BH317">
        <v>26.334499999999998</v>
      </c>
      <c r="BI317">
        <v>66.469399999999993</v>
      </c>
      <c r="BJ317">
        <v>29.172599999999999</v>
      </c>
      <c r="BK317">
        <v>0</v>
      </c>
      <c r="BL317">
        <v>43.788600000000002</v>
      </c>
      <c r="BM317">
        <v>48.119</v>
      </c>
      <c r="BN317">
        <v>5.9550700000000001</v>
      </c>
      <c r="BO317">
        <v>1.4138299999999999</v>
      </c>
      <c r="BP317">
        <v>0.72351299999999996</v>
      </c>
      <c r="BQ317">
        <v>31.807300000000001</v>
      </c>
      <c r="BR317">
        <v>102417</v>
      </c>
    </row>
    <row r="318" spans="1:70" x14ac:dyDescent="0.25">
      <c r="A318">
        <v>40</v>
      </c>
      <c r="B318" s="7">
        <v>46013.613483796296</v>
      </c>
      <c r="C318" t="s">
        <v>152</v>
      </c>
      <c r="D318" s="6" t="s">
        <v>304</v>
      </c>
      <c r="E318" s="6" t="str">
        <f>VLOOKUP(F318,Germplasm!$A$1:$B$21,2,FALSE)</f>
        <v>Sunnita</v>
      </c>
      <c r="F318" t="s">
        <v>65</v>
      </c>
      <c r="G318" s="6" t="s">
        <v>113</v>
      </c>
      <c r="H318">
        <v>36949.800000000003</v>
      </c>
      <c r="I318">
        <v>453.161</v>
      </c>
      <c r="J318">
        <v>175017</v>
      </c>
      <c r="K318">
        <v>11.200799999999999</v>
      </c>
      <c r="L318">
        <v>73.117900000000006</v>
      </c>
      <c r="M318">
        <v>1629.01</v>
      </c>
      <c r="N318">
        <v>607.63099999999997</v>
      </c>
      <c r="O318">
        <v>18533400</v>
      </c>
      <c r="P318">
        <v>1.5291300000000001E-2</v>
      </c>
      <c r="Q318">
        <v>1.2983899999999999</v>
      </c>
      <c r="R318">
        <v>38.368299999999998</v>
      </c>
      <c r="S318">
        <v>55.5274</v>
      </c>
      <c r="T318">
        <v>4.0064500000000001</v>
      </c>
      <c r="U318">
        <v>0.75216799999999995</v>
      </c>
      <c r="V318">
        <v>4.7330299999999999E-2</v>
      </c>
      <c r="W318">
        <v>36.595700000000001</v>
      </c>
      <c r="X318">
        <v>21.491800000000001</v>
      </c>
      <c r="Y318">
        <v>55.879199999999997</v>
      </c>
      <c r="Z318">
        <v>10.7197</v>
      </c>
      <c r="AA318">
        <v>4.6959299999999997</v>
      </c>
      <c r="AB318">
        <v>1.40456</v>
      </c>
      <c r="AC318">
        <v>5.80884</v>
      </c>
      <c r="AD318">
        <v>1.88487</v>
      </c>
      <c r="AE318">
        <v>18.031199999999998</v>
      </c>
      <c r="AF318">
        <v>0</v>
      </c>
      <c r="AG318">
        <v>77.603800000000007</v>
      </c>
      <c r="AH318">
        <v>21.937000000000001</v>
      </c>
      <c r="AI318">
        <v>0.38120100000000001</v>
      </c>
      <c r="AJ318">
        <v>7.8031100000000006E-2</v>
      </c>
      <c r="AK318">
        <v>0</v>
      </c>
      <c r="AL318">
        <v>0.113452</v>
      </c>
      <c r="AM318">
        <v>12.785600000000001</v>
      </c>
      <c r="AN318">
        <v>56.970300000000002</v>
      </c>
      <c r="AO318">
        <v>23.210999999999999</v>
      </c>
      <c r="AP318">
        <v>4.907</v>
      </c>
      <c r="AQ318">
        <v>1.5017799999999999</v>
      </c>
      <c r="AR318">
        <v>0.62424800000000003</v>
      </c>
      <c r="AS318">
        <v>0.27988099999999999</v>
      </c>
      <c r="AT318">
        <v>0.54110100000000005</v>
      </c>
      <c r="AU318">
        <v>3.1225200000000002</v>
      </c>
      <c r="AV318">
        <v>26.261900000000001</v>
      </c>
      <c r="AW318">
        <v>51.671900000000001</v>
      </c>
      <c r="AX318">
        <v>14.7121</v>
      </c>
      <c r="AY318">
        <v>3.69049</v>
      </c>
      <c r="AZ318">
        <v>501.584</v>
      </c>
      <c r="BA318">
        <v>671.399</v>
      </c>
      <c r="BB318">
        <v>19603.3</v>
      </c>
      <c r="BC318">
        <v>0.33093699999999998</v>
      </c>
      <c r="BD318">
        <v>8.0589499999999994E-2</v>
      </c>
      <c r="BE318">
        <v>0.30061100000000002</v>
      </c>
      <c r="BF318">
        <v>0.62424800000000003</v>
      </c>
      <c r="BG318">
        <v>2.6581700000000001</v>
      </c>
      <c r="BH318">
        <v>14.336</v>
      </c>
      <c r="BI318">
        <v>82.000399999999999</v>
      </c>
      <c r="BJ318">
        <v>29.791399999999999</v>
      </c>
      <c r="BK318">
        <v>0</v>
      </c>
      <c r="BL318">
        <v>41.428100000000001</v>
      </c>
      <c r="BM318">
        <v>51.094999999999999</v>
      </c>
      <c r="BN318">
        <v>5.3483299999999998</v>
      </c>
      <c r="BO318">
        <v>1.35595</v>
      </c>
      <c r="BP318">
        <v>0.77263499999999996</v>
      </c>
      <c r="BQ318">
        <v>32.068800000000003</v>
      </c>
      <c r="BR318">
        <v>78174</v>
      </c>
    </row>
    <row r="319" spans="1:70" x14ac:dyDescent="0.25">
      <c r="A319">
        <v>40</v>
      </c>
      <c r="B319" s="7">
        <v>46024.53633101852</v>
      </c>
      <c r="C319" t="s">
        <v>152</v>
      </c>
      <c r="D319" s="6" t="s">
        <v>305</v>
      </c>
      <c r="E319" s="6" t="str">
        <f>VLOOKUP(F319,Germplasm!$A$1:$B$21,2,FALSE)</f>
        <v>Sunnita</v>
      </c>
      <c r="F319" t="s">
        <v>65</v>
      </c>
      <c r="G319" s="6" t="s">
        <v>113</v>
      </c>
      <c r="H319">
        <v>32977.300000000003</v>
      </c>
      <c r="I319">
        <v>367.298</v>
      </c>
      <c r="J319">
        <v>131747</v>
      </c>
      <c r="K319">
        <v>13.3779</v>
      </c>
      <c r="L319">
        <v>82.270499999999998</v>
      </c>
      <c r="M319">
        <v>1395.23</v>
      </c>
      <c r="N319">
        <v>521.37099999999998</v>
      </c>
      <c r="O319">
        <v>13379000</v>
      </c>
      <c r="P319">
        <v>4.6711399999999998E-3</v>
      </c>
      <c r="Q319">
        <v>1.1757</v>
      </c>
      <c r="R319">
        <v>40.814700000000002</v>
      </c>
      <c r="S319">
        <v>56.462699999999998</v>
      </c>
      <c r="T319">
        <v>1.3047299999999999</v>
      </c>
      <c r="U319">
        <v>0.210206</v>
      </c>
      <c r="V319">
        <v>3.1893299999999999E-2</v>
      </c>
      <c r="W319">
        <v>33.463099999999997</v>
      </c>
      <c r="X319">
        <v>22.057099999999998</v>
      </c>
      <c r="Y319">
        <v>63.14</v>
      </c>
      <c r="Z319">
        <v>7.6703400000000004</v>
      </c>
      <c r="AA319">
        <v>1.8933</v>
      </c>
      <c r="AB319">
        <v>0.69875299999999996</v>
      </c>
      <c r="AC319">
        <v>4.5404499999999999</v>
      </c>
      <c r="AD319">
        <v>1.8710599999999999</v>
      </c>
      <c r="AE319">
        <v>19.188600000000001</v>
      </c>
      <c r="AF319">
        <v>0</v>
      </c>
      <c r="AG319">
        <v>75.950999999999993</v>
      </c>
      <c r="AH319">
        <v>23.661899999999999</v>
      </c>
      <c r="AI319">
        <v>0.37257200000000001</v>
      </c>
      <c r="AJ319">
        <v>1.4496999999999999E-2</v>
      </c>
      <c r="AK319">
        <v>0</v>
      </c>
      <c r="AL319">
        <v>9.9640000000000006E-2</v>
      </c>
      <c r="AM319">
        <v>14.0113</v>
      </c>
      <c r="AN319">
        <v>61.045200000000001</v>
      </c>
      <c r="AO319">
        <v>19.679600000000001</v>
      </c>
      <c r="AP319">
        <v>3.7764600000000002</v>
      </c>
      <c r="AQ319">
        <v>1.11772</v>
      </c>
      <c r="AR319">
        <v>0.369672</v>
      </c>
      <c r="AS319">
        <v>0.28292</v>
      </c>
      <c r="AT319">
        <v>0.37112200000000001</v>
      </c>
      <c r="AU319">
        <v>2.1281500000000002</v>
      </c>
      <c r="AV319">
        <v>26.471399999999999</v>
      </c>
      <c r="AW319">
        <v>53.708300000000001</v>
      </c>
      <c r="AX319">
        <v>13.824299999999999</v>
      </c>
      <c r="AY319">
        <v>3.4966699999999999</v>
      </c>
      <c r="AZ319">
        <v>405.70499999999998</v>
      </c>
      <c r="BA319">
        <v>451.19900000000001</v>
      </c>
      <c r="BB319">
        <v>17624.900000000001</v>
      </c>
      <c r="BC319">
        <v>0.34062500000000001</v>
      </c>
      <c r="BD319">
        <v>7.39345E-2</v>
      </c>
      <c r="BE319">
        <v>0.2392</v>
      </c>
      <c r="BF319">
        <v>0.45375500000000002</v>
      </c>
      <c r="BG319">
        <v>1.7323900000000001</v>
      </c>
      <c r="BH319">
        <v>11.085800000000001</v>
      </c>
      <c r="BI319">
        <v>86.414900000000003</v>
      </c>
      <c r="BJ319">
        <v>29.314499999999999</v>
      </c>
      <c r="BK319">
        <v>0</v>
      </c>
      <c r="BL319">
        <v>42.589199999999998</v>
      </c>
      <c r="BM319">
        <v>50.648000000000003</v>
      </c>
      <c r="BN319">
        <v>4.86083</v>
      </c>
      <c r="BO319">
        <v>1.29748</v>
      </c>
      <c r="BP319">
        <v>0.60452300000000003</v>
      </c>
      <c r="BQ319">
        <v>32.330800000000004</v>
      </c>
      <c r="BR319">
        <v>68980</v>
      </c>
    </row>
    <row r="320" spans="1:70" x14ac:dyDescent="0.25">
      <c r="A320">
        <v>31</v>
      </c>
      <c r="B320" s="7">
        <v>45973.546956018516</v>
      </c>
      <c r="C320" t="s">
        <v>133</v>
      </c>
      <c r="D320" s="6" t="s">
        <v>215</v>
      </c>
      <c r="E320" s="6" t="str">
        <f>VLOOKUP(F320,Germplasm!$A$1:$B$21,2,FALSE)</f>
        <v>Olve</v>
      </c>
      <c r="F320" t="s">
        <v>62</v>
      </c>
      <c r="G320" s="6" t="s">
        <v>113</v>
      </c>
      <c r="H320">
        <v>47171.199999999997</v>
      </c>
      <c r="I320">
        <v>470.36399999999998</v>
      </c>
      <c r="J320">
        <v>163227</v>
      </c>
      <c r="K320">
        <v>16.439699999999998</v>
      </c>
      <c r="L320">
        <v>80.714299999999994</v>
      </c>
      <c r="M320">
        <v>1519.95</v>
      </c>
      <c r="N320">
        <v>539.98800000000006</v>
      </c>
      <c r="O320">
        <v>26850000</v>
      </c>
      <c r="P320">
        <v>0.15905900000000001</v>
      </c>
      <c r="Q320">
        <v>0.93463300000000005</v>
      </c>
      <c r="R320">
        <v>12.424899999999999</v>
      </c>
      <c r="S320">
        <v>34.202800000000003</v>
      </c>
      <c r="T320">
        <v>34.709200000000003</v>
      </c>
      <c r="U320">
        <v>17.100000000000001</v>
      </c>
      <c r="V320">
        <v>0.62849299999999997</v>
      </c>
      <c r="W320">
        <v>95.998199999999997</v>
      </c>
      <c r="X320">
        <v>5.7851900000000001</v>
      </c>
      <c r="Y320">
        <v>11.763</v>
      </c>
      <c r="Z320">
        <v>10.319100000000001</v>
      </c>
      <c r="AA320">
        <v>22.1966</v>
      </c>
      <c r="AB320">
        <v>21.331600000000002</v>
      </c>
      <c r="AC320">
        <v>28.604500000000002</v>
      </c>
      <c r="AD320">
        <v>1.7578800000000001</v>
      </c>
      <c r="AE320">
        <v>12.724299999999999</v>
      </c>
      <c r="AF320">
        <v>0</v>
      </c>
      <c r="AG320">
        <v>92.259699999999995</v>
      </c>
      <c r="AH320">
        <v>1.4830099999999999</v>
      </c>
      <c r="AI320">
        <v>1.1215599999999999</v>
      </c>
      <c r="AJ320">
        <v>5.1357100000000004</v>
      </c>
      <c r="AK320">
        <v>0</v>
      </c>
      <c r="AL320">
        <v>0.359597</v>
      </c>
      <c r="AM320">
        <v>7.9844400000000002</v>
      </c>
      <c r="AN320">
        <v>12.310499999999999</v>
      </c>
      <c r="AO320">
        <v>17.694099999999999</v>
      </c>
      <c r="AP320">
        <v>21.303899999999999</v>
      </c>
      <c r="AQ320">
        <v>27.213100000000001</v>
      </c>
      <c r="AR320">
        <v>13.494</v>
      </c>
      <c r="AS320">
        <v>0.13352900000000001</v>
      </c>
      <c r="AT320">
        <v>4.5482300000000002</v>
      </c>
      <c r="AU320">
        <v>25.3324</v>
      </c>
      <c r="AV320">
        <v>34.321100000000001</v>
      </c>
      <c r="AW320">
        <v>23.029199999999999</v>
      </c>
      <c r="AX320">
        <v>9.7907600000000006</v>
      </c>
      <c r="AY320">
        <v>2.9784299999999999</v>
      </c>
      <c r="AZ320">
        <v>569.20399999999995</v>
      </c>
      <c r="BA320">
        <v>620.4</v>
      </c>
      <c r="BB320">
        <v>26834.1</v>
      </c>
      <c r="BC320">
        <v>9.1514100000000001E-2</v>
      </c>
      <c r="BD320">
        <v>0.51786299999999996</v>
      </c>
      <c r="BE320">
        <v>0.60941900000000004</v>
      </c>
      <c r="BF320">
        <v>3.1892</v>
      </c>
      <c r="BG320">
        <v>25.5641</v>
      </c>
      <c r="BH320">
        <v>44.804200000000002</v>
      </c>
      <c r="BI320">
        <v>25.315200000000001</v>
      </c>
      <c r="BJ320">
        <v>32.452199999999998</v>
      </c>
      <c r="BK320">
        <v>0</v>
      </c>
      <c r="BL320">
        <v>37.040999999999997</v>
      </c>
      <c r="BM320">
        <v>49.805399999999999</v>
      </c>
      <c r="BN320">
        <v>9.7554700000000008</v>
      </c>
      <c r="BO320">
        <v>1.66899</v>
      </c>
      <c r="BP320">
        <v>1.7290700000000001</v>
      </c>
      <c r="BQ320">
        <v>34.709600000000002</v>
      </c>
      <c r="BR320">
        <v>104854</v>
      </c>
    </row>
    <row r="321" spans="1:70" x14ac:dyDescent="0.25">
      <c r="A321">
        <v>31</v>
      </c>
      <c r="B321" s="7">
        <v>45973.546956018516</v>
      </c>
      <c r="C321" t="s">
        <v>130</v>
      </c>
      <c r="D321" s="6" t="s">
        <v>215</v>
      </c>
      <c r="E321" s="6" t="str">
        <f>VLOOKUP(F321,Germplasm!$A$1:$B$21,2,FALSE)</f>
        <v>Ismena</v>
      </c>
      <c r="F321" t="s">
        <v>63</v>
      </c>
      <c r="G321" s="6" t="s">
        <v>113</v>
      </c>
      <c r="H321">
        <v>62713.5</v>
      </c>
      <c r="I321">
        <v>621.91800000000001</v>
      </c>
      <c r="J321">
        <v>221456</v>
      </c>
      <c r="K321">
        <v>15.674799999999999</v>
      </c>
      <c r="L321">
        <v>82.168800000000005</v>
      </c>
      <c r="M321">
        <v>1732.95</v>
      </c>
      <c r="N321">
        <v>604.02200000000005</v>
      </c>
      <c r="O321">
        <v>45957400</v>
      </c>
      <c r="P321">
        <v>0.21986600000000001</v>
      </c>
      <c r="Q321">
        <v>0.599356</v>
      </c>
      <c r="R321">
        <v>3.8389600000000002</v>
      </c>
      <c r="S321">
        <v>24.305800000000001</v>
      </c>
      <c r="T321">
        <v>44.914999999999999</v>
      </c>
      <c r="U321">
        <v>25.488399999999999</v>
      </c>
      <c r="V321">
        <v>0.85245000000000004</v>
      </c>
      <c r="W321">
        <v>114.822</v>
      </c>
      <c r="X321">
        <v>1.19211</v>
      </c>
      <c r="Y321">
        <v>2.5933000000000002</v>
      </c>
      <c r="Z321">
        <v>5.0677500000000002</v>
      </c>
      <c r="AA321">
        <v>19.381900000000002</v>
      </c>
      <c r="AB321">
        <v>35.270299999999999</v>
      </c>
      <c r="AC321">
        <v>36.494700000000002</v>
      </c>
      <c r="AD321">
        <v>1.80664</v>
      </c>
      <c r="AE321">
        <v>7.0333100000000002</v>
      </c>
      <c r="AF321">
        <v>0</v>
      </c>
      <c r="AG321">
        <v>99.8489</v>
      </c>
      <c r="AH321">
        <v>0.14818799999999999</v>
      </c>
      <c r="AI321">
        <v>2.9344200000000001E-3</v>
      </c>
      <c r="AJ321">
        <v>0</v>
      </c>
      <c r="AK321">
        <v>0</v>
      </c>
      <c r="AL321">
        <v>0.46052500000000002</v>
      </c>
      <c r="AM321">
        <v>1.2588699999999999</v>
      </c>
      <c r="AN321">
        <v>5.6817799999999998</v>
      </c>
      <c r="AO321">
        <v>11.6416</v>
      </c>
      <c r="AP321">
        <v>21.421299999999999</v>
      </c>
      <c r="AQ321">
        <v>37.777799999999999</v>
      </c>
      <c r="AR321">
        <v>22.218699999999998</v>
      </c>
      <c r="AS321">
        <v>5.8183800000000001E-2</v>
      </c>
      <c r="AT321">
        <v>4.8858100000000002</v>
      </c>
      <c r="AU321">
        <v>36.5578</v>
      </c>
      <c r="AV321">
        <v>40.027700000000003</v>
      </c>
      <c r="AW321">
        <v>13.193199999999999</v>
      </c>
      <c r="AX321">
        <v>3.3364400000000001</v>
      </c>
      <c r="AY321">
        <v>1.99908</v>
      </c>
      <c r="AZ321">
        <v>732.81600000000003</v>
      </c>
      <c r="BA321">
        <v>831</v>
      </c>
      <c r="BB321">
        <v>34712.800000000003</v>
      </c>
      <c r="BC321">
        <v>2.9100500000000001E-2</v>
      </c>
      <c r="BD321">
        <v>6.8225300000000003E-2</v>
      </c>
      <c r="BE321">
        <v>0.46583999999999998</v>
      </c>
      <c r="BF321">
        <v>2.8698700000000001</v>
      </c>
      <c r="BG321">
        <v>38.038200000000003</v>
      </c>
      <c r="BH321">
        <v>49.627000000000002</v>
      </c>
      <c r="BI321">
        <v>8.9309200000000004</v>
      </c>
      <c r="BJ321">
        <v>30.762799999999999</v>
      </c>
      <c r="BK321">
        <v>0</v>
      </c>
      <c r="BL321">
        <v>38.712400000000002</v>
      </c>
      <c r="BM321">
        <v>51.607700000000001</v>
      </c>
      <c r="BN321">
        <v>7.5106599999999997</v>
      </c>
      <c r="BO321">
        <v>1.3542400000000001</v>
      </c>
      <c r="BP321">
        <v>0.81503599999999998</v>
      </c>
      <c r="BQ321">
        <v>33.6524</v>
      </c>
      <c r="BR321">
        <v>136313</v>
      </c>
    </row>
    <row r="322" spans="1:70" x14ac:dyDescent="0.25">
      <c r="A322">
        <v>31</v>
      </c>
      <c r="B322" s="7">
        <v>45973.546956018516</v>
      </c>
      <c r="C322" t="s">
        <v>131</v>
      </c>
      <c r="D322" s="6" t="s">
        <v>215</v>
      </c>
      <c r="E322" s="6" t="str">
        <f>VLOOKUP(F322,Germplasm!$A$1:$B$21,2,FALSE)</f>
        <v>Tiril</v>
      </c>
      <c r="F322" t="s">
        <v>64</v>
      </c>
      <c r="G322" s="6" t="s">
        <v>113</v>
      </c>
      <c r="H322">
        <v>60557.7</v>
      </c>
      <c r="I322">
        <v>483.36799999999999</v>
      </c>
      <c r="J322">
        <v>197481</v>
      </c>
      <c r="K322">
        <v>17.9209</v>
      </c>
      <c r="L322">
        <v>88.026200000000003</v>
      </c>
      <c r="M322">
        <v>1674.35</v>
      </c>
      <c r="N322">
        <v>580.31200000000001</v>
      </c>
      <c r="O322">
        <v>36816000</v>
      </c>
      <c r="P322">
        <v>0.21477299999999999</v>
      </c>
      <c r="Q322">
        <v>0.78315199999999996</v>
      </c>
      <c r="R322">
        <v>5.6173700000000002</v>
      </c>
      <c r="S322">
        <v>23.971499999999999</v>
      </c>
      <c r="T322">
        <v>43.232799999999997</v>
      </c>
      <c r="U322">
        <v>25.259699999999999</v>
      </c>
      <c r="V322">
        <v>1.1354200000000001</v>
      </c>
      <c r="W322">
        <v>105.54600000000001</v>
      </c>
      <c r="X322">
        <v>2.4923299999999999</v>
      </c>
      <c r="Y322">
        <v>7.3507400000000001</v>
      </c>
      <c r="Z322">
        <v>7.6757900000000001</v>
      </c>
      <c r="AA322">
        <v>20.1646</v>
      </c>
      <c r="AB322">
        <v>32.316299999999998</v>
      </c>
      <c r="AC322">
        <v>30.0002</v>
      </c>
      <c r="AD322">
        <v>1.7111400000000001</v>
      </c>
      <c r="AE322">
        <v>6.9840200000000001</v>
      </c>
      <c r="AF322">
        <v>0</v>
      </c>
      <c r="AG322">
        <v>99.704400000000007</v>
      </c>
      <c r="AH322">
        <v>0.29481600000000002</v>
      </c>
      <c r="AI322">
        <v>7.5593800000000005E-4</v>
      </c>
      <c r="AJ322">
        <v>0</v>
      </c>
      <c r="AK322">
        <v>0</v>
      </c>
      <c r="AL322">
        <v>0.45485500000000001</v>
      </c>
      <c r="AM322">
        <v>1.2495700000000001</v>
      </c>
      <c r="AN322">
        <v>8.6645599999999998</v>
      </c>
      <c r="AO322">
        <v>12.1525</v>
      </c>
      <c r="AP322">
        <v>18.354900000000001</v>
      </c>
      <c r="AQ322">
        <v>35.066400000000002</v>
      </c>
      <c r="AR322">
        <v>24.512</v>
      </c>
      <c r="AS322">
        <v>0.11112900000000001</v>
      </c>
      <c r="AT322">
        <v>3.64513</v>
      </c>
      <c r="AU322">
        <v>30.599599999999999</v>
      </c>
      <c r="AV322">
        <v>36.8369</v>
      </c>
      <c r="AW322">
        <v>18.252099999999999</v>
      </c>
      <c r="AX322">
        <v>7.3341099999999999</v>
      </c>
      <c r="AY322">
        <v>3.3321700000000001</v>
      </c>
      <c r="AZ322">
        <v>607.95000000000005</v>
      </c>
      <c r="BA322">
        <v>686.4</v>
      </c>
      <c r="BB322">
        <v>35390.400000000001</v>
      </c>
      <c r="BC322">
        <v>7.4550099999999994E-2</v>
      </c>
      <c r="BD322">
        <v>4.6868100000000003E-2</v>
      </c>
      <c r="BE322">
        <v>0.276673</v>
      </c>
      <c r="BF322">
        <v>1.8134999999999999</v>
      </c>
      <c r="BG322">
        <v>32.106900000000003</v>
      </c>
      <c r="BH322">
        <v>48.252299999999998</v>
      </c>
      <c r="BI322">
        <v>17.503699999999998</v>
      </c>
      <c r="BJ322">
        <v>33.205399999999997</v>
      </c>
      <c r="BK322">
        <v>0</v>
      </c>
      <c r="BL322">
        <v>33.386000000000003</v>
      </c>
      <c r="BM322">
        <v>53.298900000000003</v>
      </c>
      <c r="BN322">
        <v>10.363200000000001</v>
      </c>
      <c r="BO322">
        <v>1.90194</v>
      </c>
      <c r="BP322">
        <v>1.05</v>
      </c>
      <c r="BQ322">
        <v>35.808999999999997</v>
      </c>
      <c r="BR322">
        <v>132286</v>
      </c>
    </row>
    <row r="323" spans="1:70" x14ac:dyDescent="0.25">
      <c r="A323">
        <v>31</v>
      </c>
      <c r="B323" s="7">
        <v>45973.546956018516</v>
      </c>
      <c r="C323" t="s">
        <v>132</v>
      </c>
      <c r="D323" s="6" t="s">
        <v>215</v>
      </c>
      <c r="E323" s="6" t="str">
        <f>VLOOKUP(F323,Germplasm!$A$1:$B$21,2,FALSE)</f>
        <v>Sunnita</v>
      </c>
      <c r="F323" t="s">
        <v>65</v>
      </c>
      <c r="G323" s="6" t="s">
        <v>113</v>
      </c>
      <c r="H323">
        <v>33788.400000000001</v>
      </c>
      <c r="I323">
        <v>436.76299999999998</v>
      </c>
      <c r="J323">
        <v>127680</v>
      </c>
      <c r="K323">
        <v>12.850099999999999</v>
      </c>
      <c r="L323">
        <v>74.465900000000005</v>
      </c>
      <c r="M323">
        <v>1451.54</v>
      </c>
      <c r="N323">
        <v>539.23299999999995</v>
      </c>
      <c r="O323">
        <v>19566600</v>
      </c>
      <c r="P323">
        <v>0.140822</v>
      </c>
      <c r="Q323">
        <v>1.2667200000000001</v>
      </c>
      <c r="R323">
        <v>14.0687</v>
      </c>
      <c r="S323">
        <v>37.000500000000002</v>
      </c>
      <c r="T323">
        <v>34.960900000000002</v>
      </c>
      <c r="U323">
        <v>12.0665</v>
      </c>
      <c r="V323">
        <v>0.63669600000000004</v>
      </c>
      <c r="W323">
        <v>98.2684</v>
      </c>
      <c r="X323">
        <v>7.0356899999999998</v>
      </c>
      <c r="Y323">
        <v>12.580399999999999</v>
      </c>
      <c r="Z323">
        <v>7.4374700000000002</v>
      </c>
      <c r="AA323">
        <v>17.294899999999998</v>
      </c>
      <c r="AB323">
        <v>24.004899999999999</v>
      </c>
      <c r="AC323">
        <v>31.646599999999999</v>
      </c>
      <c r="AD323">
        <v>2.0594100000000002</v>
      </c>
      <c r="AE323">
        <v>7.3229100000000003</v>
      </c>
      <c r="AF323">
        <v>0</v>
      </c>
      <c r="AG323">
        <v>99.495400000000004</v>
      </c>
      <c r="AH323">
        <v>0.49787799999999999</v>
      </c>
      <c r="AI323">
        <v>5.3391699999999999E-3</v>
      </c>
      <c r="AJ323">
        <v>1.33479E-3</v>
      </c>
      <c r="AK323">
        <v>0</v>
      </c>
      <c r="AL323">
        <v>0.35343000000000002</v>
      </c>
      <c r="AM323">
        <v>3.4491000000000001</v>
      </c>
      <c r="AN323">
        <v>14.297000000000001</v>
      </c>
      <c r="AO323">
        <v>22.4312</v>
      </c>
      <c r="AP323">
        <v>24.2866</v>
      </c>
      <c r="AQ323">
        <v>24.9513</v>
      </c>
      <c r="AR323">
        <v>10.584899999999999</v>
      </c>
      <c r="AS323">
        <v>0.106169</v>
      </c>
      <c r="AT323">
        <v>4.12317</v>
      </c>
      <c r="AU323">
        <v>29.033100000000001</v>
      </c>
      <c r="AV323">
        <v>37.643799999999999</v>
      </c>
      <c r="AW323">
        <v>20.7867</v>
      </c>
      <c r="AX323">
        <v>5.9745299999999997</v>
      </c>
      <c r="AY323">
        <v>2.4386700000000001</v>
      </c>
      <c r="AZ323">
        <v>579.09199999999998</v>
      </c>
      <c r="BA323">
        <v>626.4</v>
      </c>
      <c r="BB323">
        <v>16406.900000000001</v>
      </c>
      <c r="BC323">
        <v>8.8318499999999994E-2</v>
      </c>
      <c r="BD323">
        <v>0.117462</v>
      </c>
      <c r="BE323">
        <v>0.57262599999999997</v>
      </c>
      <c r="BF323">
        <v>3.0246400000000002</v>
      </c>
      <c r="BG323">
        <v>29.4389</v>
      </c>
      <c r="BH323">
        <v>42.816099999999999</v>
      </c>
      <c r="BI323">
        <v>24.0303</v>
      </c>
      <c r="BJ323">
        <v>28.152799999999999</v>
      </c>
      <c r="BK323">
        <v>0</v>
      </c>
      <c r="BL323">
        <v>47.425199999999997</v>
      </c>
      <c r="BM323">
        <v>44.939799999999998</v>
      </c>
      <c r="BN323">
        <v>5.4045800000000002</v>
      </c>
      <c r="BO323">
        <v>1.1345700000000001</v>
      </c>
      <c r="BP323">
        <v>1.0958600000000001</v>
      </c>
      <c r="BQ323">
        <v>29.068100000000001</v>
      </c>
      <c r="BR323">
        <v>74918</v>
      </c>
    </row>
    <row r="324" spans="1:70" x14ac:dyDescent="0.25">
      <c r="A324">
        <v>31</v>
      </c>
      <c r="B324" s="7">
        <v>45988.516157407408</v>
      </c>
      <c r="C324" t="s">
        <v>132</v>
      </c>
      <c r="D324" s="6" t="s">
        <v>216</v>
      </c>
      <c r="E324" s="6" t="str">
        <f>VLOOKUP(F324,Germplasm!$A$1:$B$21,2,FALSE)</f>
        <v>Sunnita</v>
      </c>
      <c r="F324" t="s">
        <v>65</v>
      </c>
      <c r="G324" s="6" t="s">
        <v>113</v>
      </c>
      <c r="H324">
        <v>45698.3</v>
      </c>
      <c r="I324">
        <v>405.93799999999999</v>
      </c>
      <c r="J324">
        <v>152800</v>
      </c>
      <c r="K324">
        <v>16.250599999999999</v>
      </c>
      <c r="L324">
        <v>61.260300000000001</v>
      </c>
      <c r="M324">
        <v>1482.81</v>
      </c>
      <c r="N324">
        <v>562.74599999999998</v>
      </c>
      <c r="O324">
        <v>24788700</v>
      </c>
      <c r="P324">
        <v>0.118849</v>
      </c>
      <c r="Q324">
        <v>1.33372</v>
      </c>
      <c r="R324">
        <v>16.305099999999999</v>
      </c>
      <c r="S324">
        <v>43.807400000000001</v>
      </c>
      <c r="T324">
        <v>28.3155</v>
      </c>
      <c r="U324">
        <v>9.5523299999999995</v>
      </c>
      <c r="V324">
        <v>0.685944</v>
      </c>
      <c r="W324">
        <v>72.854500000000002</v>
      </c>
      <c r="X324">
        <v>8.2714400000000001</v>
      </c>
      <c r="Y324">
        <v>24.845600000000001</v>
      </c>
      <c r="Z324">
        <v>12.9635</v>
      </c>
      <c r="AA324">
        <v>22.969799999999999</v>
      </c>
      <c r="AB324">
        <v>15.8657</v>
      </c>
      <c r="AC324">
        <v>15.0839</v>
      </c>
      <c r="AD324">
        <v>1.8403799999999999</v>
      </c>
      <c r="AE324">
        <v>10.898</v>
      </c>
      <c r="AF324">
        <v>0</v>
      </c>
      <c r="AG324">
        <v>96.533100000000005</v>
      </c>
      <c r="AH324">
        <v>3.4571200000000002</v>
      </c>
      <c r="AI324">
        <v>9.7852100000000008E-3</v>
      </c>
      <c r="AJ324">
        <v>0</v>
      </c>
      <c r="AK324">
        <v>0</v>
      </c>
      <c r="AL324">
        <v>0.27148600000000001</v>
      </c>
      <c r="AM324">
        <v>6.3300599999999996</v>
      </c>
      <c r="AN324">
        <v>24.211600000000001</v>
      </c>
      <c r="AO324">
        <v>27.808599999999998</v>
      </c>
      <c r="AP324">
        <v>21.471699999999998</v>
      </c>
      <c r="AQ324">
        <v>14.4518</v>
      </c>
      <c r="AR324">
        <v>5.7263099999999998</v>
      </c>
      <c r="AS324">
        <v>0.207201</v>
      </c>
      <c r="AT324">
        <v>1.8728899999999999</v>
      </c>
      <c r="AU324">
        <v>12.6914</v>
      </c>
      <c r="AV324">
        <v>35.148499999999999</v>
      </c>
      <c r="AW324">
        <v>34.762</v>
      </c>
      <c r="AX324">
        <v>12.054399999999999</v>
      </c>
      <c r="AY324">
        <v>3.4708199999999998</v>
      </c>
      <c r="AZ324">
        <v>542.44100000000003</v>
      </c>
      <c r="BA324">
        <v>585.6</v>
      </c>
      <c r="BB324">
        <v>24830.9</v>
      </c>
      <c r="BC324">
        <v>0.189632</v>
      </c>
      <c r="BD324">
        <v>0.159499</v>
      </c>
      <c r="BE324">
        <v>0.56264999999999998</v>
      </c>
      <c r="BF324">
        <v>1.458</v>
      </c>
      <c r="BG324">
        <v>12.3832</v>
      </c>
      <c r="BH324">
        <v>42.066600000000001</v>
      </c>
      <c r="BI324">
        <v>43.37</v>
      </c>
      <c r="BJ324">
        <v>31.135899999999999</v>
      </c>
      <c r="BK324">
        <v>0</v>
      </c>
      <c r="BL324">
        <v>39.526400000000002</v>
      </c>
      <c r="BM324">
        <v>49.511200000000002</v>
      </c>
      <c r="BN324">
        <v>8.1853300000000004</v>
      </c>
      <c r="BO324">
        <v>1.4824600000000001</v>
      </c>
      <c r="BP324">
        <v>1.2945800000000001</v>
      </c>
      <c r="BQ324">
        <v>32.947400000000002</v>
      </c>
      <c r="BR324">
        <v>102195</v>
      </c>
    </row>
    <row r="325" spans="1:70" x14ac:dyDescent="0.25">
      <c r="A325">
        <v>31</v>
      </c>
      <c r="B325" s="7">
        <v>45994.530671296299</v>
      </c>
      <c r="C325" t="s">
        <v>132</v>
      </c>
      <c r="D325" s="6" t="s">
        <v>217</v>
      </c>
      <c r="E325" s="6" t="str">
        <f>VLOOKUP(F325,Germplasm!$A$1:$B$21,2,FALSE)</f>
        <v>Sunnita</v>
      </c>
      <c r="F325" t="s">
        <v>65</v>
      </c>
      <c r="G325" s="6" t="s">
        <v>113</v>
      </c>
      <c r="H325">
        <v>36319.599999999999</v>
      </c>
      <c r="I325">
        <v>432.928</v>
      </c>
      <c r="J325">
        <v>153284</v>
      </c>
      <c r="K325">
        <v>12.869199999999999</v>
      </c>
      <c r="L325">
        <v>81.483199999999997</v>
      </c>
      <c r="M325">
        <v>1464.34</v>
      </c>
      <c r="N325">
        <v>520.98699999999997</v>
      </c>
      <c r="O325">
        <v>19508500</v>
      </c>
      <c r="P325">
        <v>8.7756600000000004E-2</v>
      </c>
      <c r="Q325">
        <v>1.4903900000000001</v>
      </c>
      <c r="R325">
        <v>22.125699999999998</v>
      </c>
      <c r="S325">
        <v>47.955800000000004</v>
      </c>
      <c r="T325">
        <v>20.778099999999998</v>
      </c>
      <c r="U325">
        <v>7.3288700000000002</v>
      </c>
      <c r="V325">
        <v>0.32121499999999997</v>
      </c>
      <c r="W325">
        <v>61.501600000000003</v>
      </c>
      <c r="X325">
        <v>11.6007</v>
      </c>
      <c r="Y325">
        <v>30.864899999999999</v>
      </c>
      <c r="Z325">
        <v>14.853400000000001</v>
      </c>
      <c r="AA325">
        <v>18.855699999999999</v>
      </c>
      <c r="AB325">
        <v>10.720700000000001</v>
      </c>
      <c r="AC325">
        <v>13.1046</v>
      </c>
      <c r="AD325">
        <v>1.8411599999999999</v>
      </c>
      <c r="AE325">
        <v>12.0771</v>
      </c>
      <c r="AF325">
        <v>0</v>
      </c>
      <c r="AG325">
        <v>93.962100000000007</v>
      </c>
      <c r="AH325">
        <v>6.0218600000000002</v>
      </c>
      <c r="AI325">
        <v>1.5999200000000002E-2</v>
      </c>
      <c r="AJ325">
        <v>0</v>
      </c>
      <c r="AK325">
        <v>0</v>
      </c>
      <c r="AL325">
        <v>0.21277399999999999</v>
      </c>
      <c r="AM325">
        <v>8.2075999999999993</v>
      </c>
      <c r="AN325">
        <v>35.33</v>
      </c>
      <c r="AO325">
        <v>27.364799999999999</v>
      </c>
      <c r="AP325">
        <v>15.9697</v>
      </c>
      <c r="AQ325">
        <v>10.8536</v>
      </c>
      <c r="AR325">
        <v>2.2743500000000001</v>
      </c>
      <c r="AS325">
        <v>0.22909499999999999</v>
      </c>
      <c r="AT325">
        <v>1.4510099999999999</v>
      </c>
      <c r="AU325">
        <v>10.0967</v>
      </c>
      <c r="AV325">
        <v>32.8735</v>
      </c>
      <c r="AW325">
        <v>38.971600000000002</v>
      </c>
      <c r="AX325">
        <v>12.6172</v>
      </c>
      <c r="AY325">
        <v>3.98996</v>
      </c>
      <c r="AZ325">
        <v>537.13499999999999</v>
      </c>
      <c r="BA325">
        <v>586.79899999999998</v>
      </c>
      <c r="BB325">
        <v>19726.5</v>
      </c>
      <c r="BC325">
        <v>0.230377</v>
      </c>
      <c r="BD325">
        <v>0.22029699999999999</v>
      </c>
      <c r="BE325">
        <v>0.56981800000000005</v>
      </c>
      <c r="BF325">
        <v>1.44608</v>
      </c>
      <c r="BG325">
        <v>9.3115400000000008</v>
      </c>
      <c r="BH325">
        <v>33.395299999999999</v>
      </c>
      <c r="BI325">
        <v>55.057000000000002</v>
      </c>
      <c r="BJ325">
        <v>30.370200000000001</v>
      </c>
      <c r="BK325">
        <v>0</v>
      </c>
      <c r="BL325">
        <v>41.504399999999997</v>
      </c>
      <c r="BM325">
        <v>47.921300000000002</v>
      </c>
      <c r="BN325">
        <v>8.07714</v>
      </c>
      <c r="BO325">
        <v>1.4756199999999999</v>
      </c>
      <c r="BP325">
        <v>1.02149</v>
      </c>
      <c r="BQ325">
        <v>32.925199999999997</v>
      </c>
      <c r="BR325">
        <v>81254</v>
      </c>
    </row>
    <row r="326" spans="1:70" x14ac:dyDescent="0.25">
      <c r="A326">
        <v>31</v>
      </c>
      <c r="B326" s="7">
        <v>46002.579004629632</v>
      </c>
      <c r="C326" t="s">
        <v>132</v>
      </c>
      <c r="D326" s="6" t="s">
        <v>218</v>
      </c>
      <c r="E326" s="6" t="str">
        <f>VLOOKUP(F326,Germplasm!$A$1:$B$21,2,FALSE)</f>
        <v>Sunnita</v>
      </c>
      <c r="F326" t="s">
        <v>65</v>
      </c>
      <c r="G326" s="6" t="s">
        <v>113</v>
      </c>
      <c r="H326">
        <v>33986.800000000003</v>
      </c>
      <c r="I326">
        <v>424.97</v>
      </c>
      <c r="J326">
        <v>103090</v>
      </c>
      <c r="K326">
        <v>17.553899999999999</v>
      </c>
      <c r="L326">
        <v>75.1584</v>
      </c>
      <c r="M326">
        <v>1230.45</v>
      </c>
      <c r="N326">
        <v>448.74900000000002</v>
      </c>
      <c r="O326">
        <v>17375500</v>
      </c>
      <c r="P326">
        <v>2.44627E-2</v>
      </c>
      <c r="Q326">
        <v>1.8155699999999999</v>
      </c>
      <c r="R326">
        <v>34.346499999999999</v>
      </c>
      <c r="S326">
        <v>55.766100000000002</v>
      </c>
      <c r="T326">
        <v>6.4365199999999998</v>
      </c>
      <c r="U326">
        <v>1.4753099999999999</v>
      </c>
      <c r="V326">
        <v>0.16003899999999999</v>
      </c>
      <c r="W326">
        <v>40.759</v>
      </c>
      <c r="X326">
        <v>18.334499999999998</v>
      </c>
      <c r="Y326">
        <v>49.052500000000002</v>
      </c>
      <c r="Z326">
        <v>12.0433</v>
      </c>
      <c r="AA326">
        <v>7.2904999999999998</v>
      </c>
      <c r="AB326">
        <v>3.1429499999999999</v>
      </c>
      <c r="AC326">
        <v>10.136200000000001</v>
      </c>
      <c r="AD326">
        <v>1.8781000000000001</v>
      </c>
      <c r="AE326">
        <v>14.5832</v>
      </c>
      <c r="AF326">
        <v>0</v>
      </c>
      <c r="AG326">
        <v>89.629800000000003</v>
      </c>
      <c r="AH326">
        <v>10.298999999999999</v>
      </c>
      <c r="AI326">
        <v>7.1277800000000002E-2</v>
      </c>
      <c r="AJ326">
        <v>0</v>
      </c>
      <c r="AK326">
        <v>0</v>
      </c>
      <c r="AL326">
        <v>0.128549</v>
      </c>
      <c r="AM326">
        <v>13.1326</v>
      </c>
      <c r="AN326">
        <v>51.625300000000003</v>
      </c>
      <c r="AO326">
        <v>25.002400000000002</v>
      </c>
      <c r="AP326">
        <v>6.7700399999999998</v>
      </c>
      <c r="AQ326">
        <v>2.2997200000000002</v>
      </c>
      <c r="AR326">
        <v>1.1700299999999999</v>
      </c>
      <c r="AS326">
        <v>0.26149099999999997</v>
      </c>
      <c r="AT326">
        <v>1.0409200000000001</v>
      </c>
      <c r="AU326">
        <v>6.2442000000000002</v>
      </c>
      <c r="AV326">
        <v>29.0275</v>
      </c>
      <c r="AW326">
        <v>44.5244</v>
      </c>
      <c r="AX326">
        <v>15.0436</v>
      </c>
      <c r="AY326">
        <v>4.1193200000000001</v>
      </c>
      <c r="AZ326">
        <v>511.24400000000003</v>
      </c>
      <c r="BA326">
        <v>563.99900000000002</v>
      </c>
      <c r="BB326">
        <v>18096.3</v>
      </c>
      <c r="BC326">
        <v>0.29988799999999999</v>
      </c>
      <c r="BD326">
        <v>0.21248800000000001</v>
      </c>
      <c r="BE326">
        <v>0.48953000000000002</v>
      </c>
      <c r="BF326">
        <v>1.07724</v>
      </c>
      <c r="BG326">
        <v>5.5058699999999998</v>
      </c>
      <c r="BH326">
        <v>19.709</v>
      </c>
      <c r="BI326">
        <v>73.005899999999997</v>
      </c>
      <c r="BJ326">
        <v>29.432200000000002</v>
      </c>
      <c r="BK326">
        <v>0</v>
      </c>
      <c r="BL326">
        <v>44.291699999999999</v>
      </c>
      <c r="BM326">
        <v>47.239699999999999</v>
      </c>
      <c r="BN326">
        <v>5.8676399999999997</v>
      </c>
      <c r="BO326">
        <v>1.5183500000000001</v>
      </c>
      <c r="BP326">
        <v>1.0826100000000001</v>
      </c>
      <c r="BQ326">
        <v>32.195900000000002</v>
      </c>
      <c r="BR326">
        <v>74357</v>
      </c>
    </row>
    <row r="327" spans="1:70" x14ac:dyDescent="0.25">
      <c r="A327">
        <v>31</v>
      </c>
      <c r="B327" s="7">
        <v>46013.591331018521</v>
      </c>
      <c r="C327" t="s">
        <v>132</v>
      </c>
      <c r="D327" s="6" t="s">
        <v>219</v>
      </c>
      <c r="E327" s="6" t="str">
        <f>VLOOKUP(F327,Germplasm!$A$1:$B$21,2,FALSE)</f>
        <v>Sunnita</v>
      </c>
      <c r="F327" t="s">
        <v>65</v>
      </c>
      <c r="G327" s="6" t="s">
        <v>113</v>
      </c>
      <c r="H327">
        <v>29887.5</v>
      </c>
      <c r="I327">
        <v>391.33499999999998</v>
      </c>
      <c r="J327">
        <v>105574</v>
      </c>
      <c r="K327">
        <v>15.310700000000001</v>
      </c>
      <c r="L327">
        <v>80.089699999999993</v>
      </c>
      <c r="M327">
        <v>1202.0999999999999</v>
      </c>
      <c r="N327">
        <v>415.36500000000001</v>
      </c>
      <c r="O327">
        <v>13576700</v>
      </c>
      <c r="P327">
        <v>4.9548700000000001E-3</v>
      </c>
      <c r="Q327">
        <v>1.66184</v>
      </c>
      <c r="R327">
        <v>40.016399999999997</v>
      </c>
      <c r="S327">
        <v>56.011000000000003</v>
      </c>
      <c r="T327">
        <v>1.9201699999999999</v>
      </c>
      <c r="U327">
        <v>0.32449099999999997</v>
      </c>
      <c r="V327">
        <v>6.6158400000000006E-2</v>
      </c>
      <c r="W327">
        <v>34.8718</v>
      </c>
      <c r="X327">
        <v>21.606999999999999</v>
      </c>
      <c r="Y327">
        <v>56.546500000000002</v>
      </c>
      <c r="Z327">
        <v>9.4716799999999992</v>
      </c>
      <c r="AA327">
        <v>2.9283000000000001</v>
      </c>
      <c r="AB327">
        <v>1.2759100000000001</v>
      </c>
      <c r="AC327">
        <v>8.17056</v>
      </c>
      <c r="AD327">
        <v>1.849</v>
      </c>
      <c r="AE327">
        <v>18.005400000000002</v>
      </c>
      <c r="AF327">
        <v>0</v>
      </c>
      <c r="AG327">
        <v>78.408699999999996</v>
      </c>
      <c r="AH327">
        <v>21.558199999999999</v>
      </c>
      <c r="AI327">
        <v>3.3079200000000003E-2</v>
      </c>
      <c r="AJ327">
        <v>0</v>
      </c>
      <c r="AK327">
        <v>0</v>
      </c>
      <c r="AL327">
        <v>9.8575300000000005E-2</v>
      </c>
      <c r="AM327">
        <v>15.2668</v>
      </c>
      <c r="AN327">
        <v>60.309699999999999</v>
      </c>
      <c r="AO327">
        <v>18.560600000000001</v>
      </c>
      <c r="AP327">
        <v>3.8371900000000001</v>
      </c>
      <c r="AQ327">
        <v>1.4491799999999999</v>
      </c>
      <c r="AR327">
        <v>0.57652300000000001</v>
      </c>
      <c r="AS327">
        <v>0.26262600000000003</v>
      </c>
      <c r="AT327">
        <v>0.75924599999999998</v>
      </c>
      <c r="AU327">
        <v>4.5145200000000001</v>
      </c>
      <c r="AV327">
        <v>29.473600000000001</v>
      </c>
      <c r="AW327">
        <v>49.655000000000001</v>
      </c>
      <c r="AX327">
        <v>11.807700000000001</v>
      </c>
      <c r="AY327">
        <v>3.78993</v>
      </c>
      <c r="AZ327">
        <v>454.26100000000002</v>
      </c>
      <c r="BA327">
        <v>484.65</v>
      </c>
      <c r="BB327">
        <v>16164.2</v>
      </c>
      <c r="BC327">
        <v>0.31613400000000003</v>
      </c>
      <c r="BD327">
        <v>0.17799799999999999</v>
      </c>
      <c r="BE327">
        <v>0.43948100000000001</v>
      </c>
      <c r="BF327">
        <v>0.90888999999999998</v>
      </c>
      <c r="BG327">
        <v>3.7473999999999998</v>
      </c>
      <c r="BH327">
        <v>14.964399999999999</v>
      </c>
      <c r="BI327">
        <v>79.761799999999994</v>
      </c>
      <c r="BJ327">
        <v>28.173400000000001</v>
      </c>
      <c r="BK327">
        <v>0</v>
      </c>
      <c r="BL327">
        <v>47.010300000000001</v>
      </c>
      <c r="BM327">
        <v>46.002099999999999</v>
      </c>
      <c r="BN327">
        <v>4.6090400000000002</v>
      </c>
      <c r="BO327">
        <v>1.3263199999999999</v>
      </c>
      <c r="BP327">
        <v>1.05223</v>
      </c>
      <c r="BQ327">
        <v>32.761200000000002</v>
      </c>
      <c r="BR327">
        <v>63484</v>
      </c>
    </row>
    <row r="328" spans="1:70" x14ac:dyDescent="0.25">
      <c r="A328">
        <v>31</v>
      </c>
      <c r="B328" s="7">
        <v>46024.538738425923</v>
      </c>
      <c r="C328" t="s">
        <v>132</v>
      </c>
      <c r="D328" s="6" t="s">
        <v>220</v>
      </c>
      <c r="E328" s="6" t="str">
        <f>VLOOKUP(F328,Germplasm!$A$1:$B$21,2,FALSE)</f>
        <v>Sunnita</v>
      </c>
      <c r="F328" t="s">
        <v>65</v>
      </c>
      <c r="G328" s="6" t="s">
        <v>113</v>
      </c>
      <c r="H328">
        <v>29777.7</v>
      </c>
      <c r="I328">
        <v>181.65600000000001</v>
      </c>
      <c r="J328">
        <v>81259.8</v>
      </c>
      <c r="K328">
        <v>19.941099999999999</v>
      </c>
      <c r="L328">
        <v>70.824100000000001</v>
      </c>
      <c r="M328">
        <v>1083.1500000000001</v>
      </c>
      <c r="N328">
        <v>414.97300000000001</v>
      </c>
      <c r="O328">
        <v>6617980</v>
      </c>
      <c r="P328">
        <v>5.3025600000000004E-3</v>
      </c>
      <c r="Q328">
        <v>1.28362</v>
      </c>
      <c r="R328">
        <v>40.471899999999998</v>
      </c>
      <c r="S328">
        <v>56.442300000000003</v>
      </c>
      <c r="T328">
        <v>1.4720599999999999</v>
      </c>
      <c r="U328">
        <v>0.28345900000000002</v>
      </c>
      <c r="V328">
        <v>4.6706400000000002E-2</v>
      </c>
      <c r="W328">
        <v>34.601199999999999</v>
      </c>
      <c r="X328">
        <v>21.286799999999999</v>
      </c>
      <c r="Y328">
        <v>57.787100000000002</v>
      </c>
      <c r="Z328">
        <v>8.4812399999999997</v>
      </c>
      <c r="AA328">
        <v>2.8249300000000002</v>
      </c>
      <c r="AB328">
        <v>1.3222700000000001</v>
      </c>
      <c r="AC328">
        <v>8.2976299999999998</v>
      </c>
      <c r="AD328">
        <v>1.8376600000000001</v>
      </c>
      <c r="AE328">
        <v>19.462800000000001</v>
      </c>
      <c r="AF328">
        <v>0</v>
      </c>
      <c r="AG328">
        <v>73.796099999999996</v>
      </c>
      <c r="AH328">
        <v>25.965499999999999</v>
      </c>
      <c r="AI328">
        <v>0.23836399999999999</v>
      </c>
      <c r="AJ328">
        <v>0</v>
      </c>
      <c r="AK328">
        <v>0</v>
      </c>
      <c r="AL328">
        <v>9.5874000000000001E-2</v>
      </c>
      <c r="AM328">
        <v>14.464499999999999</v>
      </c>
      <c r="AN328">
        <v>62.238700000000001</v>
      </c>
      <c r="AO328">
        <v>18.279900000000001</v>
      </c>
      <c r="AP328">
        <v>3.27589</v>
      </c>
      <c r="AQ328">
        <v>1.27396</v>
      </c>
      <c r="AR328">
        <v>0.46706399999999998</v>
      </c>
      <c r="AS328">
        <v>0.255884</v>
      </c>
      <c r="AT328">
        <v>0.75696600000000003</v>
      </c>
      <c r="AU328">
        <v>4.7817699999999999</v>
      </c>
      <c r="AV328">
        <v>30.8246</v>
      </c>
      <c r="AW328">
        <v>48.725999999999999</v>
      </c>
      <c r="AX328">
        <v>11.4366</v>
      </c>
      <c r="AY328">
        <v>3.4739900000000001</v>
      </c>
      <c r="AZ328">
        <v>222.24700000000001</v>
      </c>
      <c r="BA328">
        <v>257.09899999999999</v>
      </c>
      <c r="BB328">
        <v>16204.1</v>
      </c>
      <c r="BC328">
        <v>0.31163099999999999</v>
      </c>
      <c r="BD328">
        <v>0.11757099999999999</v>
      </c>
      <c r="BE328">
        <v>0.50410699999999997</v>
      </c>
      <c r="BF328">
        <v>0.97600299999999995</v>
      </c>
      <c r="BG328">
        <v>3.9410500000000002</v>
      </c>
      <c r="BH328">
        <v>14.7624</v>
      </c>
      <c r="BI328">
        <v>79.698800000000006</v>
      </c>
      <c r="BJ328">
        <v>27.420100000000001</v>
      </c>
      <c r="BK328">
        <v>0</v>
      </c>
      <c r="BL328">
        <v>49.558700000000002</v>
      </c>
      <c r="BM328">
        <v>44.173000000000002</v>
      </c>
      <c r="BN328">
        <v>4.1874700000000002</v>
      </c>
      <c r="BO328">
        <v>1.27718</v>
      </c>
      <c r="BP328">
        <v>0.80367200000000005</v>
      </c>
      <c r="BQ328">
        <v>32.988799999999998</v>
      </c>
      <c r="BR328">
        <v>62090</v>
      </c>
    </row>
    <row r="329" spans="1:70" x14ac:dyDescent="0.25">
      <c r="A329">
        <v>40</v>
      </c>
      <c r="B329" s="7">
        <v>45952.564108796294</v>
      </c>
      <c r="C329" t="s">
        <v>150</v>
      </c>
      <c r="D329" s="6" t="s">
        <v>297</v>
      </c>
      <c r="E329" s="6" t="str">
        <f>VLOOKUP(F329,Germplasm!$A$1:$B$21,2,FALSE)</f>
        <v>Arve</v>
      </c>
      <c r="F329" t="s">
        <v>68</v>
      </c>
      <c r="G329" s="6" t="s">
        <v>113</v>
      </c>
      <c r="H329">
        <v>32062.7</v>
      </c>
      <c r="I329">
        <v>248.64699999999999</v>
      </c>
      <c r="J329">
        <v>91025.5</v>
      </c>
      <c r="K329">
        <v>19.873999999999999</v>
      </c>
      <c r="L329">
        <v>68.688000000000002</v>
      </c>
      <c r="M329">
        <v>1167.78</v>
      </c>
      <c r="N329">
        <v>445.58100000000002</v>
      </c>
      <c r="O329">
        <v>9531580</v>
      </c>
      <c r="P329">
        <v>0.26886399999999999</v>
      </c>
      <c r="Q329">
        <v>0.53332500000000005</v>
      </c>
      <c r="R329">
        <v>2.76844</v>
      </c>
      <c r="S329">
        <v>14.0685</v>
      </c>
      <c r="T329">
        <v>40.162599999999998</v>
      </c>
      <c r="U329">
        <v>41.770600000000002</v>
      </c>
      <c r="V329">
        <v>0.69655400000000001</v>
      </c>
      <c r="W329">
        <v>117.214</v>
      </c>
      <c r="X329">
        <v>0.69170600000000004</v>
      </c>
      <c r="Y329">
        <v>1.3155300000000001</v>
      </c>
      <c r="Z329">
        <v>2.8896500000000001</v>
      </c>
      <c r="AA329">
        <v>17.072900000000001</v>
      </c>
      <c r="AB329">
        <v>42.098700000000001</v>
      </c>
      <c r="AC329">
        <v>35.9315</v>
      </c>
      <c r="AD329">
        <v>1.7723599999999999</v>
      </c>
      <c r="AE329">
        <v>6.3086599999999997</v>
      </c>
      <c r="AF329">
        <v>0</v>
      </c>
      <c r="AG329">
        <v>99.985500000000002</v>
      </c>
      <c r="AH329">
        <v>1.4545199999999999E-2</v>
      </c>
      <c r="AI329">
        <v>0</v>
      </c>
      <c r="AJ329">
        <v>0</v>
      </c>
      <c r="AK329">
        <v>0</v>
      </c>
      <c r="AL329">
        <v>0.55894699999999997</v>
      </c>
      <c r="AM329">
        <v>0.43635699999999999</v>
      </c>
      <c r="AN329">
        <v>1.5999699999999999</v>
      </c>
      <c r="AO329">
        <v>2.9656099999999999</v>
      </c>
      <c r="AP329">
        <v>10.8863</v>
      </c>
      <c r="AQ329">
        <v>41.476500000000001</v>
      </c>
      <c r="AR329">
        <v>42.635300000000001</v>
      </c>
      <c r="AS329">
        <v>4.3371699999999999E-2</v>
      </c>
      <c r="AT329">
        <v>7.9772400000000001</v>
      </c>
      <c r="AU329">
        <v>34.329900000000002</v>
      </c>
      <c r="AV329">
        <v>40.047800000000002</v>
      </c>
      <c r="AW329">
        <v>13.4656</v>
      </c>
      <c r="AX329">
        <v>2.7328899999999998</v>
      </c>
      <c r="AY329">
        <v>1.4464399999999999</v>
      </c>
      <c r="AZ329">
        <v>297.279</v>
      </c>
      <c r="BA329">
        <v>341.99900000000002</v>
      </c>
      <c r="BB329">
        <v>18090.400000000001</v>
      </c>
      <c r="BC329">
        <v>1.09338E-2</v>
      </c>
      <c r="BD329">
        <v>4.6867899999999997E-2</v>
      </c>
      <c r="BE329">
        <v>0.39756900000000001</v>
      </c>
      <c r="BF329">
        <v>2.7102599999999999</v>
      </c>
      <c r="BG329">
        <v>39.152500000000003</v>
      </c>
      <c r="BH329">
        <v>54.394300000000001</v>
      </c>
      <c r="BI329">
        <v>3.29853</v>
      </c>
      <c r="BJ329">
        <v>35.265000000000001</v>
      </c>
      <c r="BK329">
        <v>0</v>
      </c>
      <c r="BL329">
        <v>25.032299999999999</v>
      </c>
      <c r="BM329">
        <v>60.524299999999997</v>
      </c>
      <c r="BN329">
        <v>12.9307</v>
      </c>
      <c r="BO329">
        <v>1.10867</v>
      </c>
      <c r="BP329">
        <v>0.404034</v>
      </c>
      <c r="BQ329">
        <v>34.375</v>
      </c>
      <c r="BR329">
        <v>61876</v>
      </c>
    </row>
    <row r="330" spans="1:70" x14ac:dyDescent="0.25">
      <c r="A330">
        <v>40</v>
      </c>
      <c r="B330" s="7">
        <v>45959.527303240742</v>
      </c>
      <c r="C330" t="s">
        <v>150</v>
      </c>
      <c r="D330" s="6" t="s">
        <v>298</v>
      </c>
      <c r="E330" s="6" t="str">
        <f>VLOOKUP(F330,Germplasm!$A$1:$B$21,2,FALSE)</f>
        <v>Arve</v>
      </c>
      <c r="F330" t="s">
        <v>68</v>
      </c>
      <c r="G330" s="6" t="s">
        <v>113</v>
      </c>
      <c r="H330">
        <v>45460.800000000003</v>
      </c>
      <c r="I330">
        <v>377.59399999999999</v>
      </c>
      <c r="J330">
        <v>151392</v>
      </c>
      <c r="K330">
        <v>17.403300000000002</v>
      </c>
      <c r="L330">
        <v>93.850700000000003</v>
      </c>
      <c r="M330">
        <v>1474.62</v>
      </c>
      <c r="N330">
        <v>506.21100000000001</v>
      </c>
      <c r="O330">
        <v>20324600</v>
      </c>
      <c r="P330">
        <v>0.24635000000000001</v>
      </c>
      <c r="Q330">
        <v>0.67577200000000004</v>
      </c>
      <c r="R330">
        <v>3.01126</v>
      </c>
      <c r="S330">
        <v>18.637699999999999</v>
      </c>
      <c r="T330">
        <v>43.1218</v>
      </c>
      <c r="U330">
        <v>33.5608</v>
      </c>
      <c r="V330">
        <v>0.99274700000000005</v>
      </c>
      <c r="W330">
        <v>122.46299999999999</v>
      </c>
      <c r="X330">
        <v>0.73850700000000002</v>
      </c>
      <c r="Y330">
        <v>1.21397</v>
      </c>
      <c r="Z330">
        <v>2.6579600000000001</v>
      </c>
      <c r="AA330">
        <v>13.827999999999999</v>
      </c>
      <c r="AB330">
        <v>36.664499999999997</v>
      </c>
      <c r="AC330">
        <v>44.896999999999998</v>
      </c>
      <c r="AD330">
        <v>1.7254499999999999</v>
      </c>
      <c r="AE330">
        <v>6.1643999999999997</v>
      </c>
      <c r="AF330">
        <v>0</v>
      </c>
      <c r="AG330">
        <v>99.970299999999995</v>
      </c>
      <c r="AH330">
        <v>2.86158E-2</v>
      </c>
      <c r="AI330">
        <v>1.1006099999999999E-3</v>
      </c>
      <c r="AJ330">
        <v>0</v>
      </c>
      <c r="AK330">
        <v>0</v>
      </c>
      <c r="AL330">
        <v>0.55454700000000001</v>
      </c>
      <c r="AM330">
        <v>0.30596899999999999</v>
      </c>
      <c r="AN330">
        <v>1.5419499999999999</v>
      </c>
      <c r="AO330">
        <v>3.7508699999999999</v>
      </c>
      <c r="AP330">
        <v>13.9909</v>
      </c>
      <c r="AQ330">
        <v>38.034799999999997</v>
      </c>
      <c r="AR330">
        <v>42.375500000000002</v>
      </c>
      <c r="AS330">
        <v>1.23325E-2</v>
      </c>
      <c r="AT330">
        <v>10.2643</v>
      </c>
      <c r="AU330">
        <v>40.779699999999998</v>
      </c>
      <c r="AV330">
        <v>35.742199999999997</v>
      </c>
      <c r="AW330">
        <v>9.1119199999999996</v>
      </c>
      <c r="AX330">
        <v>2.3178800000000002</v>
      </c>
      <c r="AY330">
        <v>1.7840800000000001</v>
      </c>
      <c r="AZ330">
        <v>447.08</v>
      </c>
      <c r="BA330">
        <v>555.6</v>
      </c>
      <c r="BB330">
        <v>26347.200000000001</v>
      </c>
      <c r="BC330">
        <v>-7.4738499999999998E-3</v>
      </c>
      <c r="BD330">
        <v>6.8237599999999995E-2</v>
      </c>
      <c r="BE330">
        <v>0.46115400000000001</v>
      </c>
      <c r="BF330">
        <v>3.98089</v>
      </c>
      <c r="BG330">
        <v>46.5336</v>
      </c>
      <c r="BH330">
        <v>45.770899999999997</v>
      </c>
      <c r="BI330">
        <v>3.1851500000000001</v>
      </c>
      <c r="BJ330">
        <v>33.271700000000003</v>
      </c>
      <c r="BK330">
        <v>0</v>
      </c>
      <c r="BL330">
        <v>31.864799999999999</v>
      </c>
      <c r="BM330">
        <v>55.986699999999999</v>
      </c>
      <c r="BN330">
        <v>9.88565</v>
      </c>
      <c r="BO330">
        <v>1.4296899999999999</v>
      </c>
      <c r="BP330">
        <v>0.83315899999999998</v>
      </c>
      <c r="BQ330">
        <v>35.460099999999997</v>
      </c>
      <c r="BR330">
        <v>90859</v>
      </c>
    </row>
    <row r="331" spans="1:70" x14ac:dyDescent="0.25">
      <c r="A331">
        <v>40</v>
      </c>
      <c r="B331" s="7">
        <v>45966.550995370373</v>
      </c>
      <c r="C331" t="s">
        <v>150</v>
      </c>
      <c r="D331" s="6" t="s">
        <v>299</v>
      </c>
      <c r="E331" s="6" t="str">
        <f>VLOOKUP(F331,Germplasm!$A$1:$B$21,2,FALSE)</f>
        <v>Arve</v>
      </c>
      <c r="F331" t="s">
        <v>68</v>
      </c>
      <c r="G331" s="6" t="s">
        <v>113</v>
      </c>
      <c r="H331">
        <v>43663.8</v>
      </c>
      <c r="I331">
        <v>475.31400000000002</v>
      </c>
      <c r="J331">
        <v>116870</v>
      </c>
      <c r="K331">
        <v>21.833500000000001</v>
      </c>
      <c r="L331">
        <v>74.616399999999999</v>
      </c>
      <c r="M331">
        <v>1314.06</v>
      </c>
      <c r="N331">
        <v>490.78199999999998</v>
      </c>
      <c r="O331">
        <v>23196600</v>
      </c>
      <c r="P331">
        <v>0.249838</v>
      </c>
      <c r="Q331">
        <v>0.50795999999999997</v>
      </c>
      <c r="R331">
        <v>2.2670699999999999</v>
      </c>
      <c r="S331">
        <v>17.0366</v>
      </c>
      <c r="T331">
        <v>45.7926</v>
      </c>
      <c r="U331">
        <v>33.511699999999998</v>
      </c>
      <c r="V331">
        <v>0.88410100000000003</v>
      </c>
      <c r="W331">
        <v>120.029</v>
      </c>
      <c r="X331">
        <v>0.63523399999999997</v>
      </c>
      <c r="Y331">
        <v>1.1988799999999999</v>
      </c>
      <c r="Z331">
        <v>2.7511700000000001</v>
      </c>
      <c r="AA331">
        <v>15.6206</v>
      </c>
      <c r="AB331">
        <v>38.364100000000001</v>
      </c>
      <c r="AC331">
        <v>41.43</v>
      </c>
      <c r="AD331">
        <v>1.7111700000000001</v>
      </c>
      <c r="AE331">
        <v>6.3241199999999997</v>
      </c>
      <c r="AF331">
        <v>0</v>
      </c>
      <c r="AG331">
        <v>99.884100000000004</v>
      </c>
      <c r="AH331">
        <v>0.10113800000000001</v>
      </c>
      <c r="AI331">
        <v>1.47729E-2</v>
      </c>
      <c r="AJ331">
        <v>0</v>
      </c>
      <c r="AK331">
        <v>0</v>
      </c>
      <c r="AL331">
        <v>0.54846200000000001</v>
      </c>
      <c r="AM331">
        <v>0.315913</v>
      </c>
      <c r="AN331">
        <v>1.6852499999999999</v>
      </c>
      <c r="AO331">
        <v>4.5364199999999997</v>
      </c>
      <c r="AP331">
        <v>12.347899999999999</v>
      </c>
      <c r="AQ331">
        <v>41.143700000000003</v>
      </c>
      <c r="AR331">
        <v>39.9709</v>
      </c>
      <c r="AS331">
        <v>3.0789299999999999E-2</v>
      </c>
      <c r="AT331">
        <v>7.46258</v>
      </c>
      <c r="AU331">
        <v>39.93</v>
      </c>
      <c r="AV331">
        <v>37.737900000000003</v>
      </c>
      <c r="AW331">
        <v>10.8047</v>
      </c>
      <c r="AX331">
        <v>2.2863899999999999</v>
      </c>
      <c r="AY331">
        <v>1.77843</v>
      </c>
      <c r="AZ331">
        <v>531.255</v>
      </c>
      <c r="BA331">
        <v>540.07500000000005</v>
      </c>
      <c r="BB331">
        <v>25516.9</v>
      </c>
      <c r="BC331">
        <v>7.4038200000000002E-3</v>
      </c>
      <c r="BD331">
        <v>3.2954900000000002E-2</v>
      </c>
      <c r="BE331">
        <v>0.26477600000000001</v>
      </c>
      <c r="BF331">
        <v>2.2443399999999998</v>
      </c>
      <c r="BG331">
        <v>44.848199999999999</v>
      </c>
      <c r="BH331">
        <v>48.594900000000003</v>
      </c>
      <c r="BI331">
        <v>4.0148200000000003</v>
      </c>
      <c r="BJ331">
        <v>33.125399999999999</v>
      </c>
      <c r="BK331">
        <v>0</v>
      </c>
      <c r="BL331">
        <v>30.743500000000001</v>
      </c>
      <c r="BM331">
        <v>58.473399999999998</v>
      </c>
      <c r="BN331">
        <v>8.7080500000000001</v>
      </c>
      <c r="BO331">
        <v>1.1613800000000001</v>
      </c>
      <c r="BP331">
        <v>0.91364699999999999</v>
      </c>
      <c r="BQ331">
        <v>35.800199999999997</v>
      </c>
      <c r="BR331">
        <v>87999</v>
      </c>
    </row>
    <row r="332" spans="1:70" x14ac:dyDescent="0.25">
      <c r="A332">
        <v>40</v>
      </c>
      <c r="B332" s="7">
        <v>45973.559224537035</v>
      </c>
      <c r="C332" t="s">
        <v>150</v>
      </c>
      <c r="D332" s="6" t="s">
        <v>300</v>
      </c>
      <c r="E332" s="6" t="str">
        <f>VLOOKUP(F332,Germplasm!$A$1:$B$21,2,FALSE)</f>
        <v>Arve</v>
      </c>
      <c r="F332" t="s">
        <v>68</v>
      </c>
      <c r="G332" s="6" t="s">
        <v>113</v>
      </c>
      <c r="H332">
        <v>55499.199999999997</v>
      </c>
      <c r="I332">
        <v>484.08600000000001</v>
      </c>
      <c r="J332">
        <v>117909</v>
      </c>
      <c r="K332">
        <v>26.294499999999999</v>
      </c>
      <c r="L332">
        <v>67.892300000000006</v>
      </c>
      <c r="M332">
        <v>1293.06</v>
      </c>
      <c r="N332">
        <v>451.58300000000003</v>
      </c>
      <c r="O332">
        <v>32835800</v>
      </c>
      <c r="P332">
        <v>0.233098</v>
      </c>
      <c r="Q332">
        <v>0.58111999999999997</v>
      </c>
      <c r="R332">
        <v>4.6752900000000004</v>
      </c>
      <c r="S332">
        <v>20.055700000000002</v>
      </c>
      <c r="T332">
        <v>45.310699999999997</v>
      </c>
      <c r="U332">
        <v>27.944700000000001</v>
      </c>
      <c r="V332">
        <v>1.4326099999999999</v>
      </c>
      <c r="W332">
        <v>118.911</v>
      </c>
      <c r="X332">
        <v>1.99003</v>
      </c>
      <c r="Y332">
        <v>3.24444</v>
      </c>
      <c r="Z332">
        <v>3.6359499999999998</v>
      </c>
      <c r="AA332">
        <v>14.9704</v>
      </c>
      <c r="AB332">
        <v>32.186300000000003</v>
      </c>
      <c r="AC332">
        <v>43.972900000000003</v>
      </c>
      <c r="AD332">
        <v>1.79009</v>
      </c>
      <c r="AE332">
        <v>6.0023099999999996</v>
      </c>
      <c r="AF332">
        <v>0</v>
      </c>
      <c r="AG332">
        <v>99.804199999999994</v>
      </c>
      <c r="AH332">
        <v>0.19487699999999999</v>
      </c>
      <c r="AI332">
        <v>8.7782400000000003E-4</v>
      </c>
      <c r="AJ332">
        <v>0</v>
      </c>
      <c r="AK332">
        <v>0</v>
      </c>
      <c r="AL332">
        <v>0.53429099999999996</v>
      </c>
      <c r="AM332">
        <v>0.60921000000000003</v>
      </c>
      <c r="AN332">
        <v>3.9853200000000002</v>
      </c>
      <c r="AO332">
        <v>6.5354000000000001</v>
      </c>
      <c r="AP332">
        <v>12.664400000000001</v>
      </c>
      <c r="AQ332">
        <v>34.639000000000003</v>
      </c>
      <c r="AR332">
        <v>41.566699999999997</v>
      </c>
      <c r="AS332">
        <v>3.71084E-2</v>
      </c>
      <c r="AT332">
        <v>8.6070700000000002</v>
      </c>
      <c r="AU332">
        <v>40.4572</v>
      </c>
      <c r="AV332">
        <v>32.218800000000002</v>
      </c>
      <c r="AW332">
        <v>12.7943</v>
      </c>
      <c r="AX332">
        <v>3.6403400000000001</v>
      </c>
      <c r="AY332">
        <v>2.28234</v>
      </c>
      <c r="AZ332">
        <v>591.64300000000003</v>
      </c>
      <c r="BA332">
        <v>645.6</v>
      </c>
      <c r="BB332">
        <v>31003.7</v>
      </c>
      <c r="BC332">
        <v>1.7663100000000001E-2</v>
      </c>
      <c r="BD332">
        <v>3.1601700000000003E-2</v>
      </c>
      <c r="BE332">
        <v>0.28090399999999999</v>
      </c>
      <c r="BF332">
        <v>2.80904</v>
      </c>
      <c r="BG332">
        <v>45.940100000000001</v>
      </c>
      <c r="BH332">
        <v>42.713200000000001</v>
      </c>
      <c r="BI332">
        <v>8.2252100000000006</v>
      </c>
      <c r="BJ332">
        <v>32.9788</v>
      </c>
      <c r="BK332">
        <v>0</v>
      </c>
      <c r="BL332">
        <v>33.059699999999999</v>
      </c>
      <c r="BM332">
        <v>54.687600000000003</v>
      </c>
      <c r="BN332">
        <v>9.5542400000000001</v>
      </c>
      <c r="BO332">
        <v>1.75302</v>
      </c>
      <c r="BP332">
        <v>0.94541699999999995</v>
      </c>
      <c r="BQ332">
        <v>34.002699999999997</v>
      </c>
      <c r="BR332">
        <v>113918</v>
      </c>
    </row>
    <row r="333" spans="1:70" x14ac:dyDescent="0.25">
      <c r="A333">
        <v>40</v>
      </c>
      <c r="B333" s="7">
        <v>45988.550405092596</v>
      </c>
      <c r="C333" t="s">
        <v>150</v>
      </c>
      <c r="D333" s="6" t="s">
        <v>301</v>
      </c>
      <c r="E333" s="6" t="str">
        <f>VLOOKUP(F333,Germplasm!$A$1:$B$21,2,FALSE)</f>
        <v>Arve</v>
      </c>
      <c r="F333" t="s">
        <v>68</v>
      </c>
      <c r="G333" s="6" t="s">
        <v>113</v>
      </c>
      <c r="H333">
        <v>51382.8</v>
      </c>
      <c r="I333">
        <v>433.495</v>
      </c>
      <c r="J333">
        <v>123216</v>
      </c>
      <c r="K333">
        <v>22.957999999999998</v>
      </c>
      <c r="L333">
        <v>76.751300000000001</v>
      </c>
      <c r="M333">
        <v>1307.3599999999999</v>
      </c>
      <c r="N333">
        <v>466.58300000000003</v>
      </c>
      <c r="O333">
        <v>31267700</v>
      </c>
      <c r="P333">
        <v>0.16703999999999999</v>
      </c>
      <c r="Q333">
        <v>0.97977499999999995</v>
      </c>
      <c r="R333">
        <v>13.6998</v>
      </c>
      <c r="S333">
        <v>30.243600000000001</v>
      </c>
      <c r="T333">
        <v>36.875599999999999</v>
      </c>
      <c r="U333">
        <v>16.997499999999999</v>
      </c>
      <c r="V333">
        <v>1.2036500000000001</v>
      </c>
      <c r="W333">
        <v>81.299700000000001</v>
      </c>
      <c r="X333">
        <v>7.9965299999999999</v>
      </c>
      <c r="Y333">
        <v>17.2376</v>
      </c>
      <c r="Z333">
        <v>11.5862</v>
      </c>
      <c r="AA333">
        <v>25.6035</v>
      </c>
      <c r="AB333">
        <v>23.4252</v>
      </c>
      <c r="AC333">
        <v>14.151</v>
      </c>
      <c r="AD333">
        <v>1.8164199999999999</v>
      </c>
      <c r="AE333">
        <v>8.0009399999999999</v>
      </c>
      <c r="AF333">
        <v>0</v>
      </c>
      <c r="AG333">
        <v>98.655900000000003</v>
      </c>
      <c r="AH333">
        <v>1.3441000000000001</v>
      </c>
      <c r="AI333">
        <v>0</v>
      </c>
      <c r="AJ333">
        <v>0</v>
      </c>
      <c r="AK333">
        <v>0</v>
      </c>
      <c r="AL333">
        <v>0.36071599999999998</v>
      </c>
      <c r="AM333">
        <v>2.3732500000000001</v>
      </c>
      <c r="AN333">
        <v>18.499099999999999</v>
      </c>
      <c r="AO333">
        <v>18.458200000000001</v>
      </c>
      <c r="AP333">
        <v>22.539100000000001</v>
      </c>
      <c r="AQ333">
        <v>25.535399999999999</v>
      </c>
      <c r="AR333">
        <v>12.594900000000001</v>
      </c>
      <c r="AS333">
        <v>0.20960699999999999</v>
      </c>
      <c r="AT333">
        <v>1.2828200000000001</v>
      </c>
      <c r="AU333">
        <v>13.6547</v>
      </c>
      <c r="AV333">
        <v>36.640700000000002</v>
      </c>
      <c r="AW333">
        <v>29.9619</v>
      </c>
      <c r="AX333">
        <v>15.007300000000001</v>
      </c>
      <c r="AY333">
        <v>3.45262</v>
      </c>
      <c r="AZ333">
        <v>608.524</v>
      </c>
      <c r="BA333">
        <v>673.19899999999996</v>
      </c>
      <c r="BB333">
        <v>28288</v>
      </c>
      <c r="BC333">
        <v>0.16870499999999999</v>
      </c>
      <c r="BD333">
        <v>1.5322300000000001E-2</v>
      </c>
      <c r="BE333">
        <v>0.186421</v>
      </c>
      <c r="BF333">
        <v>0.88954299999999997</v>
      </c>
      <c r="BG333">
        <v>13.8428</v>
      </c>
      <c r="BH333">
        <v>49.381999999999998</v>
      </c>
      <c r="BI333">
        <v>35.683900000000001</v>
      </c>
      <c r="BJ333">
        <v>34.384300000000003</v>
      </c>
      <c r="BK333">
        <v>0</v>
      </c>
      <c r="BL333">
        <v>30.3202</v>
      </c>
      <c r="BM333">
        <v>54.833300000000001</v>
      </c>
      <c r="BN333">
        <v>12.022</v>
      </c>
      <c r="BO333">
        <v>1.80633</v>
      </c>
      <c r="BP333">
        <v>1.0180800000000001</v>
      </c>
      <c r="BQ333">
        <v>33.441800000000001</v>
      </c>
      <c r="BR333">
        <v>117476</v>
      </c>
    </row>
    <row r="334" spans="1:70" x14ac:dyDescent="0.25">
      <c r="A334">
        <v>40</v>
      </c>
      <c r="B334" s="7">
        <v>45994.555694444447</v>
      </c>
      <c r="C334" t="s">
        <v>150</v>
      </c>
      <c r="D334" s="6" t="s">
        <v>302</v>
      </c>
      <c r="E334" s="6" t="str">
        <f>VLOOKUP(F334,Germplasm!$A$1:$B$21,2,FALSE)</f>
        <v>Arve</v>
      </c>
      <c r="F334" t="s">
        <v>68</v>
      </c>
      <c r="G334" s="6" t="s">
        <v>113</v>
      </c>
      <c r="H334">
        <v>49669.1</v>
      </c>
      <c r="I334">
        <v>413.37400000000002</v>
      </c>
      <c r="J334">
        <v>120731</v>
      </c>
      <c r="K334">
        <v>22.148700000000002</v>
      </c>
      <c r="L334">
        <v>77.192999999999998</v>
      </c>
      <c r="M334">
        <v>1336.68</v>
      </c>
      <c r="N334">
        <v>473.61700000000002</v>
      </c>
      <c r="O334">
        <v>30175900</v>
      </c>
      <c r="P334">
        <v>0.12592999999999999</v>
      </c>
      <c r="Q334">
        <v>1.2350699999999999</v>
      </c>
      <c r="R334">
        <v>21.838200000000001</v>
      </c>
      <c r="S334">
        <v>36.706000000000003</v>
      </c>
      <c r="T334">
        <v>25.892700000000001</v>
      </c>
      <c r="U334">
        <v>13.1525</v>
      </c>
      <c r="V334">
        <v>1.1754500000000001</v>
      </c>
      <c r="W334">
        <v>64.796099999999996</v>
      </c>
      <c r="X334">
        <v>12.5396</v>
      </c>
      <c r="Y334">
        <v>27.055599999999998</v>
      </c>
      <c r="Z334">
        <v>13.3439</v>
      </c>
      <c r="AA334">
        <v>23.268899999999999</v>
      </c>
      <c r="AB334">
        <v>13.967700000000001</v>
      </c>
      <c r="AC334">
        <v>9.8242700000000003</v>
      </c>
      <c r="AD334">
        <v>1.85745</v>
      </c>
      <c r="AE334">
        <v>9.3865599999999993</v>
      </c>
      <c r="AF334">
        <v>0</v>
      </c>
      <c r="AG334">
        <v>96.801900000000003</v>
      </c>
      <c r="AH334">
        <v>3.1921900000000001</v>
      </c>
      <c r="AI334">
        <v>5.8772700000000004E-3</v>
      </c>
      <c r="AJ334">
        <v>0</v>
      </c>
      <c r="AK334">
        <v>0</v>
      </c>
      <c r="AL334">
        <v>0.28656100000000001</v>
      </c>
      <c r="AM334">
        <v>4.7992100000000004</v>
      </c>
      <c r="AN334">
        <v>28.434200000000001</v>
      </c>
      <c r="AO334">
        <v>22.598099999999999</v>
      </c>
      <c r="AP334">
        <v>20.154800000000002</v>
      </c>
      <c r="AQ334">
        <v>14.933299999999999</v>
      </c>
      <c r="AR334">
        <v>9.0803799999999999</v>
      </c>
      <c r="AS334">
        <v>0.25891599999999998</v>
      </c>
      <c r="AT334">
        <v>0.96638999999999997</v>
      </c>
      <c r="AU334">
        <v>8.0493400000000008</v>
      </c>
      <c r="AV334">
        <v>28.971599999999999</v>
      </c>
      <c r="AW334">
        <v>41.247500000000002</v>
      </c>
      <c r="AX334">
        <v>16.041599999999999</v>
      </c>
      <c r="AY334">
        <v>4.7236399999999996</v>
      </c>
      <c r="AZ334">
        <v>607.54</v>
      </c>
      <c r="BA334">
        <v>685.19899999999996</v>
      </c>
      <c r="BB334">
        <v>26740.400000000001</v>
      </c>
      <c r="BC334">
        <v>0.231742</v>
      </c>
      <c r="BD334">
        <v>6.0451900000000003E-2</v>
      </c>
      <c r="BE334">
        <v>0.198987</v>
      </c>
      <c r="BF334">
        <v>0.67504600000000003</v>
      </c>
      <c r="BG334">
        <v>8.0787200000000006</v>
      </c>
      <c r="BH334">
        <v>38.921799999999998</v>
      </c>
      <c r="BI334">
        <v>52.064999999999998</v>
      </c>
      <c r="BJ334">
        <v>34.969299999999997</v>
      </c>
      <c r="BK334">
        <v>0</v>
      </c>
      <c r="BL334">
        <v>29.605499999999999</v>
      </c>
      <c r="BM334">
        <v>54.727400000000003</v>
      </c>
      <c r="BN334">
        <v>12.097899999999999</v>
      </c>
      <c r="BO334">
        <v>2.52555</v>
      </c>
      <c r="BP334">
        <v>1.0436300000000001</v>
      </c>
      <c r="BQ334">
        <v>32.608600000000003</v>
      </c>
      <c r="BR334">
        <v>119103</v>
      </c>
    </row>
    <row r="335" spans="1:70" x14ac:dyDescent="0.25">
      <c r="A335">
        <v>40</v>
      </c>
      <c r="B335" s="7">
        <v>46002.574652777781</v>
      </c>
      <c r="C335" t="s">
        <v>150</v>
      </c>
      <c r="D335" s="6" t="s">
        <v>303</v>
      </c>
      <c r="E335" s="6" t="str">
        <f>VLOOKUP(F335,Germplasm!$A$1:$B$21,2,FALSE)</f>
        <v>Arve</v>
      </c>
      <c r="F335" t="s">
        <v>68</v>
      </c>
      <c r="G335" s="6" t="s">
        <v>113</v>
      </c>
      <c r="H335">
        <v>46515.1</v>
      </c>
      <c r="I335">
        <v>437.702</v>
      </c>
      <c r="J335">
        <v>193009</v>
      </c>
      <c r="K335">
        <v>12.789300000000001</v>
      </c>
      <c r="L335">
        <v>72.283799999999999</v>
      </c>
      <c r="M335">
        <v>1660.92</v>
      </c>
      <c r="N335">
        <v>621.51400000000001</v>
      </c>
      <c r="O335">
        <v>26931900</v>
      </c>
      <c r="P335">
        <v>6.7071699999999998E-2</v>
      </c>
      <c r="Q335">
        <v>0.92446499999999998</v>
      </c>
      <c r="R335">
        <v>31.657399999999999</v>
      </c>
      <c r="S335">
        <v>47.368600000000001</v>
      </c>
      <c r="T335">
        <v>13.3096</v>
      </c>
      <c r="U335">
        <v>5.92537</v>
      </c>
      <c r="V335">
        <v>0.81452400000000003</v>
      </c>
      <c r="W335">
        <v>48.546599999999998</v>
      </c>
      <c r="X335">
        <v>17.334399999999999</v>
      </c>
      <c r="Y335">
        <v>40.799799999999998</v>
      </c>
      <c r="Z335">
        <v>13.54</v>
      </c>
      <c r="AA335">
        <v>12.106</v>
      </c>
      <c r="AB335">
        <v>7.4119700000000002</v>
      </c>
      <c r="AC335">
        <v>8.80776</v>
      </c>
      <c r="AD335">
        <v>1.88439</v>
      </c>
      <c r="AE335">
        <v>13.3719</v>
      </c>
      <c r="AF335">
        <v>0</v>
      </c>
      <c r="AG335">
        <v>90.894000000000005</v>
      </c>
      <c r="AH335">
        <v>9.0410199999999996</v>
      </c>
      <c r="AI335">
        <v>6.5008899999999994E-2</v>
      </c>
      <c r="AJ335">
        <v>0</v>
      </c>
      <c r="AK335">
        <v>0</v>
      </c>
      <c r="AL335">
        <v>0.18487500000000001</v>
      </c>
      <c r="AM335">
        <v>8.3976199999999999</v>
      </c>
      <c r="AN335">
        <v>45.967100000000002</v>
      </c>
      <c r="AO335">
        <v>24.2502</v>
      </c>
      <c r="AP335">
        <v>11.4903</v>
      </c>
      <c r="AQ335">
        <v>5.7829300000000003</v>
      </c>
      <c r="AR335">
        <v>4.1118199999999998</v>
      </c>
      <c r="AS335">
        <v>0.26332899999999998</v>
      </c>
      <c r="AT335">
        <v>0.90534499999999996</v>
      </c>
      <c r="AU335">
        <v>6.2418100000000001</v>
      </c>
      <c r="AV335">
        <v>26.314299999999999</v>
      </c>
      <c r="AW335">
        <v>48.180199999999999</v>
      </c>
      <c r="AX335">
        <v>15.141299999999999</v>
      </c>
      <c r="AY335">
        <v>3.21699</v>
      </c>
      <c r="AZ335">
        <v>578.99199999999996</v>
      </c>
      <c r="BA335">
        <v>653.99900000000002</v>
      </c>
      <c r="BB335">
        <v>24684.400000000001</v>
      </c>
      <c r="BC335">
        <v>0.28034999999999999</v>
      </c>
      <c r="BD335">
        <v>7.7437099999999995E-2</v>
      </c>
      <c r="BE335">
        <v>0.32504499999999997</v>
      </c>
      <c r="BF335">
        <v>1.0908100000000001</v>
      </c>
      <c r="BG335">
        <v>5.6538700000000004</v>
      </c>
      <c r="BH335">
        <v>24.931899999999999</v>
      </c>
      <c r="BI335">
        <v>67.921000000000006</v>
      </c>
      <c r="BJ335">
        <v>31.489899999999999</v>
      </c>
      <c r="BK335">
        <v>0</v>
      </c>
      <c r="BL335">
        <v>35.862900000000003</v>
      </c>
      <c r="BM335">
        <v>53.877099999999999</v>
      </c>
      <c r="BN335">
        <v>8.0247799999999998</v>
      </c>
      <c r="BO335">
        <v>1.78583</v>
      </c>
      <c r="BP335">
        <v>0.449326</v>
      </c>
      <c r="BQ335">
        <v>32.0837</v>
      </c>
      <c r="BR335">
        <v>104601</v>
      </c>
    </row>
    <row r="336" spans="1:70" x14ac:dyDescent="0.25">
      <c r="A336">
        <v>40</v>
      </c>
      <c r="B336" s="7">
        <v>46013.613483796296</v>
      </c>
      <c r="C336" t="s">
        <v>150</v>
      </c>
      <c r="D336" s="6" t="s">
        <v>304</v>
      </c>
      <c r="E336" s="6" t="str">
        <f>VLOOKUP(F336,Germplasm!$A$1:$B$21,2,FALSE)</f>
        <v>Arve</v>
      </c>
      <c r="F336" t="s">
        <v>68</v>
      </c>
      <c r="G336" s="6" t="s">
        <v>113</v>
      </c>
      <c r="H336">
        <v>40115.4</v>
      </c>
      <c r="I336">
        <v>457.29899999999998</v>
      </c>
      <c r="J336">
        <v>101410</v>
      </c>
      <c r="K336">
        <v>21.507000000000001</v>
      </c>
      <c r="L336">
        <v>65.0989</v>
      </c>
      <c r="M336">
        <v>1308.42</v>
      </c>
      <c r="N336">
        <v>489.10599999999999</v>
      </c>
      <c r="O336">
        <v>21240700</v>
      </c>
      <c r="P336">
        <v>1.27592E-2</v>
      </c>
      <c r="Q336">
        <v>0.87208600000000003</v>
      </c>
      <c r="R336">
        <v>41.427100000000003</v>
      </c>
      <c r="S336">
        <v>53.1203</v>
      </c>
      <c r="T336">
        <v>3.61022</v>
      </c>
      <c r="U336">
        <v>0.92178400000000005</v>
      </c>
      <c r="V336">
        <v>4.8515000000000003E-2</v>
      </c>
      <c r="W336">
        <v>34.923900000000003</v>
      </c>
      <c r="X336">
        <v>22.848199999999999</v>
      </c>
      <c r="Y336">
        <v>59.097099999999998</v>
      </c>
      <c r="Z336">
        <v>8.8687699999999996</v>
      </c>
      <c r="AA336">
        <v>3.5439600000000002</v>
      </c>
      <c r="AB336">
        <v>1.1075600000000001</v>
      </c>
      <c r="AC336">
        <v>4.53437</v>
      </c>
      <c r="AD336">
        <v>1.8392999999999999</v>
      </c>
      <c r="AE336">
        <v>18.0166</v>
      </c>
      <c r="AF336">
        <v>0</v>
      </c>
      <c r="AG336">
        <v>78.827399999999997</v>
      </c>
      <c r="AH336">
        <v>21.067299999999999</v>
      </c>
      <c r="AI336">
        <v>0.105313</v>
      </c>
      <c r="AJ336">
        <v>0</v>
      </c>
      <c r="AK336">
        <v>0</v>
      </c>
      <c r="AL336">
        <v>9.5223500000000003E-2</v>
      </c>
      <c r="AM336">
        <v>14.0457</v>
      </c>
      <c r="AN336">
        <v>62.938099999999999</v>
      </c>
      <c r="AO336">
        <v>17.706800000000001</v>
      </c>
      <c r="AP336">
        <v>4.0302899999999999</v>
      </c>
      <c r="AQ336">
        <v>0.92533399999999999</v>
      </c>
      <c r="AR336">
        <v>0.35380400000000001</v>
      </c>
      <c r="AS336">
        <v>0.28450599999999998</v>
      </c>
      <c r="AT336">
        <v>0.44491799999999998</v>
      </c>
      <c r="AU336">
        <v>2.3665799999999999</v>
      </c>
      <c r="AV336">
        <v>23.428000000000001</v>
      </c>
      <c r="AW336">
        <v>57.031100000000002</v>
      </c>
      <c r="AX336">
        <v>13.661099999999999</v>
      </c>
      <c r="AY336">
        <v>3.0682800000000001</v>
      </c>
      <c r="AZ336">
        <v>529.48900000000003</v>
      </c>
      <c r="BA336">
        <v>590.399</v>
      </c>
      <c r="BB336">
        <v>21810.1</v>
      </c>
      <c r="BC336">
        <v>0.35032999999999997</v>
      </c>
      <c r="BD336">
        <v>9.5846600000000004E-2</v>
      </c>
      <c r="BE336">
        <v>0.23665800000000001</v>
      </c>
      <c r="BF336">
        <v>0.46384999999999998</v>
      </c>
      <c r="BG336">
        <v>2.01396</v>
      </c>
      <c r="BH336">
        <v>10.2994</v>
      </c>
      <c r="BI336">
        <v>86.890299999999996</v>
      </c>
      <c r="BJ336">
        <v>29.877400000000002</v>
      </c>
      <c r="BK336">
        <v>0</v>
      </c>
      <c r="BL336">
        <v>38.491300000000003</v>
      </c>
      <c r="BM336">
        <v>54.466900000000003</v>
      </c>
      <c r="BN336">
        <v>5.6726999999999999</v>
      </c>
      <c r="BO336">
        <v>0.95255000000000001</v>
      </c>
      <c r="BP336">
        <v>0.41651899999999997</v>
      </c>
      <c r="BQ336">
        <v>32.965800000000002</v>
      </c>
      <c r="BR336">
        <v>84510</v>
      </c>
    </row>
    <row r="337" spans="1:70" x14ac:dyDescent="0.25">
      <c r="A337">
        <v>40</v>
      </c>
      <c r="B337" s="7">
        <v>46024.53633101852</v>
      </c>
      <c r="C337" t="s">
        <v>150</v>
      </c>
      <c r="D337" s="6" t="s">
        <v>305</v>
      </c>
      <c r="E337" s="6" t="str">
        <f>VLOOKUP(F337,Germplasm!$A$1:$B$21,2,FALSE)</f>
        <v>Arve</v>
      </c>
      <c r="F337" t="s">
        <v>68</v>
      </c>
      <c r="G337" s="6" t="s">
        <v>113</v>
      </c>
      <c r="H337">
        <v>36402.800000000003</v>
      </c>
      <c r="I337">
        <v>358.36799999999999</v>
      </c>
      <c r="J337">
        <v>99424.8</v>
      </c>
      <c r="K337">
        <v>19.0703</v>
      </c>
      <c r="L337">
        <v>76.703599999999994</v>
      </c>
      <c r="M337">
        <v>1181.98</v>
      </c>
      <c r="N337">
        <v>415.61500000000001</v>
      </c>
      <c r="O337">
        <v>15459800</v>
      </c>
      <c r="P337">
        <v>6.1063000000000003E-3</v>
      </c>
      <c r="Q337">
        <v>0.75152200000000002</v>
      </c>
      <c r="R337">
        <v>40.997799999999998</v>
      </c>
      <c r="S337">
        <v>56.967300000000002</v>
      </c>
      <c r="T337">
        <v>1.1209899999999999</v>
      </c>
      <c r="U337">
        <v>0.14974499999999999</v>
      </c>
      <c r="V337">
        <v>1.25953E-2</v>
      </c>
      <c r="W337">
        <v>33.621400000000001</v>
      </c>
      <c r="X337">
        <v>21.461099999999998</v>
      </c>
      <c r="Y337">
        <v>62.586199999999998</v>
      </c>
      <c r="Z337">
        <v>7.4354500000000003</v>
      </c>
      <c r="AA337">
        <v>2.0446399999999998</v>
      </c>
      <c r="AB337">
        <v>0.83828999999999998</v>
      </c>
      <c r="AC337">
        <v>5.6343199999999998</v>
      </c>
      <c r="AD337">
        <v>1.91991</v>
      </c>
      <c r="AE337">
        <v>18.161000000000001</v>
      </c>
      <c r="AF337">
        <v>0</v>
      </c>
      <c r="AG337">
        <v>81.679400000000001</v>
      </c>
      <c r="AH337">
        <v>18.0379</v>
      </c>
      <c r="AI337">
        <v>0.28129599999999999</v>
      </c>
      <c r="AJ337">
        <v>1.39948E-3</v>
      </c>
      <c r="AK337">
        <v>0</v>
      </c>
      <c r="AL337">
        <v>8.6827799999999997E-2</v>
      </c>
      <c r="AM337">
        <v>14.3797</v>
      </c>
      <c r="AN337">
        <v>65.061899999999994</v>
      </c>
      <c r="AO337">
        <v>17.056899999999999</v>
      </c>
      <c r="AP337">
        <v>2.54426</v>
      </c>
      <c r="AQ337">
        <v>0.69694199999999995</v>
      </c>
      <c r="AR337">
        <v>0.26030399999999998</v>
      </c>
      <c r="AS337">
        <v>0.27774900000000002</v>
      </c>
      <c r="AT337">
        <v>0.52060700000000004</v>
      </c>
      <c r="AU337">
        <v>2.9333100000000001</v>
      </c>
      <c r="AV337">
        <v>24.136900000000001</v>
      </c>
      <c r="AW337">
        <v>56.273200000000003</v>
      </c>
      <c r="AX337">
        <v>13.3581</v>
      </c>
      <c r="AY337">
        <v>2.7779699999999998</v>
      </c>
      <c r="AZ337">
        <v>424.68799999999999</v>
      </c>
      <c r="BA337">
        <v>433.34899999999999</v>
      </c>
      <c r="BB337">
        <v>18960.7</v>
      </c>
      <c r="BC337">
        <v>0.344362</v>
      </c>
      <c r="BD337">
        <v>0.151144</v>
      </c>
      <c r="BE337">
        <v>0.32607900000000001</v>
      </c>
      <c r="BF337">
        <v>0.62136999999999998</v>
      </c>
      <c r="BG337">
        <v>2.3553299999999999</v>
      </c>
      <c r="BH337">
        <v>10.4681</v>
      </c>
      <c r="BI337">
        <v>86.0779</v>
      </c>
      <c r="BJ337">
        <v>29.030100000000001</v>
      </c>
      <c r="BK337">
        <v>0</v>
      </c>
      <c r="BL337">
        <v>40.603200000000001</v>
      </c>
      <c r="BM337">
        <v>52.892000000000003</v>
      </c>
      <c r="BN337">
        <v>5.4146000000000001</v>
      </c>
      <c r="BO337">
        <v>0.75432100000000002</v>
      </c>
      <c r="BP337">
        <v>0.33587600000000001</v>
      </c>
      <c r="BQ337">
        <v>31.4147</v>
      </c>
      <c r="BR337">
        <v>71455</v>
      </c>
    </row>
    <row r="338" spans="1:70" x14ac:dyDescent="0.25">
      <c r="A338">
        <v>41</v>
      </c>
      <c r="B338" s="7">
        <v>45952.566250000003</v>
      </c>
      <c r="C338" t="s">
        <v>157</v>
      </c>
      <c r="D338" s="6" t="s">
        <v>306</v>
      </c>
      <c r="E338" s="6" t="str">
        <f>VLOOKUP(F338,Germplasm!$A$1:$B$21,2,FALSE)</f>
        <v>Thermus</v>
      </c>
      <c r="F338" t="s">
        <v>75</v>
      </c>
      <c r="G338" s="6" t="s">
        <v>113</v>
      </c>
      <c r="H338">
        <v>43381.599999999999</v>
      </c>
      <c r="I338">
        <v>274.87900000000002</v>
      </c>
      <c r="J338">
        <v>164523</v>
      </c>
      <c r="K338">
        <v>15.357699999999999</v>
      </c>
      <c r="L338">
        <v>92.171800000000005</v>
      </c>
      <c r="M338">
        <v>1522.99</v>
      </c>
      <c r="N338">
        <v>515.90800000000002</v>
      </c>
      <c r="O338">
        <v>15236200</v>
      </c>
      <c r="P338">
        <v>0.231825</v>
      </c>
      <c r="Q338">
        <v>0.45133600000000001</v>
      </c>
      <c r="R338">
        <v>5.9336700000000002</v>
      </c>
      <c r="S338">
        <v>20.6707</v>
      </c>
      <c r="T338">
        <v>38.505499999999998</v>
      </c>
      <c r="U338">
        <v>33.963000000000001</v>
      </c>
      <c r="V338">
        <v>0.47576400000000002</v>
      </c>
      <c r="W338">
        <v>115.223</v>
      </c>
      <c r="X338">
        <v>1.9681999999999999</v>
      </c>
      <c r="Y338">
        <v>2.88483</v>
      </c>
      <c r="Z338">
        <v>4.0247999999999999</v>
      </c>
      <c r="AA338">
        <v>15.5909</v>
      </c>
      <c r="AB338">
        <v>40.238700000000001</v>
      </c>
      <c r="AC338">
        <v>35.2926</v>
      </c>
      <c r="AD338">
        <v>1.7169300000000001</v>
      </c>
      <c r="AE338">
        <v>13.092700000000001</v>
      </c>
      <c r="AF338">
        <v>0</v>
      </c>
      <c r="AG338">
        <v>91.435100000000006</v>
      </c>
      <c r="AH338">
        <v>0.87591699999999995</v>
      </c>
      <c r="AI338">
        <v>1.1504399999999999</v>
      </c>
      <c r="AJ338">
        <v>6.5385600000000004</v>
      </c>
      <c r="AK338">
        <v>0</v>
      </c>
      <c r="AL338">
        <v>0.49267100000000003</v>
      </c>
      <c r="AM338">
        <v>7.5168400000000002</v>
      </c>
      <c r="AN338">
        <v>3.7200299999999999</v>
      </c>
      <c r="AO338">
        <v>4.4261200000000001</v>
      </c>
      <c r="AP338">
        <v>10.832100000000001</v>
      </c>
      <c r="AQ338">
        <v>37.115400000000001</v>
      </c>
      <c r="AR338">
        <v>36.389499999999998</v>
      </c>
      <c r="AS338">
        <v>3.8912700000000001E-2</v>
      </c>
      <c r="AT338">
        <v>6.21983</v>
      </c>
      <c r="AU338">
        <v>35.104199999999999</v>
      </c>
      <c r="AV338">
        <v>44.332099999999997</v>
      </c>
      <c r="AW338">
        <v>10.758800000000001</v>
      </c>
      <c r="AX338">
        <v>2.3869600000000002</v>
      </c>
      <c r="AY338">
        <v>1.1981299999999999</v>
      </c>
      <c r="AZ338">
        <v>351.21300000000002</v>
      </c>
      <c r="BA338">
        <v>366.89400000000001</v>
      </c>
      <c r="BB338">
        <v>25267</v>
      </c>
      <c r="BC338">
        <v>8.6664099999999994E-3</v>
      </c>
      <c r="BD338">
        <v>0.48623300000000003</v>
      </c>
      <c r="BE338">
        <v>0.63047500000000001</v>
      </c>
      <c r="BF338">
        <v>2.6614900000000001</v>
      </c>
      <c r="BG338">
        <v>37.5458</v>
      </c>
      <c r="BH338">
        <v>54.116100000000003</v>
      </c>
      <c r="BI338">
        <v>4.5598900000000002</v>
      </c>
      <c r="BJ338">
        <v>33.406500000000001</v>
      </c>
      <c r="BK338">
        <v>0</v>
      </c>
      <c r="BL338">
        <v>30.3582</v>
      </c>
      <c r="BM338">
        <v>57.896599999999999</v>
      </c>
      <c r="BN338">
        <v>9.2582000000000004</v>
      </c>
      <c r="BO338">
        <v>1.36913</v>
      </c>
      <c r="BP338">
        <v>1.1178699999999999</v>
      </c>
      <c r="BQ338">
        <v>35.659500000000001</v>
      </c>
      <c r="BR338">
        <v>85967</v>
      </c>
    </row>
    <row r="339" spans="1:70" x14ac:dyDescent="0.25">
      <c r="A339">
        <v>41</v>
      </c>
      <c r="B339" s="7">
        <v>45959.531446759262</v>
      </c>
      <c r="C339" t="s">
        <v>157</v>
      </c>
      <c r="D339" s="6" t="s">
        <v>307</v>
      </c>
      <c r="E339" s="6" t="str">
        <f>VLOOKUP(F339,Germplasm!$A$1:$B$21,2,FALSE)</f>
        <v>Thermus</v>
      </c>
      <c r="F339" t="s">
        <v>75</v>
      </c>
      <c r="G339" s="6" t="s">
        <v>113</v>
      </c>
      <c r="H339">
        <v>0</v>
      </c>
      <c r="J339">
        <v>0</v>
      </c>
      <c r="M339">
        <v>0</v>
      </c>
      <c r="N339">
        <v>0</v>
      </c>
      <c r="O339">
        <v>0</v>
      </c>
      <c r="AZ339">
        <v>0</v>
      </c>
      <c r="BA339">
        <v>0</v>
      </c>
      <c r="BB339">
        <v>0</v>
      </c>
      <c r="BR339">
        <v>0</v>
      </c>
    </row>
    <row r="340" spans="1:70" x14ac:dyDescent="0.25">
      <c r="A340">
        <v>41</v>
      </c>
      <c r="B340" s="7">
        <v>45966.547534722224</v>
      </c>
      <c r="C340" t="s">
        <v>157</v>
      </c>
      <c r="D340" s="6" t="s">
        <v>308</v>
      </c>
      <c r="E340" s="6" t="str">
        <f>VLOOKUP(F340,Germplasm!$A$1:$B$21,2,FALSE)</f>
        <v>Thermus</v>
      </c>
      <c r="F340" t="s">
        <v>75</v>
      </c>
      <c r="G340" s="6" t="s">
        <v>113</v>
      </c>
      <c r="H340">
        <v>47959.4</v>
      </c>
      <c r="I340">
        <v>605.13699999999994</v>
      </c>
      <c r="J340">
        <v>223453</v>
      </c>
      <c r="K340">
        <v>13.5199</v>
      </c>
      <c r="L340">
        <v>77.876199999999997</v>
      </c>
      <c r="M340">
        <v>1765.45</v>
      </c>
      <c r="N340">
        <v>630.101</v>
      </c>
      <c r="O340">
        <v>33031200</v>
      </c>
      <c r="P340">
        <v>0.22470699999999999</v>
      </c>
      <c r="Q340">
        <v>0.18826399999999999</v>
      </c>
      <c r="R340">
        <v>3.95261</v>
      </c>
      <c r="S340">
        <v>22.398700000000002</v>
      </c>
      <c r="T340">
        <v>45.512099999999997</v>
      </c>
      <c r="U340">
        <v>27.355399999999999</v>
      </c>
      <c r="V340">
        <v>0.59289099999999995</v>
      </c>
      <c r="W340">
        <v>116.871</v>
      </c>
      <c r="X340">
        <v>1.4311799999999999</v>
      </c>
      <c r="Y340">
        <v>2.5748099999999998</v>
      </c>
      <c r="Z340">
        <v>3.8317800000000002</v>
      </c>
      <c r="AA340">
        <v>14.1395</v>
      </c>
      <c r="AB340">
        <v>40.0899</v>
      </c>
      <c r="AC340">
        <v>37.9328</v>
      </c>
      <c r="AD340">
        <v>1.5874999999999999</v>
      </c>
      <c r="AE340">
        <v>11.7767</v>
      </c>
      <c r="AF340">
        <v>0</v>
      </c>
      <c r="AG340">
        <v>92.541600000000003</v>
      </c>
      <c r="AH340">
        <v>0.85140300000000002</v>
      </c>
      <c r="AI340">
        <v>1.5651200000000001</v>
      </c>
      <c r="AJ340">
        <v>5.0419099999999997</v>
      </c>
      <c r="AK340">
        <v>0</v>
      </c>
      <c r="AL340">
        <v>0.492728</v>
      </c>
      <c r="AM340">
        <v>6.4300100000000002</v>
      </c>
      <c r="AN340">
        <v>3.6669299999999998</v>
      </c>
      <c r="AO340">
        <v>5.8567900000000002</v>
      </c>
      <c r="AP340">
        <v>12.6343</v>
      </c>
      <c r="AQ340">
        <v>33.689900000000002</v>
      </c>
      <c r="AR340">
        <v>37.722099999999998</v>
      </c>
      <c r="AS340">
        <v>3.4550200000000003E-2</v>
      </c>
      <c r="AT340">
        <v>3.2726099999999998</v>
      </c>
      <c r="AU340">
        <v>41.581000000000003</v>
      </c>
      <c r="AV340">
        <v>43.265099999999997</v>
      </c>
      <c r="AW340">
        <v>8.6086299999999998</v>
      </c>
      <c r="AX340">
        <v>2.0222000000000002</v>
      </c>
      <c r="AY340">
        <v>1.25041</v>
      </c>
      <c r="AZ340">
        <v>688.73299999999995</v>
      </c>
      <c r="BA340">
        <v>802.19899999999996</v>
      </c>
      <c r="BB340">
        <v>30210.6</v>
      </c>
      <c r="BC340">
        <v>9.4239900000000001E-3</v>
      </c>
      <c r="BD340">
        <v>0.30628</v>
      </c>
      <c r="BE340">
        <v>0.27537099999999998</v>
      </c>
      <c r="BF340">
        <v>1.6859500000000001</v>
      </c>
      <c r="BG340">
        <v>42.586100000000002</v>
      </c>
      <c r="BH340">
        <v>50.835900000000002</v>
      </c>
      <c r="BI340">
        <v>4.3103999999999996</v>
      </c>
      <c r="BJ340">
        <v>30.3932</v>
      </c>
      <c r="BK340">
        <v>0</v>
      </c>
      <c r="BL340">
        <v>37.192</v>
      </c>
      <c r="BM340">
        <v>54.950600000000001</v>
      </c>
      <c r="BN340">
        <v>6.0188300000000003</v>
      </c>
      <c r="BO340">
        <v>1.0771299999999999</v>
      </c>
      <c r="BP340">
        <v>0.761486</v>
      </c>
      <c r="BQ340">
        <v>39.094000000000001</v>
      </c>
      <c r="BR340">
        <v>106765</v>
      </c>
    </row>
    <row r="341" spans="1:70" x14ac:dyDescent="0.25">
      <c r="A341">
        <v>41</v>
      </c>
      <c r="B341" s="7">
        <v>45973.56113425926</v>
      </c>
      <c r="C341" t="s">
        <v>157</v>
      </c>
      <c r="D341" s="6" t="s">
        <v>309</v>
      </c>
      <c r="E341" s="6" t="str">
        <f>VLOOKUP(F341,Germplasm!$A$1:$B$21,2,FALSE)</f>
        <v>Thermus</v>
      </c>
      <c r="F341" t="s">
        <v>75</v>
      </c>
      <c r="G341" s="6" t="s">
        <v>113</v>
      </c>
      <c r="H341">
        <v>51940.4</v>
      </c>
      <c r="I341">
        <v>726.76199999999994</v>
      </c>
      <c r="J341">
        <v>218927</v>
      </c>
      <c r="K341">
        <v>14.124000000000001</v>
      </c>
      <c r="L341">
        <v>78.822800000000001</v>
      </c>
      <c r="M341">
        <v>1733.02</v>
      </c>
      <c r="N341">
        <v>615.55799999999999</v>
      </c>
      <c r="O341">
        <v>42179200</v>
      </c>
      <c r="P341">
        <v>0.213722</v>
      </c>
      <c r="Q341">
        <v>0.27584900000000001</v>
      </c>
      <c r="R341">
        <v>3.9035600000000001</v>
      </c>
      <c r="S341">
        <v>25.239799999999999</v>
      </c>
      <c r="T341">
        <v>46.926099999999998</v>
      </c>
      <c r="U341">
        <v>23.1464</v>
      </c>
      <c r="V341">
        <v>0.50836300000000001</v>
      </c>
      <c r="W341">
        <v>110.893</v>
      </c>
      <c r="X341">
        <v>1.5525899999999999</v>
      </c>
      <c r="Y341">
        <v>3.54271</v>
      </c>
      <c r="Z341">
        <v>5.5944900000000004</v>
      </c>
      <c r="AA341">
        <v>20.841200000000001</v>
      </c>
      <c r="AB341">
        <v>36.588799999999999</v>
      </c>
      <c r="AC341">
        <v>31.880199999999999</v>
      </c>
      <c r="AD341">
        <v>1.67977</v>
      </c>
      <c r="AE341">
        <v>10.404</v>
      </c>
      <c r="AF341">
        <v>0</v>
      </c>
      <c r="AG341">
        <v>94.375500000000002</v>
      </c>
      <c r="AH341">
        <v>0.55669900000000005</v>
      </c>
      <c r="AI341">
        <v>1.0083899999999999</v>
      </c>
      <c r="AJ341">
        <v>4.0594000000000001</v>
      </c>
      <c r="AK341">
        <v>0</v>
      </c>
      <c r="AL341">
        <v>0.46126200000000001</v>
      </c>
      <c r="AM341">
        <v>5.3294800000000002</v>
      </c>
      <c r="AN341">
        <v>4.3310899999999997</v>
      </c>
      <c r="AO341">
        <v>9.3113799999999998</v>
      </c>
      <c r="AP341">
        <v>16.642600000000002</v>
      </c>
      <c r="AQ341">
        <v>38.665599999999998</v>
      </c>
      <c r="AR341">
        <v>25.719799999999999</v>
      </c>
      <c r="AS341">
        <v>7.2623800000000002E-2</v>
      </c>
      <c r="AT341">
        <v>2.1026199999999999</v>
      </c>
      <c r="AU341">
        <v>35.0762</v>
      </c>
      <c r="AV341">
        <v>43.4542</v>
      </c>
      <c r="AW341">
        <v>14.0892</v>
      </c>
      <c r="AX341">
        <v>3.8252199999999998</v>
      </c>
      <c r="AY341">
        <v>1.45258</v>
      </c>
      <c r="AZ341">
        <v>812.07</v>
      </c>
      <c r="BA341">
        <v>862.19899999999996</v>
      </c>
      <c r="BB341">
        <v>30921.200000000001</v>
      </c>
      <c r="BC341">
        <v>3.5935300000000003E-2</v>
      </c>
      <c r="BD341">
        <v>0.317519</v>
      </c>
      <c r="BE341">
        <v>0.26668199999999997</v>
      </c>
      <c r="BF341">
        <v>1.2775700000000001</v>
      </c>
      <c r="BG341">
        <v>35.315399999999997</v>
      </c>
      <c r="BH341">
        <v>54.620699999999999</v>
      </c>
      <c r="BI341">
        <v>8.2021499999999996</v>
      </c>
      <c r="BJ341">
        <v>30.156300000000002</v>
      </c>
      <c r="BK341">
        <v>0</v>
      </c>
      <c r="BL341">
        <v>40.011499999999998</v>
      </c>
      <c r="BM341">
        <v>50.4696</v>
      </c>
      <c r="BN341">
        <v>7.7746199999999996</v>
      </c>
      <c r="BO341">
        <v>1.0250600000000001</v>
      </c>
      <c r="BP341">
        <v>0.71920899999999999</v>
      </c>
      <c r="BQ341">
        <v>36.582099999999997</v>
      </c>
      <c r="BR341">
        <v>119993</v>
      </c>
    </row>
    <row r="342" spans="1:70" x14ac:dyDescent="0.25">
      <c r="A342">
        <v>41</v>
      </c>
      <c r="B342" s="7">
        <v>45988.555</v>
      </c>
      <c r="C342" t="s">
        <v>157</v>
      </c>
      <c r="D342" s="6" t="s">
        <v>310</v>
      </c>
      <c r="E342" s="6" t="str">
        <f>VLOOKUP(F342,Germplasm!$A$1:$B$21,2,FALSE)</f>
        <v>Thermus</v>
      </c>
      <c r="F342" t="s">
        <v>75</v>
      </c>
      <c r="G342" s="6" t="s">
        <v>113</v>
      </c>
      <c r="H342">
        <v>74253.5</v>
      </c>
      <c r="I342">
        <v>636.08799999999997</v>
      </c>
      <c r="J342">
        <v>210130</v>
      </c>
      <c r="K342">
        <v>19.451899999999998</v>
      </c>
      <c r="L342">
        <v>87.694699999999997</v>
      </c>
      <c r="M342">
        <v>1695.93</v>
      </c>
      <c r="N342">
        <v>585.70600000000002</v>
      </c>
      <c r="O342">
        <v>58892600</v>
      </c>
      <c r="P342">
        <v>0.154229</v>
      </c>
      <c r="Q342">
        <v>0.56407499999999999</v>
      </c>
      <c r="R342">
        <v>10.3239</v>
      </c>
      <c r="S342">
        <v>36.575200000000002</v>
      </c>
      <c r="T342">
        <v>40.948</v>
      </c>
      <c r="U342">
        <v>11.2921</v>
      </c>
      <c r="V342">
        <v>0.296788</v>
      </c>
      <c r="W342">
        <v>78.951300000000003</v>
      </c>
      <c r="X342">
        <v>5.2165100000000004</v>
      </c>
      <c r="Y342">
        <v>16.027200000000001</v>
      </c>
      <c r="Z342">
        <v>16.0366</v>
      </c>
      <c r="AA342">
        <v>35.8005</v>
      </c>
      <c r="AB342">
        <v>16.740500000000001</v>
      </c>
      <c r="AC342">
        <v>10.178699999999999</v>
      </c>
      <c r="AD342">
        <v>1.81663</v>
      </c>
      <c r="AE342">
        <v>12.302300000000001</v>
      </c>
      <c r="AF342">
        <v>0</v>
      </c>
      <c r="AG342">
        <v>93.643500000000003</v>
      </c>
      <c r="AH342">
        <v>2.3925999999999998</v>
      </c>
      <c r="AI342">
        <v>0.67205199999999998</v>
      </c>
      <c r="AJ342">
        <v>3.2918099999999999</v>
      </c>
      <c r="AK342">
        <v>0</v>
      </c>
      <c r="AL342">
        <v>0.29516500000000001</v>
      </c>
      <c r="AM342">
        <v>7.3884400000000001</v>
      </c>
      <c r="AN342">
        <v>18.4711</v>
      </c>
      <c r="AO342">
        <v>22.266200000000001</v>
      </c>
      <c r="AP342">
        <v>28.8965</v>
      </c>
      <c r="AQ342">
        <v>17.889299999999999</v>
      </c>
      <c r="AR342">
        <v>5.0884799999999997</v>
      </c>
      <c r="AS342">
        <v>0.20696100000000001</v>
      </c>
      <c r="AT342">
        <v>1.0248900000000001</v>
      </c>
      <c r="AU342">
        <v>9.0541099999999997</v>
      </c>
      <c r="AV342">
        <v>39.383800000000001</v>
      </c>
      <c r="AW342">
        <v>37.621899999999997</v>
      </c>
      <c r="AX342">
        <v>11.0284</v>
      </c>
      <c r="AY342">
        <v>1.8869400000000001</v>
      </c>
      <c r="AZ342">
        <v>793.13</v>
      </c>
      <c r="BA342">
        <v>837.00099999999998</v>
      </c>
      <c r="BB342">
        <v>40874.300000000003</v>
      </c>
      <c r="BC342">
        <v>0.17534</v>
      </c>
      <c r="BD342">
        <v>0.32039000000000001</v>
      </c>
      <c r="BE342">
        <v>0.36700300000000002</v>
      </c>
      <c r="BF342">
        <v>0.96589000000000003</v>
      </c>
      <c r="BG342">
        <v>8.4251299999999993</v>
      </c>
      <c r="BH342">
        <v>52.614199999999997</v>
      </c>
      <c r="BI342">
        <v>37.307400000000001</v>
      </c>
      <c r="BJ342">
        <v>32.236600000000003</v>
      </c>
      <c r="BK342">
        <v>0</v>
      </c>
      <c r="BL342">
        <v>33.017299999999999</v>
      </c>
      <c r="BM342">
        <v>57.254199999999997</v>
      </c>
      <c r="BN342">
        <v>7.7141400000000004</v>
      </c>
      <c r="BO342">
        <v>1.07151</v>
      </c>
      <c r="BP342">
        <v>0.94287900000000002</v>
      </c>
      <c r="BQ342">
        <v>33.445</v>
      </c>
      <c r="BR342">
        <v>169481</v>
      </c>
    </row>
    <row r="343" spans="1:70" x14ac:dyDescent="0.25">
      <c r="A343">
        <v>41</v>
      </c>
      <c r="B343" s="7">
        <v>45988.555497685185</v>
      </c>
      <c r="C343" t="s">
        <v>157</v>
      </c>
      <c r="D343" s="6" t="s">
        <v>311</v>
      </c>
      <c r="E343" s="6" t="str">
        <f>VLOOKUP(F343,Germplasm!$A$1:$B$21,2,FALSE)</f>
        <v>Thermus</v>
      </c>
      <c r="F343" t="s">
        <v>75</v>
      </c>
      <c r="G343" s="6" t="s">
        <v>113</v>
      </c>
      <c r="H343">
        <v>74121.5</v>
      </c>
      <c r="I343">
        <v>631.67999999999995</v>
      </c>
      <c r="J343">
        <v>205489</v>
      </c>
      <c r="K343">
        <v>19.852</v>
      </c>
      <c r="L343">
        <v>81.784099999999995</v>
      </c>
      <c r="M343">
        <v>1673.54</v>
      </c>
      <c r="N343">
        <v>580.649</v>
      </c>
      <c r="O343">
        <v>58683200</v>
      </c>
      <c r="P343">
        <v>0.153449</v>
      </c>
      <c r="Q343">
        <v>0.60781799999999997</v>
      </c>
      <c r="R343">
        <v>10.370200000000001</v>
      </c>
      <c r="S343">
        <v>36.619399999999999</v>
      </c>
      <c r="T343">
        <v>40.839799999999997</v>
      </c>
      <c r="U343">
        <v>11.2408</v>
      </c>
      <c r="V343">
        <v>0.32196000000000002</v>
      </c>
      <c r="W343">
        <v>79.298000000000002</v>
      </c>
      <c r="X343">
        <v>5.1626099999999999</v>
      </c>
      <c r="Y343">
        <v>15.909800000000001</v>
      </c>
      <c r="Z343">
        <v>15.865399999999999</v>
      </c>
      <c r="AA343">
        <v>35.548200000000001</v>
      </c>
      <c r="AB343">
        <v>16.863299999999999</v>
      </c>
      <c r="AC343">
        <v>10.650700000000001</v>
      </c>
      <c r="AD343">
        <v>1.81698</v>
      </c>
      <c r="AE343">
        <v>12.263</v>
      </c>
      <c r="AF343">
        <v>0</v>
      </c>
      <c r="AG343">
        <v>93.652500000000003</v>
      </c>
      <c r="AH343">
        <v>2.4241700000000002</v>
      </c>
      <c r="AI343">
        <v>0.67173700000000003</v>
      </c>
      <c r="AJ343">
        <v>3.25156</v>
      </c>
      <c r="AK343">
        <v>0</v>
      </c>
      <c r="AL343">
        <v>0.29406199999999999</v>
      </c>
      <c r="AM343">
        <v>7.6376799999999996</v>
      </c>
      <c r="AN343">
        <v>18.3369</v>
      </c>
      <c r="AO343">
        <v>22.267299999999999</v>
      </c>
      <c r="AP343">
        <v>28.813700000000001</v>
      </c>
      <c r="AQ343">
        <v>17.891300000000001</v>
      </c>
      <c r="AR343">
        <v>5.0531199999999998</v>
      </c>
      <c r="AS343">
        <v>0.204232</v>
      </c>
      <c r="AT343">
        <v>1.0635300000000001</v>
      </c>
      <c r="AU343">
        <v>9.4895399999999999</v>
      </c>
      <c r="AV343">
        <v>39.577399999999997</v>
      </c>
      <c r="AW343">
        <v>37.385300000000001</v>
      </c>
      <c r="AX343">
        <v>10.4815</v>
      </c>
      <c r="AY343">
        <v>2.00278</v>
      </c>
      <c r="AZ343">
        <v>791.71600000000001</v>
      </c>
      <c r="BA343">
        <v>835.2</v>
      </c>
      <c r="BB343">
        <v>40793.800000000003</v>
      </c>
      <c r="BC343">
        <v>0.17316300000000001</v>
      </c>
      <c r="BD343">
        <v>0.30834800000000001</v>
      </c>
      <c r="BE343">
        <v>0.38351099999999999</v>
      </c>
      <c r="BF343">
        <v>1.02684</v>
      </c>
      <c r="BG343">
        <v>8.8308199999999992</v>
      </c>
      <c r="BH343">
        <v>52.720399999999998</v>
      </c>
      <c r="BI343">
        <v>36.7301</v>
      </c>
      <c r="BJ343">
        <v>32.083599999999997</v>
      </c>
      <c r="BK343">
        <v>0</v>
      </c>
      <c r="BL343">
        <v>33.6798</v>
      </c>
      <c r="BM343">
        <v>56.639000000000003</v>
      </c>
      <c r="BN343">
        <v>7.6222899999999996</v>
      </c>
      <c r="BO343">
        <v>1.0599799999999999</v>
      </c>
      <c r="BP343">
        <v>0.99902299999999999</v>
      </c>
      <c r="BQ343">
        <v>33.436799999999998</v>
      </c>
      <c r="BR343">
        <v>168965</v>
      </c>
    </row>
    <row r="344" spans="1:70" x14ac:dyDescent="0.25">
      <c r="A344">
        <v>41</v>
      </c>
      <c r="B344" s="7">
        <v>45994.567141203705</v>
      </c>
      <c r="C344" t="s">
        <v>157</v>
      </c>
      <c r="D344" s="6" t="s">
        <v>312</v>
      </c>
      <c r="E344" s="6" t="str">
        <f>VLOOKUP(F344,Germplasm!$A$1:$B$21,2,FALSE)</f>
        <v>Thermus</v>
      </c>
      <c r="F344" t="s">
        <v>75</v>
      </c>
      <c r="G344" s="6" t="s">
        <v>113</v>
      </c>
      <c r="H344">
        <v>57327.9</v>
      </c>
      <c r="I344">
        <v>687.64</v>
      </c>
      <c r="J344">
        <v>172879</v>
      </c>
      <c r="K344">
        <v>18.319500000000001</v>
      </c>
      <c r="L344">
        <v>80.721800000000002</v>
      </c>
      <c r="M344">
        <v>1552.05</v>
      </c>
      <c r="N344">
        <v>540.25199999999995</v>
      </c>
      <c r="O344">
        <v>45641500</v>
      </c>
      <c r="P344">
        <v>0.12609300000000001</v>
      </c>
      <c r="Q344">
        <v>1.03135</v>
      </c>
      <c r="R344">
        <v>14.5661</v>
      </c>
      <c r="S344">
        <v>42.878900000000002</v>
      </c>
      <c r="T344">
        <v>31.206499999999998</v>
      </c>
      <c r="U344">
        <v>9.9496599999999997</v>
      </c>
      <c r="V344">
        <v>0.36740800000000001</v>
      </c>
      <c r="W344">
        <v>69.233400000000003</v>
      </c>
      <c r="X344">
        <v>7.7770400000000004</v>
      </c>
      <c r="Y344">
        <v>24.858599999999999</v>
      </c>
      <c r="Z344">
        <v>16.231000000000002</v>
      </c>
      <c r="AA344">
        <v>29.193000000000001</v>
      </c>
      <c r="AB344">
        <v>12.741400000000001</v>
      </c>
      <c r="AC344">
        <v>9.1989400000000003</v>
      </c>
      <c r="AD344">
        <v>1.81012</v>
      </c>
      <c r="AE344">
        <v>13.039899999999999</v>
      </c>
      <c r="AF344">
        <v>0</v>
      </c>
      <c r="AG344">
        <v>91.458500000000001</v>
      </c>
      <c r="AH344">
        <v>3.7608700000000002</v>
      </c>
      <c r="AI344">
        <v>0.83172999999999997</v>
      </c>
      <c r="AJ344">
        <v>3.9489100000000001</v>
      </c>
      <c r="AK344">
        <v>0</v>
      </c>
      <c r="AL344">
        <v>0.256054</v>
      </c>
      <c r="AM344">
        <v>9.9409799999999997</v>
      </c>
      <c r="AN344">
        <v>26.1662</v>
      </c>
      <c r="AO344">
        <v>21.7819</v>
      </c>
      <c r="AP344">
        <v>23.7166</v>
      </c>
      <c r="AQ344">
        <v>12.2011</v>
      </c>
      <c r="AR344">
        <v>6.19313</v>
      </c>
      <c r="AS344">
        <v>0.23221900000000001</v>
      </c>
      <c r="AT344">
        <v>0.95974400000000004</v>
      </c>
      <c r="AU344">
        <v>7.5354799999999997</v>
      </c>
      <c r="AV344">
        <v>34.411900000000003</v>
      </c>
      <c r="AW344">
        <v>40.945</v>
      </c>
      <c r="AX344">
        <v>13.6469</v>
      </c>
      <c r="AY344">
        <v>2.5009800000000002</v>
      </c>
      <c r="AZ344">
        <v>796.14800000000002</v>
      </c>
      <c r="BA344">
        <v>850.2</v>
      </c>
      <c r="BB344">
        <v>31670.7</v>
      </c>
      <c r="BC344">
        <v>0.213731</v>
      </c>
      <c r="BD344">
        <v>0.315334</v>
      </c>
      <c r="BE344">
        <v>0.36668400000000001</v>
      </c>
      <c r="BF344">
        <v>0.867892</v>
      </c>
      <c r="BG344">
        <v>6.9438599999999999</v>
      </c>
      <c r="BH344">
        <v>44.475099999999998</v>
      </c>
      <c r="BI344">
        <v>47.031100000000002</v>
      </c>
      <c r="BJ344">
        <v>33.092300000000002</v>
      </c>
      <c r="BK344">
        <v>0</v>
      </c>
      <c r="BL344">
        <v>32.35</v>
      </c>
      <c r="BM344">
        <v>56.185200000000002</v>
      </c>
      <c r="BN344">
        <v>8.8105499999999992</v>
      </c>
      <c r="BO344">
        <v>1.4001999999999999</v>
      </c>
      <c r="BP344">
        <v>1.2541</v>
      </c>
      <c r="BQ344">
        <v>33.5762</v>
      </c>
      <c r="BR344">
        <v>138266</v>
      </c>
    </row>
    <row r="345" spans="1:70" x14ac:dyDescent="0.25">
      <c r="A345">
        <v>41</v>
      </c>
      <c r="B345" s="7">
        <v>46002.558958333335</v>
      </c>
      <c r="C345" t="s">
        <v>157</v>
      </c>
      <c r="D345" s="6" t="s">
        <v>313</v>
      </c>
      <c r="E345" s="6" t="str">
        <f>VLOOKUP(F345,Germplasm!$A$1:$B$21,2,FALSE)</f>
        <v>Thermus</v>
      </c>
      <c r="F345" t="s">
        <v>75</v>
      </c>
      <c r="G345" s="6" t="s">
        <v>113</v>
      </c>
      <c r="H345">
        <v>54088.6</v>
      </c>
      <c r="I345">
        <v>652.73299999999995</v>
      </c>
      <c r="J345">
        <v>160336</v>
      </c>
      <c r="K345">
        <v>19.178599999999999</v>
      </c>
      <c r="L345">
        <v>72.049599999999998</v>
      </c>
      <c r="M345">
        <v>1509.99</v>
      </c>
      <c r="N345">
        <v>565.25</v>
      </c>
      <c r="O345">
        <v>41500300</v>
      </c>
      <c r="P345">
        <v>7.6598899999999998E-2</v>
      </c>
      <c r="Q345">
        <v>1.0497300000000001</v>
      </c>
      <c r="R345">
        <v>22.648</v>
      </c>
      <c r="S345">
        <v>53.817599999999999</v>
      </c>
      <c r="T345">
        <v>15.8855</v>
      </c>
      <c r="U345">
        <v>6.4371999999999998</v>
      </c>
      <c r="V345">
        <v>0.161942</v>
      </c>
      <c r="W345">
        <v>53.338099999999997</v>
      </c>
      <c r="X345">
        <v>11.098100000000001</v>
      </c>
      <c r="Y345">
        <v>41.927100000000003</v>
      </c>
      <c r="Z345">
        <v>15.002800000000001</v>
      </c>
      <c r="AA345">
        <v>16.921500000000002</v>
      </c>
      <c r="AB345">
        <v>7.1478700000000002</v>
      </c>
      <c r="AC345">
        <v>7.9026300000000003</v>
      </c>
      <c r="AD345">
        <v>1.7589699999999999</v>
      </c>
      <c r="AE345">
        <v>15.0732</v>
      </c>
      <c r="AF345">
        <v>0</v>
      </c>
      <c r="AG345">
        <v>88.685699999999997</v>
      </c>
      <c r="AH345">
        <v>6.5940799999999999</v>
      </c>
      <c r="AI345">
        <v>0.82923100000000005</v>
      </c>
      <c r="AJ345">
        <v>3.8909500000000001</v>
      </c>
      <c r="AK345">
        <v>0</v>
      </c>
      <c r="AL345">
        <v>0.17604800000000001</v>
      </c>
      <c r="AM345">
        <v>13.807</v>
      </c>
      <c r="AN345">
        <v>39.6325</v>
      </c>
      <c r="AO345">
        <v>24.045500000000001</v>
      </c>
      <c r="AP345">
        <v>12.4291</v>
      </c>
      <c r="AQ345">
        <v>6.9035099999999998</v>
      </c>
      <c r="AR345">
        <v>3.1824499999999998</v>
      </c>
      <c r="AS345">
        <v>0.266453</v>
      </c>
      <c r="AT345">
        <v>0.87911499999999998</v>
      </c>
      <c r="AU345">
        <v>5.6180899999999996</v>
      </c>
      <c r="AV345">
        <v>27.9343</v>
      </c>
      <c r="AW345">
        <v>43.508899999999997</v>
      </c>
      <c r="AX345">
        <v>19.339099999999998</v>
      </c>
      <c r="AY345">
        <v>2.7204799999999998</v>
      </c>
      <c r="AZ345">
        <v>767.26499999999999</v>
      </c>
      <c r="BA345">
        <v>826.79899999999998</v>
      </c>
      <c r="BB345">
        <v>30750.2</v>
      </c>
      <c r="BC345">
        <v>0.28073700000000001</v>
      </c>
      <c r="BD345">
        <v>0.41786899999999999</v>
      </c>
      <c r="BE345">
        <v>0.42654399999999998</v>
      </c>
      <c r="BF345">
        <v>0.76416499999999998</v>
      </c>
      <c r="BG345">
        <v>4.8871799999999999</v>
      </c>
      <c r="BH345">
        <v>28.948599999999999</v>
      </c>
      <c r="BI345">
        <v>64.555599999999998</v>
      </c>
      <c r="BJ345">
        <v>33.1402</v>
      </c>
      <c r="BK345">
        <v>0</v>
      </c>
      <c r="BL345">
        <v>32.4116</v>
      </c>
      <c r="BM345">
        <v>55.409500000000001</v>
      </c>
      <c r="BN345">
        <v>9.6948399999999992</v>
      </c>
      <c r="BO345">
        <v>1.36277</v>
      </c>
      <c r="BP345">
        <v>1.1213</v>
      </c>
      <c r="BQ345">
        <v>34.687199999999997</v>
      </c>
      <c r="BR345">
        <v>138321</v>
      </c>
    </row>
    <row r="346" spans="1:70" x14ac:dyDescent="0.25">
      <c r="A346">
        <v>41</v>
      </c>
      <c r="B346" s="7">
        <v>46013.582731481481</v>
      </c>
      <c r="C346" t="s">
        <v>157</v>
      </c>
      <c r="D346" s="6" t="s">
        <v>314</v>
      </c>
      <c r="E346" s="6" t="str">
        <f>VLOOKUP(F346,Germplasm!$A$1:$B$21,2,FALSE)</f>
        <v>Thermus</v>
      </c>
      <c r="F346" t="s">
        <v>75</v>
      </c>
      <c r="G346" s="6" t="s">
        <v>113</v>
      </c>
      <c r="H346">
        <v>52229.3</v>
      </c>
      <c r="I346">
        <v>621.96500000000003</v>
      </c>
      <c r="J346">
        <v>158252</v>
      </c>
      <c r="K346">
        <v>18.991199999999999</v>
      </c>
      <c r="L346">
        <v>70.301500000000004</v>
      </c>
      <c r="M346">
        <v>1516.44</v>
      </c>
      <c r="N346">
        <v>556.37699999999995</v>
      </c>
      <c r="O346">
        <v>39187400</v>
      </c>
      <c r="P346">
        <v>4.6927299999999998E-2</v>
      </c>
      <c r="Q346">
        <v>0.95528299999999999</v>
      </c>
      <c r="R346">
        <v>25.280899999999999</v>
      </c>
      <c r="S346">
        <v>61.604900000000001</v>
      </c>
      <c r="T346">
        <v>8.9224399999999999</v>
      </c>
      <c r="U346">
        <v>3.19617</v>
      </c>
      <c r="V346">
        <v>4.0320399999999999E-2</v>
      </c>
      <c r="W346">
        <v>44.847700000000003</v>
      </c>
      <c r="X346">
        <v>12.106199999999999</v>
      </c>
      <c r="Y346">
        <v>54.455800000000004</v>
      </c>
      <c r="Z346">
        <v>13.1995</v>
      </c>
      <c r="AA346">
        <v>9.8195700000000006</v>
      </c>
      <c r="AB346">
        <v>3.30627</v>
      </c>
      <c r="AC346">
        <v>7.1126699999999996</v>
      </c>
      <c r="AD346">
        <v>1.73786</v>
      </c>
      <c r="AE346">
        <v>17.7135</v>
      </c>
      <c r="AF346">
        <v>0</v>
      </c>
      <c r="AG346">
        <v>82.611099999999993</v>
      </c>
      <c r="AH346">
        <v>12.2341</v>
      </c>
      <c r="AI346">
        <v>1.0514300000000001</v>
      </c>
      <c r="AJ346">
        <v>4.1033799999999996</v>
      </c>
      <c r="AK346">
        <v>0</v>
      </c>
      <c r="AL346">
        <v>0.118448</v>
      </c>
      <c r="AM346">
        <v>17.892199999999999</v>
      </c>
      <c r="AN346">
        <v>49.809600000000003</v>
      </c>
      <c r="AO346">
        <v>20.088100000000001</v>
      </c>
      <c r="AP346">
        <v>8.2176100000000005</v>
      </c>
      <c r="AQ346">
        <v>3.3551199999999999</v>
      </c>
      <c r="AR346">
        <v>0.63737200000000005</v>
      </c>
      <c r="AS346">
        <v>0.277117</v>
      </c>
      <c r="AT346">
        <v>0.94675399999999998</v>
      </c>
      <c r="AU346">
        <v>4.6290899999999997</v>
      </c>
      <c r="AV346">
        <v>23.104399999999998</v>
      </c>
      <c r="AW346">
        <v>50.3005</v>
      </c>
      <c r="AX346">
        <v>18.572199999999999</v>
      </c>
      <c r="AY346">
        <v>2.4471400000000001</v>
      </c>
      <c r="AZ346">
        <v>750.29399999999998</v>
      </c>
      <c r="BA346">
        <v>820.8</v>
      </c>
      <c r="BB346">
        <v>30053.9</v>
      </c>
      <c r="BC346">
        <v>0.31964300000000001</v>
      </c>
      <c r="BD346">
        <v>0.52726700000000004</v>
      </c>
      <c r="BE346">
        <v>0.44662600000000002</v>
      </c>
      <c r="BF346">
        <v>0.82656799999999997</v>
      </c>
      <c r="BG346">
        <v>3.7753800000000002</v>
      </c>
      <c r="BH346">
        <v>17.962700000000002</v>
      </c>
      <c r="BI346">
        <v>76.461399999999998</v>
      </c>
      <c r="BJ346">
        <v>32.129399999999997</v>
      </c>
      <c r="BK346">
        <v>0</v>
      </c>
      <c r="BL346">
        <v>33.033999999999999</v>
      </c>
      <c r="BM346">
        <v>57.659700000000001</v>
      </c>
      <c r="BN346">
        <v>7.2359600000000004</v>
      </c>
      <c r="BO346">
        <v>1.12354</v>
      </c>
      <c r="BP346">
        <v>0.94675399999999998</v>
      </c>
      <c r="BQ346">
        <v>35.170400000000001</v>
      </c>
      <c r="BR346">
        <v>128967</v>
      </c>
    </row>
    <row r="347" spans="1:70" x14ac:dyDescent="0.25">
      <c r="A347">
        <v>41</v>
      </c>
      <c r="B347" s="7">
        <v>46024.520729166667</v>
      </c>
      <c r="C347" t="s">
        <v>157</v>
      </c>
      <c r="D347" s="6" t="s">
        <v>315</v>
      </c>
      <c r="E347" s="6" t="str">
        <f>VLOOKUP(F347,Germplasm!$A$1:$B$21,2,FALSE)</f>
        <v>Thermus</v>
      </c>
      <c r="F347" t="s">
        <v>75</v>
      </c>
      <c r="G347" s="6" t="s">
        <v>113</v>
      </c>
      <c r="H347">
        <v>59165.4</v>
      </c>
      <c r="I347">
        <v>622.21600000000001</v>
      </c>
      <c r="J347">
        <v>199817</v>
      </c>
      <c r="K347">
        <v>17.646799999999999</v>
      </c>
      <c r="L347">
        <v>66.895099999999999</v>
      </c>
      <c r="M347">
        <v>1696.96</v>
      </c>
      <c r="N347">
        <v>637.92600000000004</v>
      </c>
      <c r="O347">
        <v>43685700</v>
      </c>
      <c r="P347">
        <v>1.2338E-2</v>
      </c>
      <c r="Q347">
        <v>1.13435</v>
      </c>
      <c r="R347">
        <v>32.0961</v>
      </c>
      <c r="S347">
        <v>65.316199999999995</v>
      </c>
      <c r="T347">
        <v>1.3248</v>
      </c>
      <c r="U347">
        <v>0.113991</v>
      </c>
      <c r="V347">
        <v>1.4596400000000001E-2</v>
      </c>
      <c r="W347">
        <v>37.778100000000002</v>
      </c>
      <c r="X347">
        <v>15.5883</v>
      </c>
      <c r="Y347">
        <v>59.5276</v>
      </c>
      <c r="Z347">
        <v>10.1348</v>
      </c>
      <c r="AA347">
        <v>3.5427599999999999</v>
      </c>
      <c r="AB347">
        <v>1.6890099999999999</v>
      </c>
      <c r="AC347">
        <v>9.51755</v>
      </c>
      <c r="AD347">
        <v>1.67791</v>
      </c>
      <c r="AE347">
        <v>20.554500000000001</v>
      </c>
      <c r="AF347">
        <v>0</v>
      </c>
      <c r="AG347">
        <v>76.508099999999999</v>
      </c>
      <c r="AH347">
        <v>17.052800000000001</v>
      </c>
      <c r="AI347">
        <v>1.9329799999999999</v>
      </c>
      <c r="AJ347">
        <v>4.5061200000000001</v>
      </c>
      <c r="AK347">
        <v>0</v>
      </c>
      <c r="AL347">
        <v>7.2498000000000007E-2</v>
      </c>
      <c r="AM347">
        <v>23.778199999999998</v>
      </c>
      <c r="AN347">
        <v>56.886400000000002</v>
      </c>
      <c r="AO347">
        <v>14.1898</v>
      </c>
      <c r="AP347">
        <v>3.83955</v>
      </c>
      <c r="AQ347">
        <v>1.03078</v>
      </c>
      <c r="AR347">
        <v>0.27524700000000002</v>
      </c>
      <c r="AS347">
        <v>0.244141</v>
      </c>
      <c r="AT347">
        <v>1.14269</v>
      </c>
      <c r="AU347">
        <v>5.85107</v>
      </c>
      <c r="AV347">
        <v>28.7563</v>
      </c>
      <c r="AW347">
        <v>50.416699999999999</v>
      </c>
      <c r="AX347">
        <v>11.983700000000001</v>
      </c>
      <c r="AY347">
        <v>1.8495699999999999</v>
      </c>
      <c r="AZ347">
        <v>738.36500000000001</v>
      </c>
      <c r="BA347">
        <v>808.2</v>
      </c>
      <c r="BB347">
        <v>35261.4</v>
      </c>
      <c r="BC347">
        <v>0.31246200000000002</v>
      </c>
      <c r="BD347">
        <v>0.50392400000000004</v>
      </c>
      <c r="BE347">
        <v>0.60192800000000002</v>
      </c>
      <c r="BF347">
        <v>1.15798</v>
      </c>
      <c r="BG347">
        <v>4.7285399999999997</v>
      </c>
      <c r="BH347">
        <v>15.32</v>
      </c>
      <c r="BI347">
        <v>77.687700000000007</v>
      </c>
      <c r="BJ347">
        <v>27.7728</v>
      </c>
      <c r="BK347">
        <v>0</v>
      </c>
      <c r="BL347">
        <v>45.893900000000002</v>
      </c>
      <c r="BM347">
        <v>49.0349</v>
      </c>
      <c r="BN347">
        <v>3.4572600000000002</v>
      </c>
      <c r="BO347">
        <v>0.84728700000000001</v>
      </c>
      <c r="BP347">
        <v>0.76665899999999998</v>
      </c>
      <c r="BQ347">
        <v>36.631100000000004</v>
      </c>
      <c r="BR347">
        <v>143871</v>
      </c>
    </row>
    <row r="348" spans="1:70" x14ac:dyDescent="0.25">
      <c r="A348">
        <v>41</v>
      </c>
      <c r="B348" s="7">
        <v>45952.566250000003</v>
      </c>
      <c r="C348" t="s">
        <v>155</v>
      </c>
      <c r="D348" s="6" t="s">
        <v>306</v>
      </c>
      <c r="E348" s="6" t="str">
        <f>VLOOKUP(F348,Germplasm!$A$1:$B$21,2,FALSE)</f>
        <v>Thule</v>
      </c>
      <c r="F348" t="s">
        <v>78</v>
      </c>
      <c r="G348" s="6" t="s">
        <v>113</v>
      </c>
      <c r="H348">
        <v>41993.9</v>
      </c>
      <c r="I348">
        <v>221.983</v>
      </c>
      <c r="J348">
        <v>151339</v>
      </c>
      <c r="K348">
        <v>16.599699999999999</v>
      </c>
      <c r="L348">
        <v>64.6935</v>
      </c>
      <c r="M348">
        <v>1508.53</v>
      </c>
      <c r="N348">
        <v>557.50599999999997</v>
      </c>
      <c r="O348">
        <v>11267500</v>
      </c>
      <c r="P348">
        <v>0.267457</v>
      </c>
      <c r="Q348">
        <v>0.43053599999999997</v>
      </c>
      <c r="R348">
        <v>2.4746899999999998</v>
      </c>
      <c r="S348">
        <v>13.6638</v>
      </c>
      <c r="T348">
        <v>41.341000000000001</v>
      </c>
      <c r="U348">
        <v>41.714300000000001</v>
      </c>
      <c r="V348">
        <v>0.37567499999999998</v>
      </c>
      <c r="W348">
        <v>111.077</v>
      </c>
      <c r="X348">
        <v>0.64878499999999995</v>
      </c>
      <c r="Y348">
        <v>1.6553599999999999</v>
      </c>
      <c r="Z348">
        <v>3.6374900000000001</v>
      </c>
      <c r="AA348">
        <v>22.7623</v>
      </c>
      <c r="AB348">
        <v>45.983899999999998</v>
      </c>
      <c r="AC348">
        <v>25.312200000000001</v>
      </c>
      <c r="AD348">
        <v>1.67161</v>
      </c>
      <c r="AE348">
        <v>7.4598399999999998</v>
      </c>
      <c r="AF348">
        <v>0</v>
      </c>
      <c r="AG348">
        <v>99.87</v>
      </c>
      <c r="AH348">
        <v>0.109721</v>
      </c>
      <c r="AI348">
        <v>1.6696699999999998E-2</v>
      </c>
      <c r="AJ348">
        <v>3.57786E-3</v>
      </c>
      <c r="AK348">
        <v>0</v>
      </c>
      <c r="AL348">
        <v>0.53064299999999998</v>
      </c>
      <c r="AM348">
        <v>0.41980200000000001</v>
      </c>
      <c r="AN348">
        <v>1.8962699999999999</v>
      </c>
      <c r="AO348">
        <v>4.266</v>
      </c>
      <c r="AP348">
        <v>15.1188</v>
      </c>
      <c r="AQ348">
        <v>44.9176</v>
      </c>
      <c r="AR348">
        <v>33.381399999999999</v>
      </c>
      <c r="AS348">
        <v>7.8267500000000004E-2</v>
      </c>
      <c r="AT348">
        <v>4.55342</v>
      </c>
      <c r="AU348">
        <v>26.5763</v>
      </c>
      <c r="AV348">
        <v>47.985100000000003</v>
      </c>
      <c r="AW348">
        <v>16.885100000000001</v>
      </c>
      <c r="AX348">
        <v>2.86348</v>
      </c>
      <c r="AY348">
        <v>1.1365700000000001</v>
      </c>
      <c r="AZ348">
        <v>268.31299999999999</v>
      </c>
      <c r="BA348">
        <v>277.79899999999998</v>
      </c>
      <c r="BB348">
        <v>25121.8</v>
      </c>
      <c r="BC348">
        <v>3.5650300000000003E-2</v>
      </c>
      <c r="BD348">
        <v>3.5778600000000001E-2</v>
      </c>
      <c r="BE348">
        <v>0.31246600000000002</v>
      </c>
      <c r="BF348">
        <v>1.92489</v>
      </c>
      <c r="BG348">
        <v>28.8566</v>
      </c>
      <c r="BH348">
        <v>64.382400000000004</v>
      </c>
      <c r="BI348">
        <v>4.4878299999999998</v>
      </c>
      <c r="BJ348">
        <v>34.979300000000002</v>
      </c>
      <c r="BK348">
        <v>0</v>
      </c>
      <c r="BL348">
        <v>24.508299999999998</v>
      </c>
      <c r="BM348">
        <v>62.347799999999999</v>
      </c>
      <c r="BN348">
        <v>11.977499999999999</v>
      </c>
      <c r="BO348">
        <v>0.95290300000000006</v>
      </c>
      <c r="BP348">
        <v>0.213479</v>
      </c>
      <c r="BQ348">
        <v>36.783499999999997</v>
      </c>
      <c r="BR348">
        <v>83849</v>
      </c>
    </row>
    <row r="349" spans="1:70" x14ac:dyDescent="0.25">
      <c r="A349">
        <v>41</v>
      </c>
      <c r="B349" s="7">
        <v>45959.531446759262</v>
      </c>
      <c r="C349" t="s">
        <v>155</v>
      </c>
      <c r="D349" s="6" t="s">
        <v>307</v>
      </c>
      <c r="E349" s="6" t="str">
        <f>VLOOKUP(F349,Germplasm!$A$1:$B$21,2,FALSE)</f>
        <v>Thule</v>
      </c>
      <c r="F349" t="s">
        <v>78</v>
      </c>
      <c r="G349" s="6" t="s">
        <v>113</v>
      </c>
      <c r="H349">
        <v>0</v>
      </c>
      <c r="J349">
        <v>0</v>
      </c>
      <c r="M349">
        <v>0</v>
      </c>
      <c r="N349">
        <v>0</v>
      </c>
      <c r="O349">
        <v>0</v>
      </c>
      <c r="AZ349">
        <v>0</v>
      </c>
      <c r="BA349">
        <v>0</v>
      </c>
      <c r="BB349">
        <v>0</v>
      </c>
      <c r="BR349">
        <v>0</v>
      </c>
    </row>
    <row r="350" spans="1:70" x14ac:dyDescent="0.25">
      <c r="A350">
        <v>41</v>
      </c>
      <c r="B350" s="7">
        <v>45966.547534722224</v>
      </c>
      <c r="C350" t="s">
        <v>155</v>
      </c>
      <c r="D350" s="6" t="s">
        <v>308</v>
      </c>
      <c r="E350" s="6" t="str">
        <f>VLOOKUP(F350,Germplasm!$A$1:$B$21,2,FALSE)</f>
        <v>Thule</v>
      </c>
      <c r="F350" t="s">
        <v>78</v>
      </c>
      <c r="G350" s="6" t="s">
        <v>113</v>
      </c>
      <c r="H350">
        <v>49071.1</v>
      </c>
      <c r="I350">
        <v>402.61500000000001</v>
      </c>
      <c r="J350">
        <v>183283</v>
      </c>
      <c r="K350">
        <v>17.179600000000001</v>
      </c>
      <c r="L350">
        <v>78.909099999999995</v>
      </c>
      <c r="M350">
        <v>1604.56</v>
      </c>
      <c r="N350">
        <v>560.34799999999996</v>
      </c>
      <c r="O350">
        <v>23735400</v>
      </c>
      <c r="P350">
        <v>0.28315600000000002</v>
      </c>
      <c r="Q350">
        <v>9.5989900000000003E-2</v>
      </c>
      <c r="R350">
        <v>1.1490800000000001</v>
      </c>
      <c r="S350">
        <v>9.9111899999999995</v>
      </c>
      <c r="T350">
        <v>43.087299999999999</v>
      </c>
      <c r="U350">
        <v>45.058399999999999</v>
      </c>
      <c r="V350">
        <v>0.69802299999999995</v>
      </c>
      <c r="W350">
        <v>116.288</v>
      </c>
      <c r="X350">
        <v>0.31406400000000001</v>
      </c>
      <c r="Y350">
        <v>0.73064099999999998</v>
      </c>
      <c r="Z350">
        <v>2.0306999999999999</v>
      </c>
      <c r="AA350">
        <v>14.363099999999999</v>
      </c>
      <c r="AB350">
        <v>52.439399999999999</v>
      </c>
      <c r="AC350">
        <v>30.122199999999999</v>
      </c>
      <c r="AD350">
        <v>1.55844</v>
      </c>
      <c r="AE350">
        <v>6.7449000000000003</v>
      </c>
      <c r="AF350">
        <v>0</v>
      </c>
      <c r="AG350">
        <v>99.952500000000001</v>
      </c>
      <c r="AH350">
        <v>4.7529000000000002E-2</v>
      </c>
      <c r="AI350">
        <v>0</v>
      </c>
      <c r="AJ350">
        <v>0</v>
      </c>
      <c r="AK350">
        <v>0</v>
      </c>
      <c r="AL350">
        <v>0.56838</v>
      </c>
      <c r="AM350">
        <v>0.20968700000000001</v>
      </c>
      <c r="AN350">
        <v>1.41096</v>
      </c>
      <c r="AO350">
        <v>2.8740999999999999</v>
      </c>
      <c r="AP350">
        <v>9.7825799999999994</v>
      </c>
      <c r="AQ350">
        <v>37.647599999999997</v>
      </c>
      <c r="AR350">
        <v>48.075099999999999</v>
      </c>
      <c r="AS350">
        <v>5.1253800000000002E-2</v>
      </c>
      <c r="AT350">
        <v>2.8852899999999999</v>
      </c>
      <c r="AU350">
        <v>36.273000000000003</v>
      </c>
      <c r="AV350">
        <v>46.9754</v>
      </c>
      <c r="AW350">
        <v>10.7369</v>
      </c>
      <c r="AX350">
        <v>2.0139200000000002</v>
      </c>
      <c r="AY350">
        <v>1.1155299999999999</v>
      </c>
      <c r="AZ350">
        <v>483.69499999999999</v>
      </c>
      <c r="BA350">
        <v>489.59899999999999</v>
      </c>
      <c r="BB350">
        <v>31487.4</v>
      </c>
      <c r="BC350">
        <v>1.85933E-2</v>
      </c>
      <c r="BD350">
        <v>1.11833E-2</v>
      </c>
      <c r="BE350">
        <v>6.5235799999999997E-2</v>
      </c>
      <c r="BF350">
        <v>1.14256</v>
      </c>
      <c r="BG350">
        <v>37.939300000000003</v>
      </c>
      <c r="BH350">
        <v>58.277000000000001</v>
      </c>
      <c r="BI350">
        <v>2.5647000000000002</v>
      </c>
      <c r="BJ350">
        <v>34.567599999999999</v>
      </c>
      <c r="BK350">
        <v>0</v>
      </c>
      <c r="BL350">
        <v>21.2576</v>
      </c>
      <c r="BM350">
        <v>69.277699999999996</v>
      </c>
      <c r="BN350">
        <v>8.1703200000000002</v>
      </c>
      <c r="BO350">
        <v>0.89652699999999996</v>
      </c>
      <c r="BP350">
        <v>0.39793899999999999</v>
      </c>
      <c r="BQ350">
        <v>39.970100000000002</v>
      </c>
      <c r="BR350">
        <v>107303</v>
      </c>
    </row>
    <row r="351" spans="1:70" x14ac:dyDescent="0.25">
      <c r="A351">
        <v>41</v>
      </c>
      <c r="B351" s="7">
        <v>45973.56113425926</v>
      </c>
      <c r="C351" t="s">
        <v>155</v>
      </c>
      <c r="D351" s="6" t="s">
        <v>309</v>
      </c>
      <c r="E351" s="6" t="str">
        <f>VLOOKUP(F351,Germplasm!$A$1:$B$21,2,FALSE)</f>
        <v>Thule</v>
      </c>
      <c r="F351" t="s">
        <v>78</v>
      </c>
      <c r="G351" s="6" t="s">
        <v>113</v>
      </c>
      <c r="H351">
        <v>55316.800000000003</v>
      </c>
      <c r="I351">
        <v>382.714</v>
      </c>
      <c r="J351">
        <v>181671</v>
      </c>
      <c r="K351">
        <v>18.814599999999999</v>
      </c>
      <c r="L351">
        <v>76.675299999999993</v>
      </c>
      <c r="M351">
        <v>1586.07</v>
      </c>
      <c r="N351">
        <v>575.66600000000005</v>
      </c>
      <c r="O351">
        <v>28055000</v>
      </c>
      <c r="P351">
        <v>0.25958300000000001</v>
      </c>
      <c r="Q351">
        <v>0.13375400000000001</v>
      </c>
      <c r="R351">
        <v>1.8708400000000001</v>
      </c>
      <c r="S351">
        <v>13.1876</v>
      </c>
      <c r="T351">
        <v>47.844499999999996</v>
      </c>
      <c r="U351">
        <v>36.654600000000002</v>
      </c>
      <c r="V351">
        <v>0.30866300000000002</v>
      </c>
      <c r="W351">
        <v>116.102</v>
      </c>
      <c r="X351">
        <v>0.76222599999999996</v>
      </c>
      <c r="Y351">
        <v>2.05261</v>
      </c>
      <c r="Z351">
        <v>2.5036</v>
      </c>
      <c r="AA351">
        <v>14.164199999999999</v>
      </c>
      <c r="AB351">
        <v>47.1783</v>
      </c>
      <c r="AC351">
        <v>33.339100000000002</v>
      </c>
      <c r="AD351">
        <v>1.61836</v>
      </c>
      <c r="AE351">
        <v>6.9204600000000003</v>
      </c>
      <c r="AF351">
        <v>0</v>
      </c>
      <c r="AG351">
        <v>99.957999999999998</v>
      </c>
      <c r="AH351">
        <v>4.2012500000000001E-2</v>
      </c>
      <c r="AI351">
        <v>0</v>
      </c>
      <c r="AJ351">
        <v>0</v>
      </c>
      <c r="AK351">
        <v>0</v>
      </c>
      <c r="AL351">
        <v>0.54712499999999997</v>
      </c>
      <c r="AM351">
        <v>0.25721899999999998</v>
      </c>
      <c r="AN351">
        <v>1.6367700000000001</v>
      </c>
      <c r="AO351">
        <v>4.6119399999999997</v>
      </c>
      <c r="AP351">
        <v>11.0982</v>
      </c>
      <c r="AQ351">
        <v>41.305999999999997</v>
      </c>
      <c r="AR351">
        <v>41.0899</v>
      </c>
      <c r="AS351">
        <v>4.8520099999999997E-2</v>
      </c>
      <c r="AT351">
        <v>2.3003999999999998</v>
      </c>
      <c r="AU351">
        <v>39.3185</v>
      </c>
      <c r="AV351">
        <v>43.543799999999997</v>
      </c>
      <c r="AW351">
        <v>11.790100000000001</v>
      </c>
      <c r="AX351">
        <v>2.21123</v>
      </c>
      <c r="AY351">
        <v>0.83596300000000001</v>
      </c>
      <c r="AZ351">
        <v>507.17</v>
      </c>
      <c r="BA351">
        <v>549.59900000000005</v>
      </c>
      <c r="BB351">
        <v>34180.699999999997</v>
      </c>
      <c r="BC351">
        <v>2.32383E-2</v>
      </c>
      <c r="BD351">
        <v>1.20036E-2</v>
      </c>
      <c r="BE351">
        <v>6.6019599999999998E-2</v>
      </c>
      <c r="BF351">
        <v>0.90541199999999999</v>
      </c>
      <c r="BG351">
        <v>40.6355</v>
      </c>
      <c r="BH351">
        <v>53.3078</v>
      </c>
      <c r="BI351">
        <v>5.0732200000000001</v>
      </c>
      <c r="BJ351">
        <v>32.592100000000002</v>
      </c>
      <c r="BK351">
        <v>0</v>
      </c>
      <c r="BL351">
        <v>26.6616</v>
      </c>
      <c r="BM351">
        <v>65.771799999999999</v>
      </c>
      <c r="BN351">
        <v>6.7708700000000004</v>
      </c>
      <c r="BO351">
        <v>0.55988099999999996</v>
      </c>
      <c r="BP351">
        <v>0.23578399999999999</v>
      </c>
      <c r="BQ351">
        <v>38.215800000000002</v>
      </c>
      <c r="BR351">
        <v>116632</v>
      </c>
    </row>
    <row r="352" spans="1:70" x14ac:dyDescent="0.25">
      <c r="A352">
        <v>41</v>
      </c>
      <c r="B352" s="7">
        <v>45988.555</v>
      </c>
      <c r="C352" t="s">
        <v>155</v>
      </c>
      <c r="D352" s="6" t="s">
        <v>310</v>
      </c>
      <c r="E352" s="6" t="str">
        <f>VLOOKUP(F352,Germplasm!$A$1:$B$21,2,FALSE)</f>
        <v>Thule</v>
      </c>
      <c r="F352" t="s">
        <v>78</v>
      </c>
      <c r="G352" s="6" t="s">
        <v>113</v>
      </c>
      <c r="H352">
        <v>69405.600000000006</v>
      </c>
      <c r="I352">
        <v>448.101</v>
      </c>
      <c r="J352">
        <v>201622</v>
      </c>
      <c r="K352">
        <v>19.6936</v>
      </c>
      <c r="L352">
        <v>92.9298</v>
      </c>
      <c r="M352">
        <v>1683.77</v>
      </c>
      <c r="N352">
        <v>581.15800000000002</v>
      </c>
      <c r="O352">
        <v>41989900</v>
      </c>
      <c r="P352">
        <v>0.18388099999999999</v>
      </c>
      <c r="Q352">
        <v>0.85789599999999999</v>
      </c>
      <c r="R352">
        <v>8.3195800000000002</v>
      </c>
      <c r="S352">
        <v>25.852</v>
      </c>
      <c r="T352">
        <v>47.266800000000003</v>
      </c>
      <c r="U352">
        <v>17.4069</v>
      </c>
      <c r="V352">
        <v>0.29683100000000001</v>
      </c>
      <c r="W352">
        <v>91.456299999999999</v>
      </c>
      <c r="X352">
        <v>4.66052</v>
      </c>
      <c r="Y352">
        <v>13.1944</v>
      </c>
      <c r="Z352">
        <v>8.5921400000000006</v>
      </c>
      <c r="AA352">
        <v>26.693300000000001</v>
      </c>
      <c r="AB352">
        <v>31.0306</v>
      </c>
      <c r="AC352">
        <v>15.8291</v>
      </c>
      <c r="AD352">
        <v>1.74796</v>
      </c>
      <c r="AE352">
        <v>9.2198100000000007</v>
      </c>
      <c r="AF352">
        <v>0</v>
      </c>
      <c r="AG352">
        <v>98.187799999999996</v>
      </c>
      <c r="AH352">
        <v>1.8059499999999999</v>
      </c>
      <c r="AI352">
        <v>5.5482400000000003E-3</v>
      </c>
      <c r="AJ352">
        <v>6.9352900000000002E-4</v>
      </c>
      <c r="AK352">
        <v>0</v>
      </c>
      <c r="AL352">
        <v>0.37524200000000002</v>
      </c>
      <c r="AM352">
        <v>2.7408299999999999</v>
      </c>
      <c r="AN352">
        <v>16.4998</v>
      </c>
      <c r="AO352">
        <v>12.4308</v>
      </c>
      <c r="AP352">
        <v>22.969000000000001</v>
      </c>
      <c r="AQ352">
        <v>36.884700000000002</v>
      </c>
      <c r="AR352">
        <v>8.4749300000000005</v>
      </c>
      <c r="AS352">
        <v>0.164603</v>
      </c>
      <c r="AT352">
        <v>1.0409900000000001</v>
      </c>
      <c r="AU352">
        <v>17.532399999999999</v>
      </c>
      <c r="AV352">
        <v>42.453699999999998</v>
      </c>
      <c r="AW352">
        <v>28.827200000000001</v>
      </c>
      <c r="AX352">
        <v>7.9818300000000004</v>
      </c>
      <c r="AY352">
        <v>2.1638099999999998</v>
      </c>
      <c r="AZ352">
        <v>604.99300000000005</v>
      </c>
      <c r="BA352">
        <v>708.00099999999998</v>
      </c>
      <c r="BB352">
        <v>39706.6</v>
      </c>
      <c r="BC352">
        <v>0.14146700000000001</v>
      </c>
      <c r="BD352">
        <v>3.3982900000000003E-2</v>
      </c>
      <c r="BE352">
        <v>0.17268900000000001</v>
      </c>
      <c r="BF352">
        <v>0.93349099999999996</v>
      </c>
      <c r="BG352">
        <v>17.432600000000001</v>
      </c>
      <c r="BH352">
        <v>53.08</v>
      </c>
      <c r="BI352">
        <v>28.347300000000001</v>
      </c>
      <c r="BJ352">
        <v>32.233699999999999</v>
      </c>
      <c r="BK352">
        <v>0</v>
      </c>
      <c r="BL352">
        <v>30.980599999999999</v>
      </c>
      <c r="BM352">
        <v>60.409199999999998</v>
      </c>
      <c r="BN352">
        <v>6.9720500000000003</v>
      </c>
      <c r="BO352">
        <v>0.91753899999999999</v>
      </c>
      <c r="BP352">
        <v>0.72057700000000002</v>
      </c>
      <c r="BQ352">
        <v>34.944899999999997</v>
      </c>
      <c r="BR352">
        <v>144190</v>
      </c>
    </row>
    <row r="353" spans="1:70" x14ac:dyDescent="0.25">
      <c r="A353">
        <v>41</v>
      </c>
      <c r="B353" s="7">
        <v>45988.555497685185</v>
      </c>
      <c r="C353" t="s">
        <v>155</v>
      </c>
      <c r="D353" s="6" t="s">
        <v>311</v>
      </c>
      <c r="E353" s="6" t="str">
        <f>VLOOKUP(F353,Germplasm!$A$1:$B$21,2,FALSE)</f>
        <v>Thule</v>
      </c>
      <c r="F353" t="s">
        <v>78</v>
      </c>
      <c r="G353" s="6" t="s">
        <v>113</v>
      </c>
      <c r="H353">
        <v>68264</v>
      </c>
      <c r="I353">
        <v>448.64</v>
      </c>
      <c r="J353">
        <v>201810</v>
      </c>
      <c r="K353">
        <v>19.696999999999999</v>
      </c>
      <c r="L353">
        <v>84.144999999999996</v>
      </c>
      <c r="M353">
        <v>1682.88</v>
      </c>
      <c r="N353">
        <v>577.63800000000003</v>
      </c>
      <c r="O353">
        <v>41219800</v>
      </c>
      <c r="P353">
        <v>0.18384400000000001</v>
      </c>
      <c r="Q353">
        <v>0.83216299999999999</v>
      </c>
      <c r="R353">
        <v>8.3890700000000002</v>
      </c>
      <c r="S353">
        <v>25.990300000000001</v>
      </c>
      <c r="T353">
        <v>46.921599999999998</v>
      </c>
      <c r="U353">
        <v>17.576899999999998</v>
      </c>
      <c r="V353">
        <v>0.28990100000000002</v>
      </c>
      <c r="W353">
        <v>91.528700000000001</v>
      </c>
      <c r="X353">
        <v>4.5793299999999997</v>
      </c>
      <c r="Y353">
        <v>13.1936</v>
      </c>
      <c r="Z353">
        <v>8.5621700000000001</v>
      </c>
      <c r="AA353">
        <v>26.723800000000001</v>
      </c>
      <c r="AB353">
        <v>30.803899999999999</v>
      </c>
      <c r="AC353">
        <v>16.1371</v>
      </c>
      <c r="AD353">
        <v>1.7173099999999999</v>
      </c>
      <c r="AE353">
        <v>9.1993399999999994</v>
      </c>
      <c r="AF353">
        <v>0</v>
      </c>
      <c r="AG353">
        <v>98.196600000000004</v>
      </c>
      <c r="AH353">
        <v>1.7964199999999999</v>
      </c>
      <c r="AI353">
        <v>6.2568700000000003E-3</v>
      </c>
      <c r="AJ353">
        <v>6.9520699999999999E-4</v>
      </c>
      <c r="AK353">
        <v>0</v>
      </c>
      <c r="AL353">
        <v>0.37486900000000001</v>
      </c>
      <c r="AM353">
        <v>2.9073600000000002</v>
      </c>
      <c r="AN353">
        <v>16.45</v>
      </c>
      <c r="AO353">
        <v>12.3935</v>
      </c>
      <c r="AP353">
        <v>22.896699999999999</v>
      </c>
      <c r="AQ353">
        <v>36.720799999999997</v>
      </c>
      <c r="AR353">
        <v>8.6316900000000008</v>
      </c>
      <c r="AS353">
        <v>0.16348599999999999</v>
      </c>
      <c r="AT353">
        <v>1.12554</v>
      </c>
      <c r="AU353">
        <v>17.579699999999999</v>
      </c>
      <c r="AV353">
        <v>42.384700000000002</v>
      </c>
      <c r="AW353">
        <v>28.881</v>
      </c>
      <c r="AX353">
        <v>7.9357899999999999</v>
      </c>
      <c r="AY353">
        <v>2.09327</v>
      </c>
      <c r="AZ353">
        <v>603.82899999999995</v>
      </c>
      <c r="BA353">
        <v>707.85</v>
      </c>
      <c r="BB353">
        <v>39750.6</v>
      </c>
      <c r="BC353">
        <v>0.140988</v>
      </c>
      <c r="BD353">
        <v>5.2835800000000002E-2</v>
      </c>
      <c r="BE353">
        <v>0.16198299999999999</v>
      </c>
      <c r="BF353">
        <v>0.90654999999999997</v>
      </c>
      <c r="BG353">
        <v>17.583200000000001</v>
      </c>
      <c r="BH353">
        <v>52.955300000000001</v>
      </c>
      <c r="BI353">
        <v>28.3401</v>
      </c>
      <c r="BJ353">
        <v>32.200899999999997</v>
      </c>
      <c r="BK353">
        <v>0</v>
      </c>
      <c r="BL353">
        <v>31.017399999999999</v>
      </c>
      <c r="BM353">
        <v>60.386400000000002</v>
      </c>
      <c r="BN353">
        <v>7.0021300000000002</v>
      </c>
      <c r="BO353">
        <v>0.907941</v>
      </c>
      <c r="BP353">
        <v>0.68616999999999995</v>
      </c>
      <c r="BQ353">
        <v>35.662500000000001</v>
      </c>
      <c r="BR353">
        <v>143842</v>
      </c>
    </row>
    <row r="354" spans="1:70" x14ac:dyDescent="0.25">
      <c r="A354">
        <v>41</v>
      </c>
      <c r="B354" s="7">
        <v>45994.567141203705</v>
      </c>
      <c r="C354" t="s">
        <v>155</v>
      </c>
      <c r="D354" s="6" t="s">
        <v>312</v>
      </c>
      <c r="E354" s="6" t="str">
        <f>VLOOKUP(F354,Germplasm!$A$1:$B$21,2,FALSE)</f>
        <v>Thule</v>
      </c>
      <c r="F354" t="s">
        <v>78</v>
      </c>
      <c r="G354" s="6" t="s">
        <v>113</v>
      </c>
      <c r="H354">
        <v>56512</v>
      </c>
      <c r="I354">
        <v>445.27100000000002</v>
      </c>
      <c r="J354">
        <v>179526</v>
      </c>
      <c r="K354">
        <v>18.329599999999999</v>
      </c>
      <c r="L354">
        <v>81.907399999999996</v>
      </c>
      <c r="M354">
        <v>1601.65</v>
      </c>
      <c r="N354">
        <v>595.28</v>
      </c>
      <c r="O354">
        <v>33158100</v>
      </c>
      <c r="P354">
        <v>0.143848</v>
      </c>
      <c r="Q354">
        <v>0.98243599999999998</v>
      </c>
      <c r="R354">
        <v>13.9552</v>
      </c>
      <c r="S354">
        <v>32.204500000000003</v>
      </c>
      <c r="T354">
        <v>43.006399999999999</v>
      </c>
      <c r="U354">
        <v>9.6421500000000009</v>
      </c>
      <c r="V354">
        <v>0.209291</v>
      </c>
      <c r="W354">
        <v>77.899799999999999</v>
      </c>
      <c r="X354">
        <v>8.3888700000000007</v>
      </c>
      <c r="Y354">
        <v>20.116499999999998</v>
      </c>
      <c r="Z354">
        <v>11.8278</v>
      </c>
      <c r="AA354">
        <v>24.972100000000001</v>
      </c>
      <c r="AB354">
        <v>22.8127</v>
      </c>
      <c r="AC354">
        <v>11.882</v>
      </c>
      <c r="AD354">
        <v>1.71736</v>
      </c>
      <c r="AE354">
        <v>10.0372</v>
      </c>
      <c r="AF354">
        <v>0</v>
      </c>
      <c r="AG354">
        <v>97.776600000000002</v>
      </c>
      <c r="AH354">
        <v>2.2217699999999998</v>
      </c>
      <c r="AI354">
        <v>1.6414999999999999E-3</v>
      </c>
      <c r="AJ354">
        <v>0</v>
      </c>
      <c r="AK354">
        <v>0</v>
      </c>
      <c r="AL354">
        <v>0.30914599999999998</v>
      </c>
      <c r="AM354">
        <v>4.7833199999999998</v>
      </c>
      <c r="AN354">
        <v>24.961400000000001</v>
      </c>
      <c r="AO354">
        <v>15.6829</v>
      </c>
      <c r="AP354">
        <v>23.0532</v>
      </c>
      <c r="AQ354">
        <v>26.9255</v>
      </c>
      <c r="AR354">
        <v>4.5937299999999999</v>
      </c>
      <c r="AS354">
        <v>0.19808200000000001</v>
      </c>
      <c r="AT354">
        <v>0.59996700000000003</v>
      </c>
      <c r="AU354">
        <v>12.322699999999999</v>
      </c>
      <c r="AV354">
        <v>38.1509</v>
      </c>
      <c r="AW354">
        <v>37.143799999999999</v>
      </c>
      <c r="AX354">
        <v>9.8662200000000002</v>
      </c>
      <c r="AY354">
        <v>1.91645</v>
      </c>
      <c r="AZ354">
        <v>586.74400000000003</v>
      </c>
      <c r="BA354">
        <v>668.4</v>
      </c>
      <c r="BB354">
        <v>32906.300000000003</v>
      </c>
      <c r="BC354">
        <v>0.19223499999999999</v>
      </c>
      <c r="BD354">
        <v>4.1037400000000002E-2</v>
      </c>
      <c r="BE354">
        <v>0.12064999999999999</v>
      </c>
      <c r="BF354">
        <v>0.55236399999999997</v>
      </c>
      <c r="BG354">
        <v>12.207000000000001</v>
      </c>
      <c r="BH354">
        <v>45.009</v>
      </c>
      <c r="BI354">
        <v>42.069899999999997</v>
      </c>
      <c r="BJ354">
        <v>31.2133</v>
      </c>
      <c r="BK354">
        <v>0</v>
      </c>
      <c r="BL354">
        <v>33.151699999999998</v>
      </c>
      <c r="BM354">
        <v>60.027099999999997</v>
      </c>
      <c r="BN354">
        <v>5.4899899999999997</v>
      </c>
      <c r="BO354">
        <v>0.78873899999999997</v>
      </c>
      <c r="BP354">
        <v>0.54251499999999997</v>
      </c>
      <c r="BQ354">
        <v>35.657699999999998</v>
      </c>
      <c r="BR354">
        <v>121840</v>
      </c>
    </row>
    <row r="355" spans="1:70" x14ac:dyDescent="0.25">
      <c r="A355">
        <v>41</v>
      </c>
      <c r="B355" s="7">
        <v>46002.558958333335</v>
      </c>
      <c r="C355" t="s">
        <v>155</v>
      </c>
      <c r="D355" s="6" t="s">
        <v>313</v>
      </c>
      <c r="E355" s="6" t="str">
        <f>VLOOKUP(F355,Germplasm!$A$1:$B$21,2,FALSE)</f>
        <v>Thule</v>
      </c>
      <c r="F355" t="s">
        <v>78</v>
      </c>
      <c r="G355" s="6" t="s">
        <v>113</v>
      </c>
      <c r="H355">
        <v>48153.4</v>
      </c>
      <c r="I355">
        <v>539.45399999999995</v>
      </c>
      <c r="J355">
        <v>109684</v>
      </c>
      <c r="K355">
        <v>23.811199999999999</v>
      </c>
      <c r="L355">
        <v>69.284199999999998</v>
      </c>
      <c r="M355">
        <v>1280.8699999999999</v>
      </c>
      <c r="N355">
        <v>451.37</v>
      </c>
      <c r="O355">
        <v>29638300</v>
      </c>
      <c r="P355">
        <v>0.103243</v>
      </c>
      <c r="Q355">
        <v>1.0249699999999999</v>
      </c>
      <c r="R355">
        <v>21.199200000000001</v>
      </c>
      <c r="S355">
        <v>41.892499999999998</v>
      </c>
      <c r="T355">
        <v>28.520199999999999</v>
      </c>
      <c r="U355">
        <v>7.1260599999999998</v>
      </c>
      <c r="V355">
        <v>0.237036</v>
      </c>
      <c r="W355">
        <v>61.800400000000003</v>
      </c>
      <c r="X355">
        <v>12.236800000000001</v>
      </c>
      <c r="Y355">
        <v>31.864000000000001</v>
      </c>
      <c r="Z355">
        <v>13.5185</v>
      </c>
      <c r="AA355">
        <v>19.090299999999999</v>
      </c>
      <c r="AB355">
        <v>15.101000000000001</v>
      </c>
      <c r="AC355">
        <v>8.1894399999999994</v>
      </c>
      <c r="AD355">
        <v>1.8437600000000001</v>
      </c>
      <c r="AE355">
        <v>11.316800000000001</v>
      </c>
      <c r="AF355">
        <v>0</v>
      </c>
      <c r="AG355">
        <v>95.214299999999994</v>
      </c>
      <c r="AH355">
        <v>4.7632000000000003</v>
      </c>
      <c r="AI355">
        <v>2.2485600000000001E-2</v>
      </c>
      <c r="AJ355">
        <v>0</v>
      </c>
      <c r="AK355">
        <v>0</v>
      </c>
      <c r="AL355">
        <v>0.22549</v>
      </c>
      <c r="AM355">
        <v>6.8768399999999996</v>
      </c>
      <c r="AN355">
        <v>39.031199999999998</v>
      </c>
      <c r="AO355">
        <v>20.414100000000001</v>
      </c>
      <c r="AP355">
        <v>16.466999999999999</v>
      </c>
      <c r="AQ355">
        <v>14.304600000000001</v>
      </c>
      <c r="AR355">
        <v>2.9062600000000001</v>
      </c>
      <c r="AS355">
        <v>0.237488</v>
      </c>
      <c r="AT355">
        <v>0.72328700000000001</v>
      </c>
      <c r="AU355">
        <v>6.6473000000000004</v>
      </c>
      <c r="AV355">
        <v>34.153700000000001</v>
      </c>
      <c r="AW355">
        <v>43.093600000000002</v>
      </c>
      <c r="AX355">
        <v>12.9451</v>
      </c>
      <c r="AY355">
        <v>2.4368799999999999</v>
      </c>
      <c r="AZ355">
        <v>615.49699999999996</v>
      </c>
      <c r="BA355">
        <v>714.59900000000005</v>
      </c>
      <c r="BB355">
        <v>26117</v>
      </c>
      <c r="BC355">
        <v>0.25494099999999997</v>
      </c>
      <c r="BD355">
        <v>3.84129E-2</v>
      </c>
      <c r="BE355">
        <v>0.185506</v>
      </c>
      <c r="BF355">
        <v>0.65583000000000002</v>
      </c>
      <c r="BG355">
        <v>6.4908400000000004</v>
      </c>
      <c r="BH355">
        <v>34.886400000000002</v>
      </c>
      <c r="BI355">
        <v>57.743000000000002</v>
      </c>
      <c r="BJ355">
        <v>31.462199999999999</v>
      </c>
      <c r="BK355">
        <v>0</v>
      </c>
      <c r="BL355">
        <v>32.955500000000001</v>
      </c>
      <c r="BM355">
        <v>58.805500000000002</v>
      </c>
      <c r="BN355">
        <v>6.7747200000000003</v>
      </c>
      <c r="BO355">
        <v>0.96032200000000001</v>
      </c>
      <c r="BP355">
        <v>0.50405199999999994</v>
      </c>
      <c r="BQ355">
        <v>32.881399999999999</v>
      </c>
      <c r="BR355">
        <v>106735</v>
      </c>
    </row>
    <row r="356" spans="1:70" x14ac:dyDescent="0.25">
      <c r="A356">
        <v>41</v>
      </c>
      <c r="B356" s="7">
        <v>46013.582731481481</v>
      </c>
      <c r="C356" t="s">
        <v>155</v>
      </c>
      <c r="D356" s="6" t="s">
        <v>314</v>
      </c>
      <c r="E356" s="6" t="str">
        <f>VLOOKUP(F356,Germplasm!$A$1:$B$21,2,FALSE)</f>
        <v>Thule</v>
      </c>
      <c r="F356" t="s">
        <v>78</v>
      </c>
      <c r="G356" s="6" t="s">
        <v>113</v>
      </c>
      <c r="H356">
        <v>37356.1</v>
      </c>
      <c r="I356">
        <v>548.39599999999996</v>
      </c>
      <c r="J356">
        <v>83925</v>
      </c>
      <c r="K356">
        <v>23.037099999999999</v>
      </c>
      <c r="L356">
        <v>83.967500000000001</v>
      </c>
      <c r="M356">
        <v>1133.25</v>
      </c>
      <c r="N356">
        <v>413.26499999999999</v>
      </c>
      <c r="O356">
        <v>22001500</v>
      </c>
      <c r="P356">
        <v>3.00092E-2</v>
      </c>
      <c r="Q356">
        <v>1.2007000000000001</v>
      </c>
      <c r="R356">
        <v>31.687000000000001</v>
      </c>
      <c r="S356">
        <v>59.270699999999998</v>
      </c>
      <c r="T356">
        <v>5.8575900000000001</v>
      </c>
      <c r="U356">
        <v>1.9254199999999999</v>
      </c>
      <c r="V356">
        <v>5.85998E-2</v>
      </c>
      <c r="W356">
        <v>39.178699999999999</v>
      </c>
      <c r="X356">
        <v>16.805</v>
      </c>
      <c r="Y356">
        <v>55.382800000000003</v>
      </c>
      <c r="Z356">
        <v>12.5021</v>
      </c>
      <c r="AA356">
        <v>6.3574799999999998</v>
      </c>
      <c r="AB356">
        <v>2.0186999999999999</v>
      </c>
      <c r="AC356">
        <v>6.93391</v>
      </c>
      <c r="AD356">
        <v>1.9321600000000001</v>
      </c>
      <c r="AE356">
        <v>15.0359</v>
      </c>
      <c r="AF356">
        <v>0</v>
      </c>
      <c r="AG356">
        <v>88.537199999999999</v>
      </c>
      <c r="AH356">
        <v>11.4078</v>
      </c>
      <c r="AI356">
        <v>5.5012100000000001E-2</v>
      </c>
      <c r="AJ356">
        <v>0</v>
      </c>
      <c r="AK356">
        <v>0</v>
      </c>
      <c r="AL356">
        <v>0.103876</v>
      </c>
      <c r="AM356">
        <v>13.421799999999999</v>
      </c>
      <c r="AN356">
        <v>62.496099999999998</v>
      </c>
      <c r="AO356">
        <v>16.0288</v>
      </c>
      <c r="AP356">
        <v>5.6196000000000002</v>
      </c>
      <c r="AQ356">
        <v>1.9158599999999999</v>
      </c>
      <c r="AR356">
        <v>0.51783100000000004</v>
      </c>
      <c r="AS356">
        <v>0.26551599999999997</v>
      </c>
      <c r="AT356">
        <v>0.65536099999999997</v>
      </c>
      <c r="AU356">
        <v>3.5399099999999999</v>
      </c>
      <c r="AV356">
        <v>25.2422</v>
      </c>
      <c r="AW356">
        <v>56.746200000000002</v>
      </c>
      <c r="AX356">
        <v>11.4222</v>
      </c>
      <c r="AY356">
        <v>2.3942199999999998</v>
      </c>
      <c r="AZ356">
        <v>588.96699999999998</v>
      </c>
      <c r="BA356">
        <v>645</v>
      </c>
      <c r="BB356">
        <v>19333.900000000001</v>
      </c>
      <c r="BC356">
        <v>0.33335399999999998</v>
      </c>
      <c r="BD356">
        <v>8.9693599999999998E-2</v>
      </c>
      <c r="BE356">
        <v>0.25712200000000002</v>
      </c>
      <c r="BF356">
        <v>0.71396099999999996</v>
      </c>
      <c r="BG356">
        <v>3.13449</v>
      </c>
      <c r="BH356">
        <v>14.3881</v>
      </c>
      <c r="BI356">
        <v>81.416700000000006</v>
      </c>
      <c r="BJ356">
        <v>28.977399999999999</v>
      </c>
      <c r="BK356">
        <v>0</v>
      </c>
      <c r="BL356">
        <v>41.1</v>
      </c>
      <c r="BM356">
        <v>52.995800000000003</v>
      </c>
      <c r="BN356">
        <v>4.5552400000000004</v>
      </c>
      <c r="BO356">
        <v>0.91726700000000005</v>
      </c>
      <c r="BP356">
        <v>0.43172500000000003</v>
      </c>
      <c r="BQ356">
        <v>31.1937</v>
      </c>
      <c r="BR356">
        <v>83618</v>
      </c>
    </row>
    <row r="357" spans="1:70" x14ac:dyDescent="0.25">
      <c r="A357">
        <v>41</v>
      </c>
      <c r="B357" s="7">
        <v>46024.520729166667</v>
      </c>
      <c r="C357" t="s">
        <v>155</v>
      </c>
      <c r="D357" s="6" t="s">
        <v>315</v>
      </c>
      <c r="E357" s="6" t="str">
        <f>VLOOKUP(F357,Germplasm!$A$1:$B$21,2,FALSE)</f>
        <v>Thule</v>
      </c>
      <c r="F357" t="s">
        <v>78</v>
      </c>
      <c r="G357" s="6" t="s">
        <v>113</v>
      </c>
      <c r="H357">
        <v>46978</v>
      </c>
      <c r="I357">
        <v>476.49799999999999</v>
      </c>
      <c r="J357">
        <v>134702</v>
      </c>
      <c r="K357">
        <v>20.5702</v>
      </c>
      <c r="L357">
        <v>75.843299999999999</v>
      </c>
      <c r="M357">
        <v>1426.93</v>
      </c>
      <c r="N357">
        <v>536.15899999999999</v>
      </c>
      <c r="O357">
        <v>24784500</v>
      </c>
      <c r="P357">
        <v>1.02174E-2</v>
      </c>
      <c r="Q357">
        <v>0.96603300000000003</v>
      </c>
      <c r="R357">
        <v>35.504800000000003</v>
      </c>
      <c r="S357">
        <v>62.323799999999999</v>
      </c>
      <c r="T357">
        <v>1.0612200000000001</v>
      </c>
      <c r="U357">
        <v>0.12911900000000001</v>
      </c>
      <c r="V357">
        <v>1.5079499999999999E-2</v>
      </c>
      <c r="W357">
        <v>35.143099999999997</v>
      </c>
      <c r="X357">
        <v>18.276399999999999</v>
      </c>
      <c r="Y357">
        <v>62.5914</v>
      </c>
      <c r="Z357">
        <v>9.8478899999999996</v>
      </c>
      <c r="AA357">
        <v>2.1526100000000001</v>
      </c>
      <c r="AB357">
        <v>0.80864100000000005</v>
      </c>
      <c r="AC357">
        <v>6.3230399999999998</v>
      </c>
      <c r="AD357">
        <v>1.69543</v>
      </c>
      <c r="AE357">
        <v>20.094999999999999</v>
      </c>
      <c r="AF357">
        <v>0</v>
      </c>
      <c r="AG357">
        <v>72.265900000000002</v>
      </c>
      <c r="AH357">
        <v>27.2789</v>
      </c>
      <c r="AI357">
        <v>0.45238600000000001</v>
      </c>
      <c r="AJ357">
        <v>2.8274099999999998E-3</v>
      </c>
      <c r="AK357">
        <v>0</v>
      </c>
      <c r="AL357">
        <v>8.0613900000000002E-2</v>
      </c>
      <c r="AM357">
        <v>13.9693</v>
      </c>
      <c r="AN357">
        <v>69.150099999999995</v>
      </c>
      <c r="AO357">
        <v>13.825100000000001</v>
      </c>
      <c r="AP357">
        <v>2.3260200000000002</v>
      </c>
      <c r="AQ357">
        <v>0.57490799999999997</v>
      </c>
      <c r="AR357">
        <v>0.15456500000000001</v>
      </c>
      <c r="AS357">
        <v>0.24654599999999999</v>
      </c>
      <c r="AT357">
        <v>0.441077</v>
      </c>
      <c r="AU357">
        <v>3.4334199999999999</v>
      </c>
      <c r="AV357">
        <v>33.1599</v>
      </c>
      <c r="AW357">
        <v>52.430599999999998</v>
      </c>
      <c r="AX357">
        <v>8.2814999999999994</v>
      </c>
      <c r="AY357">
        <v>2.25345</v>
      </c>
      <c r="AZ357">
        <v>527.57600000000002</v>
      </c>
      <c r="BA357">
        <v>574.20000000000005</v>
      </c>
      <c r="BB357">
        <v>27708.6</v>
      </c>
      <c r="BC357">
        <v>0.32137500000000002</v>
      </c>
      <c r="BD357">
        <v>5.2778400000000003E-2</v>
      </c>
      <c r="BE357">
        <v>0.21299899999999999</v>
      </c>
      <c r="BF357">
        <v>0.66915500000000006</v>
      </c>
      <c r="BG357">
        <v>2.9395699999999998</v>
      </c>
      <c r="BH357">
        <v>13.513199999999999</v>
      </c>
      <c r="BI357">
        <v>82.612300000000005</v>
      </c>
      <c r="BJ357">
        <v>25.9621</v>
      </c>
      <c r="BK357">
        <v>0</v>
      </c>
      <c r="BL357">
        <v>52.298699999999997</v>
      </c>
      <c r="BM357">
        <v>43.3367</v>
      </c>
      <c r="BN357">
        <v>3.1959200000000001</v>
      </c>
      <c r="BO357">
        <v>0.84539699999999995</v>
      </c>
      <c r="BP357">
        <v>0.323268</v>
      </c>
      <c r="BQ357">
        <v>36.1875</v>
      </c>
      <c r="BR357">
        <v>106104</v>
      </c>
    </row>
    <row r="358" spans="1:70" x14ac:dyDescent="0.25">
      <c r="A358">
        <v>41</v>
      </c>
      <c r="B358" s="7">
        <v>45952.566250000003</v>
      </c>
      <c r="C358" t="s">
        <v>156</v>
      </c>
      <c r="D358" s="6" t="s">
        <v>306</v>
      </c>
      <c r="E358" s="6" t="str">
        <f>VLOOKUP(F358,Germplasm!$A$1:$B$21,2,FALSE)</f>
        <v>Sunnita</v>
      </c>
      <c r="F358" t="s">
        <v>65</v>
      </c>
      <c r="G358" s="6" t="s">
        <v>113</v>
      </c>
      <c r="H358">
        <v>35202.400000000001</v>
      </c>
      <c r="I358">
        <v>345.9</v>
      </c>
      <c r="J358">
        <v>162844</v>
      </c>
      <c r="K358">
        <v>12.3324</v>
      </c>
      <c r="L358">
        <v>63.634099999999997</v>
      </c>
      <c r="M358">
        <v>1583.4</v>
      </c>
      <c r="N358">
        <v>619.80999999999995</v>
      </c>
      <c r="O358">
        <v>15322100</v>
      </c>
      <c r="P358">
        <v>0.24144699999999999</v>
      </c>
      <c r="Q358">
        <v>0.46798899999999999</v>
      </c>
      <c r="R358">
        <v>3.6334599999999999</v>
      </c>
      <c r="S358">
        <v>18.196400000000001</v>
      </c>
      <c r="T358">
        <v>43.786099999999998</v>
      </c>
      <c r="U358">
        <v>33.579000000000001</v>
      </c>
      <c r="V358">
        <v>0.33718500000000001</v>
      </c>
      <c r="W358">
        <v>115.554</v>
      </c>
      <c r="X358">
        <v>0.86621599999999999</v>
      </c>
      <c r="Y358">
        <v>1.94899</v>
      </c>
      <c r="Z358">
        <v>3.8398400000000001</v>
      </c>
      <c r="AA358">
        <v>17.793800000000001</v>
      </c>
      <c r="AB358">
        <v>41.072600000000001</v>
      </c>
      <c r="AC358">
        <v>34.4786</v>
      </c>
      <c r="AD358">
        <v>1.7528900000000001</v>
      </c>
      <c r="AE358">
        <v>6.9695299999999998</v>
      </c>
      <c r="AF358">
        <v>0</v>
      </c>
      <c r="AG358">
        <v>99.920100000000005</v>
      </c>
      <c r="AH358">
        <v>7.7029299999999995E-2</v>
      </c>
      <c r="AI358">
        <v>2.9067699999999999E-3</v>
      </c>
      <c r="AJ358">
        <v>0</v>
      </c>
      <c r="AK358">
        <v>0</v>
      </c>
      <c r="AL358">
        <v>0.51934599999999997</v>
      </c>
      <c r="AM358">
        <v>0.68890300000000004</v>
      </c>
      <c r="AN358">
        <v>3.1349499999999999</v>
      </c>
      <c r="AO358">
        <v>5.2292699999999996</v>
      </c>
      <c r="AP358">
        <v>14.971299999999999</v>
      </c>
      <c r="AQ358">
        <v>43.262799999999999</v>
      </c>
      <c r="AR358">
        <v>32.712699999999998</v>
      </c>
      <c r="AS358">
        <v>4.3490300000000003E-2</v>
      </c>
      <c r="AT358">
        <v>5.9763099999999998</v>
      </c>
      <c r="AU358">
        <v>34.519300000000001</v>
      </c>
      <c r="AV358">
        <v>44.386299999999999</v>
      </c>
      <c r="AW358">
        <v>11.987500000000001</v>
      </c>
      <c r="AX358">
        <v>2.08996</v>
      </c>
      <c r="AY358">
        <v>1.0406200000000001</v>
      </c>
      <c r="AZ358">
        <v>435.25599999999997</v>
      </c>
      <c r="BA358">
        <v>486.59899999999999</v>
      </c>
      <c r="BB358">
        <v>20082.599999999999</v>
      </c>
      <c r="BC358">
        <v>1.8469599999999999E-2</v>
      </c>
      <c r="BD358">
        <v>2.1800699999999999E-2</v>
      </c>
      <c r="BE358">
        <v>0.32991799999999999</v>
      </c>
      <c r="BF358">
        <v>2.6611400000000001</v>
      </c>
      <c r="BG358">
        <v>37.482700000000001</v>
      </c>
      <c r="BH358">
        <v>55.152999999999999</v>
      </c>
      <c r="BI358">
        <v>4.3514299999999997</v>
      </c>
      <c r="BJ358">
        <v>31.9879</v>
      </c>
      <c r="BK358">
        <v>0</v>
      </c>
      <c r="BL358">
        <v>31.814499999999999</v>
      </c>
      <c r="BM358">
        <v>59.245699999999999</v>
      </c>
      <c r="BN358">
        <v>7.9761600000000001</v>
      </c>
      <c r="BO358">
        <v>0.733958</v>
      </c>
      <c r="BP358">
        <v>0.229634</v>
      </c>
      <c r="BQ358">
        <v>34.814500000000002</v>
      </c>
      <c r="BR358">
        <v>68805</v>
      </c>
    </row>
    <row r="359" spans="1:70" x14ac:dyDescent="0.25">
      <c r="A359">
        <v>41</v>
      </c>
      <c r="B359" s="7">
        <v>45959.531446759262</v>
      </c>
      <c r="C359" t="s">
        <v>156</v>
      </c>
      <c r="D359" s="6" t="s">
        <v>307</v>
      </c>
      <c r="E359" s="6" t="str">
        <f>VLOOKUP(F359,Germplasm!$A$1:$B$21,2,FALSE)</f>
        <v>Sunnita</v>
      </c>
      <c r="F359" t="s">
        <v>65</v>
      </c>
      <c r="G359" s="6" t="s">
        <v>113</v>
      </c>
      <c r="H359">
        <v>0</v>
      </c>
      <c r="J359">
        <v>0</v>
      </c>
      <c r="M359">
        <v>0</v>
      </c>
      <c r="N359">
        <v>0</v>
      </c>
      <c r="O359">
        <v>0</v>
      </c>
      <c r="AZ359">
        <v>0</v>
      </c>
      <c r="BA359">
        <v>0</v>
      </c>
      <c r="BB359">
        <v>0</v>
      </c>
      <c r="BR359">
        <v>0</v>
      </c>
    </row>
    <row r="360" spans="1:70" x14ac:dyDescent="0.25">
      <c r="A360">
        <v>41</v>
      </c>
      <c r="B360" s="7">
        <v>45966.547534722224</v>
      </c>
      <c r="C360" t="s">
        <v>156</v>
      </c>
      <c r="D360" s="6" t="s">
        <v>308</v>
      </c>
      <c r="E360" s="6" t="str">
        <f>VLOOKUP(F360,Germplasm!$A$1:$B$21,2,FALSE)</f>
        <v>Sunnita</v>
      </c>
      <c r="F360" t="s">
        <v>65</v>
      </c>
      <c r="G360" s="6" t="s">
        <v>113</v>
      </c>
      <c r="H360">
        <v>28316.9</v>
      </c>
      <c r="I360">
        <v>399.774</v>
      </c>
      <c r="J360">
        <v>153902</v>
      </c>
      <c r="K360">
        <v>10.84</v>
      </c>
      <c r="L360">
        <v>87.878200000000007</v>
      </c>
      <c r="M360">
        <v>1461.3</v>
      </c>
      <c r="N360">
        <v>500.44400000000002</v>
      </c>
      <c r="O360">
        <v>15540300</v>
      </c>
      <c r="P360">
        <v>0.22303899999999999</v>
      </c>
      <c r="Q360">
        <v>0.27220299999999997</v>
      </c>
      <c r="R360">
        <v>3.4548899999999998</v>
      </c>
      <c r="S360">
        <v>22.940799999999999</v>
      </c>
      <c r="T360">
        <v>46.611199999999997</v>
      </c>
      <c r="U360">
        <v>26.313500000000001</v>
      </c>
      <c r="V360">
        <v>0.407499</v>
      </c>
      <c r="W360">
        <v>103.142</v>
      </c>
      <c r="X360">
        <v>1.4141699999999999</v>
      </c>
      <c r="Y360">
        <v>7.3204900000000004</v>
      </c>
      <c r="Z360">
        <v>9.9072300000000002</v>
      </c>
      <c r="AA360">
        <v>24.462800000000001</v>
      </c>
      <c r="AB360">
        <v>30.713799999999999</v>
      </c>
      <c r="AC360">
        <v>26.1814</v>
      </c>
      <c r="AD360">
        <v>1.6973400000000001</v>
      </c>
      <c r="AE360">
        <v>6.5014399999999997</v>
      </c>
      <c r="AF360">
        <v>0</v>
      </c>
      <c r="AG360">
        <v>99.808300000000003</v>
      </c>
      <c r="AH360">
        <v>0.19005900000000001</v>
      </c>
      <c r="AI360">
        <v>1.61067E-3</v>
      </c>
      <c r="AJ360">
        <v>0</v>
      </c>
      <c r="AK360">
        <v>0</v>
      </c>
      <c r="AL360">
        <v>0.46902100000000002</v>
      </c>
      <c r="AM360">
        <v>1.2402200000000001</v>
      </c>
      <c r="AN360">
        <v>6.6085799999999999</v>
      </c>
      <c r="AO360">
        <v>10.3437</v>
      </c>
      <c r="AP360">
        <v>18.0701</v>
      </c>
      <c r="AQ360">
        <v>38.163200000000003</v>
      </c>
      <c r="AR360">
        <v>25.574200000000001</v>
      </c>
      <c r="AS360">
        <v>0.13436799999999999</v>
      </c>
      <c r="AT360">
        <v>2.4192200000000001</v>
      </c>
      <c r="AU360">
        <v>27.879100000000001</v>
      </c>
      <c r="AV360">
        <v>35.383200000000002</v>
      </c>
      <c r="AW360">
        <v>21.694099999999999</v>
      </c>
      <c r="AX360">
        <v>10.008699999999999</v>
      </c>
      <c r="AY360">
        <v>2.6157300000000001</v>
      </c>
      <c r="AZ360">
        <v>548.79999999999995</v>
      </c>
      <c r="BA360">
        <v>646.19899999999996</v>
      </c>
      <c r="BB360">
        <v>16683</v>
      </c>
      <c r="BC360">
        <v>8.9679499999999995E-2</v>
      </c>
      <c r="BD360">
        <v>1.12747E-2</v>
      </c>
      <c r="BE360">
        <v>6.4426800000000006E-2</v>
      </c>
      <c r="BF360">
        <v>0.98089700000000002</v>
      </c>
      <c r="BG360">
        <v>29.240100000000002</v>
      </c>
      <c r="BH360">
        <v>50.961599999999997</v>
      </c>
      <c r="BI360">
        <v>18.741700000000002</v>
      </c>
      <c r="BJ360">
        <v>34.035400000000003</v>
      </c>
      <c r="BK360">
        <v>0</v>
      </c>
      <c r="BL360">
        <v>29.166</v>
      </c>
      <c r="BM360">
        <v>57.085299999999997</v>
      </c>
      <c r="BN360">
        <v>12.369899999999999</v>
      </c>
      <c r="BO360">
        <v>0.91324899999999998</v>
      </c>
      <c r="BP360">
        <v>0.46548299999999998</v>
      </c>
      <c r="BQ360">
        <v>36.123699999999999</v>
      </c>
      <c r="BR360">
        <v>62086</v>
      </c>
    </row>
    <row r="361" spans="1:70" x14ac:dyDescent="0.25">
      <c r="A361">
        <v>41</v>
      </c>
      <c r="B361" s="7">
        <v>45973.56113425926</v>
      </c>
      <c r="C361" t="s">
        <v>156</v>
      </c>
      <c r="D361" s="6" t="s">
        <v>309</v>
      </c>
      <c r="E361" s="6" t="str">
        <f>VLOOKUP(F361,Germplasm!$A$1:$B$21,2,FALSE)</f>
        <v>Sunnita</v>
      </c>
      <c r="F361" t="s">
        <v>65</v>
      </c>
      <c r="G361" s="6" t="s">
        <v>113</v>
      </c>
      <c r="H361">
        <v>35156.300000000003</v>
      </c>
      <c r="I361">
        <v>412.44299999999998</v>
      </c>
      <c r="J361">
        <v>205179</v>
      </c>
      <c r="K361">
        <v>9.51722</v>
      </c>
      <c r="L361">
        <v>85.930300000000003</v>
      </c>
      <c r="M361">
        <v>1692.73</v>
      </c>
      <c r="N361">
        <v>602.82500000000005</v>
      </c>
      <c r="O361">
        <v>20484300</v>
      </c>
      <c r="P361">
        <v>0.19599900000000001</v>
      </c>
      <c r="Q361">
        <v>0.460366</v>
      </c>
      <c r="R361">
        <v>9.4342799999999993</v>
      </c>
      <c r="S361">
        <v>27.052</v>
      </c>
      <c r="T361">
        <v>38.042700000000004</v>
      </c>
      <c r="U361">
        <v>24.529599999999999</v>
      </c>
      <c r="V361">
        <v>0.48099900000000001</v>
      </c>
      <c r="W361">
        <v>99.012200000000007</v>
      </c>
      <c r="X361">
        <v>5.1517099999999996</v>
      </c>
      <c r="Y361">
        <v>10.9998</v>
      </c>
      <c r="Z361">
        <v>6.3832300000000002</v>
      </c>
      <c r="AA361">
        <v>18.368200000000002</v>
      </c>
      <c r="AB361">
        <v>36.515900000000002</v>
      </c>
      <c r="AC361">
        <v>22.581099999999999</v>
      </c>
      <c r="AD361">
        <v>1.80036</v>
      </c>
      <c r="AE361">
        <v>7.3706199999999997</v>
      </c>
      <c r="AF361">
        <v>0</v>
      </c>
      <c r="AG361">
        <v>99.691800000000001</v>
      </c>
      <c r="AH361">
        <v>0.30819999999999997</v>
      </c>
      <c r="AI361">
        <v>0</v>
      </c>
      <c r="AJ361">
        <v>0</v>
      </c>
      <c r="AK361">
        <v>0</v>
      </c>
      <c r="AL361">
        <v>0.42270400000000002</v>
      </c>
      <c r="AM361">
        <v>2.76735</v>
      </c>
      <c r="AN361">
        <v>8.46068</v>
      </c>
      <c r="AO361">
        <v>15.901300000000001</v>
      </c>
      <c r="AP361">
        <v>20.0382</v>
      </c>
      <c r="AQ361">
        <v>32.782699999999998</v>
      </c>
      <c r="AR361">
        <v>20.049800000000001</v>
      </c>
      <c r="AS361">
        <v>0.122891</v>
      </c>
      <c r="AT361">
        <v>1.5422899999999999</v>
      </c>
      <c r="AU361">
        <v>24.877800000000001</v>
      </c>
      <c r="AV361">
        <v>43.331099999999999</v>
      </c>
      <c r="AW361">
        <v>23.121500000000001</v>
      </c>
      <c r="AX361">
        <v>5.5347099999999996</v>
      </c>
      <c r="AY361">
        <v>1.5925800000000001</v>
      </c>
      <c r="AZ361">
        <v>582.66399999999999</v>
      </c>
      <c r="BA361">
        <v>659.69899999999996</v>
      </c>
      <c r="BB361">
        <v>19527.400000000001</v>
      </c>
      <c r="BC361">
        <v>9.5081299999999994E-2</v>
      </c>
      <c r="BD361">
        <v>1.41849E-2</v>
      </c>
      <c r="BE361">
        <v>0.10187400000000001</v>
      </c>
      <c r="BF361">
        <v>0.95296999999999998</v>
      </c>
      <c r="BG361">
        <v>25.348500000000001</v>
      </c>
      <c r="BH361">
        <v>52.779600000000002</v>
      </c>
      <c r="BI361">
        <v>20.802900000000001</v>
      </c>
      <c r="BJ361">
        <v>31.165400000000002</v>
      </c>
      <c r="BK361">
        <v>0</v>
      </c>
      <c r="BL361">
        <v>35.512700000000002</v>
      </c>
      <c r="BM361">
        <v>55.881</v>
      </c>
      <c r="BN361">
        <v>7.2098199999999997</v>
      </c>
      <c r="BO361">
        <v>0.910416</v>
      </c>
      <c r="BP361">
        <v>0.48615700000000001</v>
      </c>
      <c r="BQ361">
        <v>33.770499999999998</v>
      </c>
      <c r="BR361">
        <v>77547</v>
      </c>
    </row>
    <row r="362" spans="1:70" x14ac:dyDescent="0.25">
      <c r="A362">
        <v>41</v>
      </c>
      <c r="B362" s="7">
        <v>45988.555</v>
      </c>
      <c r="C362" t="s">
        <v>156</v>
      </c>
      <c r="D362" s="6" t="s">
        <v>310</v>
      </c>
      <c r="E362" s="6" t="str">
        <f>VLOOKUP(F362,Germplasm!$A$1:$B$21,2,FALSE)</f>
        <v>Sunnita</v>
      </c>
      <c r="F362" t="s">
        <v>65</v>
      </c>
      <c r="G362" s="6" t="s">
        <v>113</v>
      </c>
      <c r="H362">
        <v>55497.7</v>
      </c>
      <c r="I362">
        <v>396.005</v>
      </c>
      <c r="J362">
        <v>153617</v>
      </c>
      <c r="K362">
        <v>20.0745</v>
      </c>
      <c r="L362">
        <v>79.608099999999993</v>
      </c>
      <c r="M362">
        <v>1469.49</v>
      </c>
      <c r="N362">
        <v>506.68099999999998</v>
      </c>
      <c r="O362">
        <v>32226100</v>
      </c>
      <c r="P362">
        <v>0.142321</v>
      </c>
      <c r="Q362">
        <v>1.0948500000000001</v>
      </c>
      <c r="R362">
        <v>14.2234</v>
      </c>
      <c r="S362">
        <v>36.143599999999999</v>
      </c>
      <c r="T362">
        <v>35.562899999999999</v>
      </c>
      <c r="U362">
        <v>12.4564</v>
      </c>
      <c r="V362">
        <v>0.51894899999999999</v>
      </c>
      <c r="W362">
        <v>75.975800000000007</v>
      </c>
      <c r="X362">
        <v>7.5075200000000004</v>
      </c>
      <c r="Y362">
        <v>19.9816</v>
      </c>
      <c r="Z362">
        <v>13.3523</v>
      </c>
      <c r="AA362">
        <v>30.1568</v>
      </c>
      <c r="AB362">
        <v>17.1069</v>
      </c>
      <c r="AC362">
        <v>11.8949</v>
      </c>
      <c r="AD362">
        <v>1.79966</v>
      </c>
      <c r="AE362">
        <v>9.4760200000000001</v>
      </c>
      <c r="AF362">
        <v>0</v>
      </c>
      <c r="AG362">
        <v>97.372399999999999</v>
      </c>
      <c r="AH362">
        <v>2.6196100000000002</v>
      </c>
      <c r="AI362">
        <v>8.0208499999999995E-3</v>
      </c>
      <c r="AJ362">
        <v>0</v>
      </c>
      <c r="AK362">
        <v>0</v>
      </c>
      <c r="AL362">
        <v>0.30213699999999999</v>
      </c>
      <c r="AM362">
        <v>4.0248600000000003</v>
      </c>
      <c r="AN362">
        <v>21.587299999999999</v>
      </c>
      <c r="AO362">
        <v>24.3537</v>
      </c>
      <c r="AP362">
        <v>24.6754</v>
      </c>
      <c r="AQ362">
        <v>20.312799999999999</v>
      </c>
      <c r="AR362">
        <v>5.0459199999999997</v>
      </c>
      <c r="AS362">
        <v>0.214255</v>
      </c>
      <c r="AT362">
        <v>1.1806700000000001</v>
      </c>
      <c r="AU362">
        <v>10.375</v>
      </c>
      <c r="AV362">
        <v>36.109900000000003</v>
      </c>
      <c r="AW362">
        <v>39.008600000000001</v>
      </c>
      <c r="AX362">
        <v>10.354100000000001</v>
      </c>
      <c r="AY362">
        <v>2.97173</v>
      </c>
      <c r="AZ362">
        <v>580.67499999999995</v>
      </c>
      <c r="BA362">
        <v>622.20100000000002</v>
      </c>
      <c r="BB362">
        <v>30837.9</v>
      </c>
      <c r="BC362">
        <v>0.18684999999999999</v>
      </c>
      <c r="BD362">
        <v>8.3416900000000002E-2</v>
      </c>
      <c r="BE362">
        <v>0.33928199999999997</v>
      </c>
      <c r="BF362">
        <v>1.00742</v>
      </c>
      <c r="BG362">
        <v>10.122299999999999</v>
      </c>
      <c r="BH362">
        <v>47.469799999999999</v>
      </c>
      <c r="BI362">
        <v>40.977699999999999</v>
      </c>
      <c r="BJ362">
        <v>32.165900000000001</v>
      </c>
      <c r="BK362">
        <v>0</v>
      </c>
      <c r="BL362">
        <v>33.434899999999999</v>
      </c>
      <c r="BM362">
        <v>56.326500000000003</v>
      </c>
      <c r="BN362">
        <v>8.0015999999999998</v>
      </c>
      <c r="BO362">
        <v>1.2769200000000001</v>
      </c>
      <c r="BP362">
        <v>0.96009599999999995</v>
      </c>
      <c r="BQ362">
        <v>33.797400000000003</v>
      </c>
      <c r="BR362">
        <v>124675</v>
      </c>
    </row>
    <row r="363" spans="1:70" x14ac:dyDescent="0.25">
      <c r="A363">
        <v>41</v>
      </c>
      <c r="B363" s="7">
        <v>45988.555497685185</v>
      </c>
      <c r="C363" t="s">
        <v>156</v>
      </c>
      <c r="D363" s="6" t="s">
        <v>311</v>
      </c>
      <c r="E363" s="6" t="str">
        <f>VLOOKUP(F363,Germplasm!$A$1:$B$21,2,FALSE)</f>
        <v>Sunnita</v>
      </c>
      <c r="F363" t="s">
        <v>65</v>
      </c>
      <c r="G363" s="6" t="s">
        <v>113</v>
      </c>
      <c r="H363">
        <v>54444.4</v>
      </c>
      <c r="I363">
        <v>395.125</v>
      </c>
      <c r="J363">
        <v>153454</v>
      </c>
      <c r="K363">
        <v>19.8</v>
      </c>
      <c r="L363">
        <v>79.600800000000007</v>
      </c>
      <c r="M363">
        <v>1468.8</v>
      </c>
      <c r="N363">
        <v>506.197</v>
      </c>
      <c r="O363">
        <v>31635300</v>
      </c>
      <c r="P363">
        <v>0.14121600000000001</v>
      </c>
      <c r="Q363">
        <v>1.10127</v>
      </c>
      <c r="R363">
        <v>14.2127</v>
      </c>
      <c r="S363">
        <v>36.339500000000001</v>
      </c>
      <c r="T363">
        <v>35.660800000000002</v>
      </c>
      <c r="U363">
        <v>12.186999999999999</v>
      </c>
      <c r="V363">
        <v>0.49873499999999998</v>
      </c>
      <c r="W363">
        <v>76.359700000000004</v>
      </c>
      <c r="X363">
        <v>7.5061600000000004</v>
      </c>
      <c r="Y363">
        <v>19.800999999999998</v>
      </c>
      <c r="Z363">
        <v>13.208</v>
      </c>
      <c r="AA363">
        <v>30.088699999999999</v>
      </c>
      <c r="AB363">
        <v>16.952100000000002</v>
      </c>
      <c r="AC363">
        <v>12.444000000000001</v>
      </c>
      <c r="AD363">
        <v>1.7918799999999999</v>
      </c>
      <c r="AE363">
        <v>9.5043500000000005</v>
      </c>
      <c r="AF363">
        <v>0</v>
      </c>
      <c r="AG363">
        <v>97.403300000000002</v>
      </c>
      <c r="AH363">
        <v>2.5869300000000002</v>
      </c>
      <c r="AI363">
        <v>9.7314099999999994E-3</v>
      </c>
      <c r="AJ363">
        <v>0</v>
      </c>
      <c r="AK363">
        <v>0</v>
      </c>
      <c r="AL363">
        <v>0.29957899999999998</v>
      </c>
      <c r="AM363">
        <v>4.3093899999999996</v>
      </c>
      <c r="AN363">
        <v>21.6524</v>
      </c>
      <c r="AO363">
        <v>24.385300000000001</v>
      </c>
      <c r="AP363">
        <v>24.5459</v>
      </c>
      <c r="AQ363">
        <v>20.2941</v>
      </c>
      <c r="AR363">
        <v>4.8129900000000001</v>
      </c>
      <c r="AS363">
        <v>0.211983</v>
      </c>
      <c r="AT363">
        <v>1.25535</v>
      </c>
      <c r="AU363">
        <v>10.933199999999999</v>
      </c>
      <c r="AV363">
        <v>36.026499999999999</v>
      </c>
      <c r="AW363">
        <v>38.545299999999997</v>
      </c>
      <c r="AX363">
        <v>10.224500000000001</v>
      </c>
      <c r="AY363">
        <v>3.01512</v>
      </c>
      <c r="AZ363">
        <v>581.05600000000004</v>
      </c>
      <c r="BA363">
        <v>624.6</v>
      </c>
      <c r="BB363">
        <v>30383.9</v>
      </c>
      <c r="BC363">
        <v>0.18582499999999999</v>
      </c>
      <c r="BD363">
        <v>9.3259400000000006E-2</v>
      </c>
      <c r="BE363">
        <v>0.33654499999999998</v>
      </c>
      <c r="BF363">
        <v>1.0485599999999999</v>
      </c>
      <c r="BG363">
        <v>10.707800000000001</v>
      </c>
      <c r="BH363">
        <v>47.088700000000003</v>
      </c>
      <c r="BI363">
        <v>40.725200000000001</v>
      </c>
      <c r="BJ363">
        <v>32.059199999999997</v>
      </c>
      <c r="BK363">
        <v>0</v>
      </c>
      <c r="BL363">
        <v>33.912399999999998</v>
      </c>
      <c r="BM363">
        <v>55.881</v>
      </c>
      <c r="BN363">
        <v>7.9116400000000002</v>
      </c>
      <c r="BO363">
        <v>1.2699499999999999</v>
      </c>
      <c r="BP363">
        <v>1.02504</v>
      </c>
      <c r="BQ363">
        <v>33.9636</v>
      </c>
      <c r="BR363">
        <v>123312</v>
      </c>
    </row>
    <row r="364" spans="1:70" x14ac:dyDescent="0.25">
      <c r="A364">
        <v>41</v>
      </c>
      <c r="B364" s="7">
        <v>45994.567141203705</v>
      </c>
      <c r="C364" t="s">
        <v>156</v>
      </c>
      <c r="D364" s="6" t="s">
        <v>312</v>
      </c>
      <c r="E364" s="6" t="str">
        <f>VLOOKUP(F364,Germplasm!$A$1:$B$21,2,FALSE)</f>
        <v>Sunnita</v>
      </c>
      <c r="F364" t="s">
        <v>65</v>
      </c>
      <c r="G364" s="6" t="s">
        <v>113</v>
      </c>
      <c r="H364">
        <v>52727.9</v>
      </c>
      <c r="I364">
        <v>438.36500000000001</v>
      </c>
      <c r="J364">
        <v>177573</v>
      </c>
      <c r="K364">
        <v>16.485099999999999</v>
      </c>
      <c r="L364">
        <v>72.413399999999996</v>
      </c>
      <c r="M364">
        <v>1550.23</v>
      </c>
      <c r="N364">
        <v>561.42999999999995</v>
      </c>
      <c r="O364">
        <v>30843900</v>
      </c>
      <c r="P364">
        <v>0.100484</v>
      </c>
      <c r="Q364">
        <v>1.2654799999999999</v>
      </c>
      <c r="R364">
        <v>20.5519</v>
      </c>
      <c r="S364">
        <v>44.035600000000002</v>
      </c>
      <c r="T364">
        <v>26.101900000000001</v>
      </c>
      <c r="U364">
        <v>7.76912</v>
      </c>
      <c r="V364">
        <v>0.27604299999999998</v>
      </c>
      <c r="W364">
        <v>62.627699999999997</v>
      </c>
      <c r="X364">
        <v>10.7898</v>
      </c>
      <c r="Y364">
        <v>30.8811</v>
      </c>
      <c r="Z364">
        <v>14.4756</v>
      </c>
      <c r="AA364">
        <v>21.165500000000002</v>
      </c>
      <c r="AB364">
        <v>11.1349</v>
      </c>
      <c r="AC364">
        <v>11.553100000000001</v>
      </c>
      <c r="AD364">
        <v>1.80124</v>
      </c>
      <c r="AE364">
        <v>10.6355</v>
      </c>
      <c r="AF364">
        <v>0</v>
      </c>
      <c r="AG364">
        <v>96.175299999999993</v>
      </c>
      <c r="AH364">
        <v>3.7423799999999998</v>
      </c>
      <c r="AI364">
        <v>7.9819699999999993E-2</v>
      </c>
      <c r="AJ364">
        <v>2.4943700000000001E-3</v>
      </c>
      <c r="AK364">
        <v>0</v>
      </c>
      <c r="AL364">
        <v>0.23619699999999999</v>
      </c>
      <c r="AM364">
        <v>7.5471199999999996</v>
      </c>
      <c r="AN364">
        <v>31.9695</v>
      </c>
      <c r="AO364">
        <v>24.646000000000001</v>
      </c>
      <c r="AP364">
        <v>19.486799999999999</v>
      </c>
      <c r="AQ364">
        <v>13.5785</v>
      </c>
      <c r="AR364">
        <v>2.7720699999999998</v>
      </c>
      <c r="AS364">
        <v>0.241842</v>
      </c>
      <c r="AT364">
        <v>1.1740200000000001</v>
      </c>
      <c r="AU364">
        <v>9.0902999999999992</v>
      </c>
      <c r="AV364">
        <v>29.718699999999998</v>
      </c>
      <c r="AW364">
        <v>42.168100000000003</v>
      </c>
      <c r="AX364">
        <v>14.789099999999999</v>
      </c>
      <c r="AY364">
        <v>3.0597599999999998</v>
      </c>
      <c r="AZ364">
        <v>584.96400000000006</v>
      </c>
      <c r="BA364">
        <v>619.79999999999995</v>
      </c>
      <c r="BB364">
        <v>29273.1</v>
      </c>
      <c r="BC364">
        <v>0.23862800000000001</v>
      </c>
      <c r="BD364">
        <v>8.73028E-2</v>
      </c>
      <c r="BE364">
        <v>0.37082900000000002</v>
      </c>
      <c r="BF364">
        <v>1.15822</v>
      </c>
      <c r="BG364">
        <v>8.6463099999999997</v>
      </c>
      <c r="BH364">
        <v>35.000100000000003</v>
      </c>
      <c r="BI364">
        <v>54.737200000000001</v>
      </c>
      <c r="BJ364">
        <v>31.994499999999999</v>
      </c>
      <c r="BK364">
        <v>0</v>
      </c>
      <c r="BL364">
        <v>34.015700000000002</v>
      </c>
      <c r="BM364">
        <v>56.219700000000003</v>
      </c>
      <c r="BN364">
        <v>7.7641299999999998</v>
      </c>
      <c r="BO364">
        <v>1.17235</v>
      </c>
      <c r="BP364">
        <v>0.82813000000000003</v>
      </c>
      <c r="BQ364">
        <v>33.762300000000003</v>
      </c>
      <c r="BR364">
        <v>120271</v>
      </c>
    </row>
    <row r="365" spans="1:70" x14ac:dyDescent="0.25">
      <c r="A365">
        <v>41</v>
      </c>
      <c r="B365" s="7">
        <v>46002.558958333335</v>
      </c>
      <c r="C365" t="s">
        <v>156</v>
      </c>
      <c r="D365" s="6" t="s">
        <v>313</v>
      </c>
      <c r="E365" s="6" t="str">
        <f>VLOOKUP(F365,Germplasm!$A$1:$B$21,2,FALSE)</f>
        <v>Sunnita</v>
      </c>
      <c r="F365" t="s">
        <v>65</v>
      </c>
      <c r="G365" s="6" t="s">
        <v>113</v>
      </c>
      <c r="H365">
        <v>37033.699999999997</v>
      </c>
      <c r="I365">
        <v>469.43700000000001</v>
      </c>
      <c r="J365">
        <v>112556</v>
      </c>
      <c r="K365">
        <v>17.784500000000001</v>
      </c>
      <c r="L365">
        <v>72.350899999999996</v>
      </c>
      <c r="M365">
        <v>1280.58</v>
      </c>
      <c r="N365">
        <v>494.80200000000002</v>
      </c>
      <c r="O365">
        <v>21329700</v>
      </c>
      <c r="P365">
        <v>3.92915E-2</v>
      </c>
      <c r="Q365">
        <v>1.6151899999999999</v>
      </c>
      <c r="R365">
        <v>31.819900000000001</v>
      </c>
      <c r="S365">
        <v>53.197499999999998</v>
      </c>
      <c r="T365">
        <v>11.1784</v>
      </c>
      <c r="U365">
        <v>2.0368400000000002</v>
      </c>
      <c r="V365">
        <v>0.15207200000000001</v>
      </c>
      <c r="W365">
        <v>42.716500000000003</v>
      </c>
      <c r="X365">
        <v>17.015899999999998</v>
      </c>
      <c r="Y365">
        <v>47.794400000000003</v>
      </c>
      <c r="Z365">
        <v>14.498699999999999</v>
      </c>
      <c r="AA365">
        <v>8.7764000000000006</v>
      </c>
      <c r="AB365">
        <v>3.3098700000000001</v>
      </c>
      <c r="AC365">
        <v>8.6047399999999996</v>
      </c>
      <c r="AD365">
        <v>1.85006</v>
      </c>
      <c r="AE365">
        <v>12.6248</v>
      </c>
      <c r="AF365">
        <v>0</v>
      </c>
      <c r="AG365">
        <v>94.432100000000005</v>
      </c>
      <c r="AH365">
        <v>5.51722</v>
      </c>
      <c r="AI365">
        <v>4.3778299999999999E-2</v>
      </c>
      <c r="AJ365">
        <v>6.9123600000000002E-3</v>
      </c>
      <c r="AK365">
        <v>0</v>
      </c>
      <c r="AL365">
        <v>0.139401</v>
      </c>
      <c r="AM365">
        <v>12.5459</v>
      </c>
      <c r="AN365">
        <v>49.485599999999998</v>
      </c>
      <c r="AO365">
        <v>24.558499999999999</v>
      </c>
      <c r="AP365">
        <v>9.2118800000000007</v>
      </c>
      <c r="AQ365">
        <v>3.0518100000000001</v>
      </c>
      <c r="AR365">
        <v>1.1463000000000001</v>
      </c>
      <c r="AS365">
        <v>0.28376699999999999</v>
      </c>
      <c r="AT365">
        <v>0.83063600000000004</v>
      </c>
      <c r="AU365">
        <v>5.2050099999999997</v>
      </c>
      <c r="AV365">
        <v>23.605699999999999</v>
      </c>
      <c r="AW365">
        <v>47.324300000000001</v>
      </c>
      <c r="AX365">
        <v>19.1219</v>
      </c>
      <c r="AY365">
        <v>3.9123999999999999</v>
      </c>
      <c r="AZ365">
        <v>575.95299999999997</v>
      </c>
      <c r="BA365">
        <v>607.19899999999996</v>
      </c>
      <c r="BB365">
        <v>20017.5</v>
      </c>
      <c r="BC365">
        <v>0.32324199999999997</v>
      </c>
      <c r="BD365">
        <v>9.5620999999999998E-2</v>
      </c>
      <c r="BE365">
        <v>0.28110299999999999</v>
      </c>
      <c r="BF365">
        <v>0.84330799999999995</v>
      </c>
      <c r="BG365">
        <v>4.8144600000000004</v>
      </c>
      <c r="BH365">
        <v>18.4664</v>
      </c>
      <c r="BI365">
        <v>75.499099999999999</v>
      </c>
      <c r="BJ365">
        <v>31.6782</v>
      </c>
      <c r="BK365">
        <v>0</v>
      </c>
      <c r="BL365">
        <v>35.489199999999997</v>
      </c>
      <c r="BM365">
        <v>54.61</v>
      </c>
      <c r="BN365">
        <v>7.7222600000000003</v>
      </c>
      <c r="BO365">
        <v>1.2718700000000001</v>
      </c>
      <c r="BP365">
        <v>0.90667200000000003</v>
      </c>
      <c r="BQ365">
        <v>32.747199999999999</v>
      </c>
      <c r="BR365">
        <v>86801</v>
      </c>
    </row>
    <row r="366" spans="1:70" x14ac:dyDescent="0.25">
      <c r="A366">
        <v>41</v>
      </c>
      <c r="B366" s="7">
        <v>46013.582731481481</v>
      </c>
      <c r="C366" t="s">
        <v>156</v>
      </c>
      <c r="D366" s="6" t="s">
        <v>314</v>
      </c>
      <c r="E366" s="6" t="str">
        <f>VLOOKUP(F366,Germplasm!$A$1:$B$21,2,FALSE)</f>
        <v>Sunnita</v>
      </c>
      <c r="F366" t="s">
        <v>65</v>
      </c>
      <c r="G366" s="6" t="s">
        <v>113</v>
      </c>
      <c r="H366">
        <v>34545.599999999999</v>
      </c>
      <c r="I366">
        <v>517.37800000000004</v>
      </c>
      <c r="J366">
        <v>104888</v>
      </c>
      <c r="K366">
        <v>17.1633</v>
      </c>
      <c r="L366">
        <v>76.335800000000006</v>
      </c>
      <c r="M366">
        <v>1276.1600000000001</v>
      </c>
      <c r="N366">
        <v>448.173</v>
      </c>
      <c r="O366">
        <v>20231800</v>
      </c>
      <c r="P366">
        <v>1.34936E-2</v>
      </c>
      <c r="Q366">
        <v>1.83873</v>
      </c>
      <c r="R366">
        <v>36.200200000000002</v>
      </c>
      <c r="S366">
        <v>57.479599999999998</v>
      </c>
      <c r="T366">
        <v>3.5713300000000001</v>
      </c>
      <c r="U366">
        <v>0.81854099999999996</v>
      </c>
      <c r="V366">
        <v>9.1538599999999998E-2</v>
      </c>
      <c r="W366">
        <v>36.993899999999996</v>
      </c>
      <c r="X366">
        <v>19.180700000000002</v>
      </c>
      <c r="Y366">
        <v>53.750399999999999</v>
      </c>
      <c r="Z366">
        <v>11.5007</v>
      </c>
      <c r="AA366">
        <v>4.30497</v>
      </c>
      <c r="AB366">
        <v>1.71933</v>
      </c>
      <c r="AC366">
        <v>9.5439000000000007</v>
      </c>
      <c r="AD366">
        <v>1.9189700000000001</v>
      </c>
      <c r="AE366">
        <v>14.756600000000001</v>
      </c>
      <c r="AF366">
        <v>0</v>
      </c>
      <c r="AG366">
        <v>89.467799999999997</v>
      </c>
      <c r="AH366">
        <v>10.505699999999999</v>
      </c>
      <c r="AI366">
        <v>2.6532900000000002E-2</v>
      </c>
      <c r="AJ366">
        <v>0</v>
      </c>
      <c r="AK366">
        <v>0</v>
      </c>
      <c r="AL366">
        <v>0.10614999999999999</v>
      </c>
      <c r="AM366">
        <v>14.0585</v>
      </c>
      <c r="AN366">
        <v>58.990699999999997</v>
      </c>
      <c r="AO366">
        <v>20.224699999999999</v>
      </c>
      <c r="AP366">
        <v>4.4800899999999997</v>
      </c>
      <c r="AQ366">
        <v>1.55616</v>
      </c>
      <c r="AR366">
        <v>0.68985600000000002</v>
      </c>
      <c r="AS366">
        <v>0.26448500000000003</v>
      </c>
      <c r="AT366">
        <v>1.1104000000000001</v>
      </c>
      <c r="AU366">
        <v>5.2946499999999999</v>
      </c>
      <c r="AV366">
        <v>27.413799999999998</v>
      </c>
      <c r="AW366">
        <v>48.68</v>
      </c>
      <c r="AX366">
        <v>13.778600000000001</v>
      </c>
      <c r="AY366">
        <v>3.7225700000000002</v>
      </c>
      <c r="AZ366">
        <v>585.654</v>
      </c>
      <c r="BA366">
        <v>618</v>
      </c>
      <c r="BB366">
        <v>18002.2</v>
      </c>
      <c r="BC366">
        <v>0.31798799999999999</v>
      </c>
      <c r="BD366">
        <v>0.153891</v>
      </c>
      <c r="BE366">
        <v>0.56647800000000004</v>
      </c>
      <c r="BF366">
        <v>1.16612</v>
      </c>
      <c r="BG366">
        <v>4.5172299999999996</v>
      </c>
      <c r="BH366">
        <v>15.4992</v>
      </c>
      <c r="BI366">
        <v>78.097099999999998</v>
      </c>
      <c r="BJ366">
        <v>29.084299999999999</v>
      </c>
      <c r="BK366">
        <v>0</v>
      </c>
      <c r="BL366">
        <v>43.803199999999997</v>
      </c>
      <c r="BM366">
        <v>48.706499999999998</v>
      </c>
      <c r="BN366">
        <v>5.1115700000000004</v>
      </c>
      <c r="BO366">
        <v>1.3372599999999999</v>
      </c>
      <c r="BP366">
        <v>1.04142</v>
      </c>
      <c r="BQ366">
        <v>31.430299999999999</v>
      </c>
      <c r="BR366">
        <v>75378</v>
      </c>
    </row>
    <row r="367" spans="1:70" x14ac:dyDescent="0.25">
      <c r="A367">
        <v>41</v>
      </c>
      <c r="B367" s="7">
        <v>46024.520729166667</v>
      </c>
      <c r="C367" t="s">
        <v>156</v>
      </c>
      <c r="D367" s="6" t="s">
        <v>315</v>
      </c>
      <c r="E367" s="6" t="str">
        <f>VLOOKUP(F367,Germplasm!$A$1:$B$21,2,FALSE)</f>
        <v>Sunnita</v>
      </c>
      <c r="F367" t="s">
        <v>65</v>
      </c>
      <c r="G367" s="6" t="s">
        <v>113</v>
      </c>
      <c r="H367">
        <v>36018.6</v>
      </c>
      <c r="I367">
        <v>436.245</v>
      </c>
      <c r="J367">
        <v>123295</v>
      </c>
      <c r="K367">
        <v>16.294499999999999</v>
      </c>
      <c r="L367">
        <v>85.307699999999997</v>
      </c>
      <c r="M367">
        <v>1351.74</v>
      </c>
      <c r="N367">
        <v>468.61500000000001</v>
      </c>
      <c r="O367">
        <v>17905700</v>
      </c>
      <c r="P367">
        <v>5.2384900000000002E-3</v>
      </c>
      <c r="Q367">
        <v>1.5632200000000001</v>
      </c>
      <c r="R367">
        <v>38.724299999999999</v>
      </c>
      <c r="S367">
        <v>58.037599999999998</v>
      </c>
      <c r="T367">
        <v>1.39279</v>
      </c>
      <c r="U367">
        <v>0.23389499999999999</v>
      </c>
      <c r="V367">
        <v>4.81894E-2</v>
      </c>
      <c r="W367">
        <v>34.677599999999998</v>
      </c>
      <c r="X367">
        <v>20.729700000000001</v>
      </c>
      <c r="Y367">
        <v>56.457999999999998</v>
      </c>
      <c r="Z367">
        <v>9.8694199999999999</v>
      </c>
      <c r="AA367">
        <v>2.83847</v>
      </c>
      <c r="AB367">
        <v>1.21766</v>
      </c>
      <c r="AC367">
        <v>8.8868299999999998</v>
      </c>
      <c r="AD367">
        <v>1.7928299999999999</v>
      </c>
      <c r="AE367">
        <v>16.614999999999998</v>
      </c>
      <c r="AF367">
        <v>0</v>
      </c>
      <c r="AG367">
        <v>85.080100000000002</v>
      </c>
      <c r="AH367">
        <v>14.6225</v>
      </c>
      <c r="AI367">
        <v>0.28443499999999999</v>
      </c>
      <c r="AJ367">
        <v>1.29289E-2</v>
      </c>
      <c r="AK367">
        <v>0</v>
      </c>
      <c r="AL367">
        <v>9.7182699999999997E-2</v>
      </c>
      <c r="AM367">
        <v>15.6639</v>
      </c>
      <c r="AN367">
        <v>60.261400000000002</v>
      </c>
      <c r="AO367">
        <v>18.066299999999998</v>
      </c>
      <c r="AP367">
        <v>4.1689699999999998</v>
      </c>
      <c r="AQ367">
        <v>1.3210900000000001</v>
      </c>
      <c r="AR367">
        <v>0.51832999999999996</v>
      </c>
      <c r="AS367">
        <v>0.24853</v>
      </c>
      <c r="AT367">
        <v>0.80864100000000005</v>
      </c>
      <c r="AU367">
        <v>4.7883800000000001</v>
      </c>
      <c r="AV367">
        <v>31.720400000000001</v>
      </c>
      <c r="AW367">
        <v>50.095799999999997</v>
      </c>
      <c r="AX367">
        <v>9.5579499999999999</v>
      </c>
      <c r="AY367">
        <v>3.02888</v>
      </c>
      <c r="AZ367">
        <v>497.12299999999999</v>
      </c>
      <c r="BA367">
        <v>568.20000000000005</v>
      </c>
      <c r="BB367">
        <v>20090.3</v>
      </c>
      <c r="BC367">
        <v>0.30909900000000001</v>
      </c>
      <c r="BD367">
        <v>0.114009</v>
      </c>
      <c r="BE367">
        <v>0.383164</v>
      </c>
      <c r="BF367">
        <v>0.90854599999999996</v>
      </c>
      <c r="BG367">
        <v>4.1913</v>
      </c>
      <c r="BH367">
        <v>15.9366</v>
      </c>
      <c r="BI367">
        <v>78.466399999999993</v>
      </c>
      <c r="BJ367">
        <v>26.825900000000001</v>
      </c>
      <c r="BK367">
        <v>0</v>
      </c>
      <c r="BL367">
        <v>50.019399999999997</v>
      </c>
      <c r="BM367">
        <v>44.529299999999999</v>
      </c>
      <c r="BN367">
        <v>3.57307</v>
      </c>
      <c r="BO367">
        <v>1.08602</v>
      </c>
      <c r="BP367">
        <v>0.79218599999999995</v>
      </c>
      <c r="BQ367">
        <v>33.932299999999998</v>
      </c>
      <c r="BR367">
        <v>85081</v>
      </c>
    </row>
    <row r="368" spans="1:70" x14ac:dyDescent="0.25">
      <c r="A368">
        <v>41</v>
      </c>
      <c r="B368" s="7">
        <v>45952.566250000003</v>
      </c>
      <c r="C368" t="s">
        <v>154</v>
      </c>
      <c r="D368" s="6" t="s">
        <v>306</v>
      </c>
      <c r="E368" s="6" t="str">
        <f>VLOOKUP(F368,Germplasm!$A$1:$B$21,2,FALSE)</f>
        <v>Tore</v>
      </c>
      <c r="F368" t="s">
        <v>72</v>
      </c>
      <c r="G368" s="6" t="s">
        <v>113</v>
      </c>
      <c r="H368">
        <v>26035.200000000001</v>
      </c>
      <c r="I368">
        <v>236.62100000000001</v>
      </c>
      <c r="J368">
        <v>69897.399999999994</v>
      </c>
      <c r="K368">
        <v>21.828399999999998</v>
      </c>
      <c r="L368">
        <v>63.468400000000003</v>
      </c>
      <c r="M368">
        <v>1031.3</v>
      </c>
      <c r="N368">
        <v>391.36399999999998</v>
      </c>
      <c r="O368">
        <v>6488270</v>
      </c>
      <c r="P368">
        <v>0.28303699999999998</v>
      </c>
      <c r="Q368">
        <v>0.336926</v>
      </c>
      <c r="R368">
        <v>2.0981299999999998</v>
      </c>
      <c r="S368">
        <v>10.8965</v>
      </c>
      <c r="T368">
        <v>40.032899999999998</v>
      </c>
      <c r="U368">
        <v>46.126300000000001</v>
      </c>
      <c r="V368">
        <v>0.50921799999999995</v>
      </c>
      <c r="W368">
        <v>109.801</v>
      </c>
      <c r="X368">
        <v>0.69491000000000003</v>
      </c>
      <c r="Y368">
        <v>1.42428</v>
      </c>
      <c r="Z368">
        <v>4.3838699999999999</v>
      </c>
      <c r="AA368">
        <v>25.012899999999998</v>
      </c>
      <c r="AB368">
        <v>44.259799999999998</v>
      </c>
      <c r="AC368">
        <v>24.2242</v>
      </c>
      <c r="AD368">
        <v>1.7063900000000001</v>
      </c>
      <c r="AE368">
        <v>7.4572700000000003</v>
      </c>
      <c r="AF368">
        <v>0</v>
      </c>
      <c r="AG368">
        <v>99.561599999999999</v>
      </c>
      <c r="AH368">
        <v>0.43647200000000003</v>
      </c>
      <c r="AI368">
        <v>1.91435E-3</v>
      </c>
      <c r="AJ368">
        <v>0</v>
      </c>
      <c r="AK368">
        <v>0</v>
      </c>
      <c r="AL368">
        <v>0.54519600000000001</v>
      </c>
      <c r="AM368">
        <v>0.35798400000000002</v>
      </c>
      <c r="AN368">
        <v>1.8990400000000001</v>
      </c>
      <c r="AO368">
        <v>4.5772199999999996</v>
      </c>
      <c r="AP368">
        <v>12.2653</v>
      </c>
      <c r="AQ368">
        <v>41.018799999999999</v>
      </c>
      <c r="AR368">
        <v>39.881700000000002</v>
      </c>
      <c r="AS368">
        <v>9.2965599999999995E-2</v>
      </c>
      <c r="AT368">
        <v>5.0596300000000003</v>
      </c>
      <c r="AU368">
        <v>24.913399999999999</v>
      </c>
      <c r="AV368">
        <v>44.102800000000002</v>
      </c>
      <c r="AW368">
        <v>20.6023</v>
      </c>
      <c r="AX368">
        <v>3.9665400000000002</v>
      </c>
      <c r="AY368">
        <v>1.3553599999999999</v>
      </c>
      <c r="AZ368">
        <v>249.21100000000001</v>
      </c>
      <c r="BA368">
        <v>252.59899999999999</v>
      </c>
      <c r="BB368">
        <v>15257.5</v>
      </c>
      <c r="BC368">
        <v>4.4635399999999999E-2</v>
      </c>
      <c r="BD368">
        <v>2.6800899999999999E-2</v>
      </c>
      <c r="BE368">
        <v>0.22780800000000001</v>
      </c>
      <c r="BF368">
        <v>1.61954</v>
      </c>
      <c r="BG368">
        <v>28.0989</v>
      </c>
      <c r="BH368">
        <v>63.529699999999998</v>
      </c>
      <c r="BI368">
        <v>6.4973099999999997</v>
      </c>
      <c r="BJ368">
        <v>37.0625</v>
      </c>
      <c r="BK368">
        <v>0</v>
      </c>
      <c r="BL368">
        <v>19.250699999999998</v>
      </c>
      <c r="BM368">
        <v>64.636200000000002</v>
      </c>
      <c r="BN368">
        <v>14.8535</v>
      </c>
      <c r="BO368">
        <v>1.07969</v>
      </c>
      <c r="BP368">
        <v>0.179949</v>
      </c>
      <c r="BQ368">
        <v>35.896599999999999</v>
      </c>
      <c r="BR368">
        <v>52237</v>
      </c>
    </row>
    <row r="369" spans="1:70" x14ac:dyDescent="0.25">
      <c r="A369">
        <v>41</v>
      </c>
      <c r="B369" s="7">
        <v>45959.531446759262</v>
      </c>
      <c r="C369" t="s">
        <v>154</v>
      </c>
      <c r="D369" s="6" t="s">
        <v>307</v>
      </c>
      <c r="E369" s="6" t="str">
        <f>VLOOKUP(F369,Germplasm!$A$1:$B$21,2,FALSE)</f>
        <v>Tore</v>
      </c>
      <c r="F369" t="s">
        <v>72</v>
      </c>
      <c r="G369" s="6" t="s">
        <v>113</v>
      </c>
      <c r="H369">
        <v>0</v>
      </c>
      <c r="J369">
        <v>0</v>
      </c>
      <c r="M369">
        <v>0</v>
      </c>
      <c r="N369">
        <v>0</v>
      </c>
      <c r="O369">
        <v>0</v>
      </c>
      <c r="AZ369">
        <v>0</v>
      </c>
      <c r="BA369">
        <v>0</v>
      </c>
      <c r="BB369">
        <v>0</v>
      </c>
      <c r="BR369">
        <v>0</v>
      </c>
    </row>
    <row r="370" spans="1:70" x14ac:dyDescent="0.25">
      <c r="A370">
        <v>41</v>
      </c>
      <c r="B370" s="7">
        <v>45966.547534722224</v>
      </c>
      <c r="C370" t="s">
        <v>154</v>
      </c>
      <c r="D370" s="6" t="s">
        <v>308</v>
      </c>
      <c r="E370" s="6" t="str">
        <f>VLOOKUP(F370,Germplasm!$A$1:$B$21,2,FALSE)</f>
        <v>Tore</v>
      </c>
      <c r="F370" t="s">
        <v>72</v>
      </c>
      <c r="G370" s="6" t="s">
        <v>113</v>
      </c>
      <c r="H370">
        <v>34335.699999999997</v>
      </c>
      <c r="I370">
        <v>452.505</v>
      </c>
      <c r="J370">
        <v>105075</v>
      </c>
      <c r="K370">
        <v>20.545200000000001</v>
      </c>
      <c r="L370">
        <v>71.056600000000003</v>
      </c>
      <c r="M370">
        <v>1232.3</v>
      </c>
      <c r="N370">
        <v>472.74299999999999</v>
      </c>
      <c r="O370">
        <v>18745300</v>
      </c>
      <c r="P370">
        <v>0.28205400000000003</v>
      </c>
      <c r="Q370">
        <v>0.22372300000000001</v>
      </c>
      <c r="R370">
        <v>1.62232</v>
      </c>
      <c r="S370">
        <v>11.084300000000001</v>
      </c>
      <c r="T370">
        <v>41.871000000000002</v>
      </c>
      <c r="U370">
        <v>44.181899999999999</v>
      </c>
      <c r="V370">
        <v>1.0167999999999999</v>
      </c>
      <c r="W370">
        <v>115.218</v>
      </c>
      <c r="X370">
        <v>0.62829900000000005</v>
      </c>
      <c r="Y370">
        <v>1.6129500000000001</v>
      </c>
      <c r="Z370">
        <v>2.8869600000000002</v>
      </c>
      <c r="AA370">
        <v>15.860200000000001</v>
      </c>
      <c r="AB370">
        <v>47.648899999999998</v>
      </c>
      <c r="AC370">
        <v>31.3627</v>
      </c>
      <c r="AD370">
        <v>1.5905100000000001</v>
      </c>
      <c r="AE370">
        <v>6.2388899999999996</v>
      </c>
      <c r="AF370">
        <v>0</v>
      </c>
      <c r="AG370">
        <v>99.721400000000003</v>
      </c>
      <c r="AH370">
        <v>0.27864899999999998</v>
      </c>
      <c r="AI370">
        <v>0</v>
      </c>
      <c r="AJ370">
        <v>0</v>
      </c>
      <c r="AK370">
        <v>0</v>
      </c>
      <c r="AL370">
        <v>0.57541399999999998</v>
      </c>
      <c r="AM370">
        <v>0.15406</v>
      </c>
      <c r="AN370">
        <v>1.8607800000000001</v>
      </c>
      <c r="AO370">
        <v>3.16025</v>
      </c>
      <c r="AP370">
        <v>8.2737200000000009</v>
      </c>
      <c r="AQ370">
        <v>36.210900000000002</v>
      </c>
      <c r="AR370">
        <v>50.340299999999999</v>
      </c>
      <c r="AS370">
        <v>6.42736E-2</v>
      </c>
      <c r="AT370">
        <v>3.95601</v>
      </c>
      <c r="AU370">
        <v>35.013300000000001</v>
      </c>
      <c r="AV370">
        <v>43.526800000000001</v>
      </c>
      <c r="AW370">
        <v>12.2753</v>
      </c>
      <c r="AX370">
        <v>3.1589100000000001</v>
      </c>
      <c r="AY370">
        <v>2.0697700000000001</v>
      </c>
      <c r="AZ370">
        <v>545.94200000000001</v>
      </c>
      <c r="BA370">
        <v>609.59900000000005</v>
      </c>
      <c r="BB370">
        <v>21587.9</v>
      </c>
      <c r="BC370">
        <v>2.6297000000000001E-2</v>
      </c>
      <c r="BD370">
        <v>1.74155E-2</v>
      </c>
      <c r="BE370">
        <v>9.6455299999999994E-2</v>
      </c>
      <c r="BF370">
        <v>1.1641600000000001</v>
      </c>
      <c r="BG370">
        <v>37.689900000000002</v>
      </c>
      <c r="BH370">
        <v>56.309800000000003</v>
      </c>
      <c r="BI370">
        <v>4.7222900000000001</v>
      </c>
      <c r="BJ370">
        <v>35.864100000000001</v>
      </c>
      <c r="BK370">
        <v>0</v>
      </c>
      <c r="BL370">
        <v>21.075500000000002</v>
      </c>
      <c r="BM370">
        <v>66.0946</v>
      </c>
      <c r="BN370">
        <v>10.6744</v>
      </c>
      <c r="BO370">
        <v>1.35975</v>
      </c>
      <c r="BP370">
        <v>0.79575600000000002</v>
      </c>
      <c r="BQ370">
        <v>38.996699999999997</v>
      </c>
      <c r="BR370">
        <v>74646</v>
      </c>
    </row>
    <row r="371" spans="1:70" x14ac:dyDescent="0.25">
      <c r="A371">
        <v>41</v>
      </c>
      <c r="B371" s="7">
        <v>45973.56113425926</v>
      </c>
      <c r="C371" t="s">
        <v>154</v>
      </c>
      <c r="D371" s="6" t="s">
        <v>309</v>
      </c>
      <c r="E371" s="6" t="str">
        <f>VLOOKUP(F371,Germplasm!$A$1:$B$21,2,FALSE)</f>
        <v>Tore</v>
      </c>
      <c r="F371" t="s">
        <v>72</v>
      </c>
      <c r="G371" s="6" t="s">
        <v>113</v>
      </c>
      <c r="H371">
        <v>44351.6</v>
      </c>
      <c r="I371">
        <v>476.38799999999998</v>
      </c>
      <c r="J371">
        <v>163125</v>
      </c>
      <c r="K371">
        <v>16.880800000000001</v>
      </c>
      <c r="L371">
        <v>73.232600000000005</v>
      </c>
      <c r="M371">
        <v>1515.89</v>
      </c>
      <c r="N371">
        <v>538.57500000000005</v>
      </c>
      <c r="O371">
        <v>25660800</v>
      </c>
      <c r="P371">
        <v>0.25400499999999998</v>
      </c>
      <c r="Q371">
        <v>0.25140800000000002</v>
      </c>
      <c r="R371">
        <v>2.5808499999999999</v>
      </c>
      <c r="S371">
        <v>14.6151</v>
      </c>
      <c r="T371">
        <v>47.027999999999999</v>
      </c>
      <c r="U371">
        <v>35.030299999999997</v>
      </c>
      <c r="V371">
        <v>0.49447099999999999</v>
      </c>
      <c r="W371">
        <v>114.878</v>
      </c>
      <c r="X371">
        <v>1.40204</v>
      </c>
      <c r="Y371">
        <v>2.1041099999999999</v>
      </c>
      <c r="Z371">
        <v>2.9782999999999999</v>
      </c>
      <c r="AA371">
        <v>16.3979</v>
      </c>
      <c r="AB371">
        <v>43.947400000000002</v>
      </c>
      <c r="AC371">
        <v>33.170200000000001</v>
      </c>
      <c r="AD371">
        <v>1.61063</v>
      </c>
      <c r="AE371">
        <v>6.4961399999999996</v>
      </c>
      <c r="AF371">
        <v>0</v>
      </c>
      <c r="AG371">
        <v>99.875900000000001</v>
      </c>
      <c r="AH371">
        <v>0.124139</v>
      </c>
      <c r="AI371">
        <v>0</v>
      </c>
      <c r="AJ371">
        <v>0</v>
      </c>
      <c r="AK371">
        <v>0</v>
      </c>
      <c r="AL371">
        <v>0.54531200000000002</v>
      </c>
      <c r="AM371">
        <v>0.43187999999999999</v>
      </c>
      <c r="AN371">
        <v>2.7279399999999998</v>
      </c>
      <c r="AO371">
        <v>4.53057</v>
      </c>
      <c r="AP371">
        <v>11.4573</v>
      </c>
      <c r="AQ371">
        <v>39.164400000000001</v>
      </c>
      <c r="AR371">
        <v>41.687899999999999</v>
      </c>
      <c r="AS371">
        <v>5.2554499999999997E-2</v>
      </c>
      <c r="AT371">
        <v>3.0367199999999999</v>
      </c>
      <c r="AU371">
        <v>37.517200000000003</v>
      </c>
      <c r="AV371">
        <v>43.755499999999998</v>
      </c>
      <c r="AW371">
        <v>12.301299999999999</v>
      </c>
      <c r="AX371">
        <v>2.4212400000000001</v>
      </c>
      <c r="AY371">
        <v>0.96807799999999999</v>
      </c>
      <c r="AZ371">
        <v>578.57500000000005</v>
      </c>
      <c r="BA371">
        <v>603.59900000000005</v>
      </c>
      <c r="BB371">
        <v>27536.799999999999</v>
      </c>
      <c r="BC371">
        <v>2.7246599999999999E-2</v>
      </c>
      <c r="BD371">
        <v>8.3455000000000005E-3</v>
      </c>
      <c r="BE371">
        <v>7.1980000000000002E-2</v>
      </c>
      <c r="BF371">
        <v>1.03484</v>
      </c>
      <c r="BG371">
        <v>39.438800000000001</v>
      </c>
      <c r="BH371">
        <v>53.736699999999999</v>
      </c>
      <c r="BI371">
        <v>5.7093699999999998</v>
      </c>
      <c r="BJ371">
        <v>32.589300000000001</v>
      </c>
      <c r="BK371">
        <v>0</v>
      </c>
      <c r="BL371">
        <v>27.904199999999999</v>
      </c>
      <c r="BM371">
        <v>63.822200000000002</v>
      </c>
      <c r="BN371">
        <v>7.2783199999999999</v>
      </c>
      <c r="BO371">
        <v>0.656165</v>
      </c>
      <c r="BP371">
        <v>0.339036</v>
      </c>
      <c r="BQ371">
        <v>38.426600000000001</v>
      </c>
      <c r="BR371">
        <v>95860</v>
      </c>
    </row>
    <row r="372" spans="1:70" x14ac:dyDescent="0.25">
      <c r="A372">
        <v>41</v>
      </c>
      <c r="B372" s="7">
        <v>45988.555</v>
      </c>
      <c r="C372" t="s">
        <v>154</v>
      </c>
      <c r="D372" s="6" t="s">
        <v>310</v>
      </c>
      <c r="E372" s="6" t="str">
        <f>VLOOKUP(F372,Germplasm!$A$1:$B$21,2,FALSE)</f>
        <v>Tore</v>
      </c>
      <c r="F372" t="s">
        <v>72</v>
      </c>
      <c r="G372" s="6" t="s">
        <v>113</v>
      </c>
      <c r="H372">
        <v>61257.3</v>
      </c>
      <c r="I372">
        <v>432.78</v>
      </c>
      <c r="J372">
        <v>136160</v>
      </c>
      <c r="K372">
        <v>25.950600000000001</v>
      </c>
      <c r="L372">
        <v>85.197800000000001</v>
      </c>
      <c r="M372">
        <v>1376.27</v>
      </c>
      <c r="N372">
        <v>480.43200000000002</v>
      </c>
      <c r="O372">
        <v>34874000</v>
      </c>
      <c r="P372">
        <v>0.18629100000000001</v>
      </c>
      <c r="Q372">
        <v>0.66363000000000005</v>
      </c>
      <c r="R372">
        <v>9.3422800000000006</v>
      </c>
      <c r="S372">
        <v>26.022099999999998</v>
      </c>
      <c r="T372">
        <v>44.642200000000003</v>
      </c>
      <c r="U372">
        <v>18.8566</v>
      </c>
      <c r="V372">
        <v>0.47314400000000001</v>
      </c>
      <c r="W372">
        <v>89.044600000000003</v>
      </c>
      <c r="X372">
        <v>5.7030700000000003</v>
      </c>
      <c r="Y372">
        <v>13.1059</v>
      </c>
      <c r="Z372">
        <v>10.561999999999999</v>
      </c>
      <c r="AA372">
        <v>27.069800000000001</v>
      </c>
      <c r="AB372">
        <v>28.046800000000001</v>
      </c>
      <c r="AC372">
        <v>15.5124</v>
      </c>
      <c r="AD372">
        <v>1.7336499999999999</v>
      </c>
      <c r="AE372">
        <v>8.7673900000000007</v>
      </c>
      <c r="AF372">
        <v>0</v>
      </c>
      <c r="AG372">
        <v>98.399299999999997</v>
      </c>
      <c r="AH372">
        <v>1.6007</v>
      </c>
      <c r="AI372">
        <v>0</v>
      </c>
      <c r="AJ372">
        <v>0</v>
      </c>
      <c r="AK372">
        <v>0</v>
      </c>
      <c r="AL372">
        <v>0.37765300000000002</v>
      </c>
      <c r="AM372">
        <v>2.9609899999999998</v>
      </c>
      <c r="AN372">
        <v>16.326499999999999</v>
      </c>
      <c r="AO372">
        <v>12.952299999999999</v>
      </c>
      <c r="AP372">
        <v>22.8492</v>
      </c>
      <c r="AQ372">
        <v>34.096299999999999</v>
      </c>
      <c r="AR372">
        <v>10.8147</v>
      </c>
      <c r="AS372">
        <v>0.18357200000000001</v>
      </c>
      <c r="AT372">
        <v>1.08531</v>
      </c>
      <c r="AU372">
        <v>16.831900000000001</v>
      </c>
      <c r="AV372">
        <v>38.466700000000003</v>
      </c>
      <c r="AW372">
        <v>29.825700000000001</v>
      </c>
      <c r="AX372">
        <v>11.2011</v>
      </c>
      <c r="AY372">
        <v>2.5892300000000001</v>
      </c>
      <c r="AZ372">
        <v>569.30399999999997</v>
      </c>
      <c r="BA372">
        <v>608.70100000000002</v>
      </c>
      <c r="BB372">
        <v>35334.300000000003</v>
      </c>
      <c r="BC372">
        <v>0.153478</v>
      </c>
      <c r="BD372">
        <v>2.3042699999999999E-2</v>
      </c>
      <c r="BE372">
        <v>0.15208199999999999</v>
      </c>
      <c r="BF372">
        <v>0.76655399999999996</v>
      </c>
      <c r="BG372">
        <v>16.973299999999998</v>
      </c>
      <c r="BH372">
        <v>50.335299999999997</v>
      </c>
      <c r="BI372">
        <v>31.7498</v>
      </c>
      <c r="BJ372">
        <v>33.567799999999998</v>
      </c>
      <c r="BK372">
        <v>0</v>
      </c>
      <c r="BL372">
        <v>28.5776</v>
      </c>
      <c r="BM372">
        <v>60.2498</v>
      </c>
      <c r="BN372">
        <v>9.2309099999999997</v>
      </c>
      <c r="BO372">
        <v>1.2612000000000001</v>
      </c>
      <c r="BP372">
        <v>0.68052800000000002</v>
      </c>
      <c r="BQ372">
        <v>35.2742</v>
      </c>
      <c r="BR372">
        <v>130193</v>
      </c>
    </row>
    <row r="373" spans="1:70" x14ac:dyDescent="0.25">
      <c r="A373">
        <v>41</v>
      </c>
      <c r="B373" s="7">
        <v>45988.555497685185</v>
      </c>
      <c r="C373" t="s">
        <v>154</v>
      </c>
      <c r="D373" s="6" t="s">
        <v>311</v>
      </c>
      <c r="E373" s="6" t="str">
        <f>VLOOKUP(F373,Germplasm!$A$1:$B$21,2,FALSE)</f>
        <v>Tore</v>
      </c>
      <c r="F373" t="s">
        <v>72</v>
      </c>
      <c r="G373" s="6" t="s">
        <v>113</v>
      </c>
      <c r="H373">
        <v>60447.3</v>
      </c>
      <c r="I373">
        <v>431.04300000000001</v>
      </c>
      <c r="J373">
        <v>136334</v>
      </c>
      <c r="K373">
        <v>25.7684</v>
      </c>
      <c r="L373">
        <v>85.012500000000003</v>
      </c>
      <c r="M373">
        <v>1377.94</v>
      </c>
      <c r="N373">
        <v>481.54700000000003</v>
      </c>
      <c r="O373">
        <v>34403000</v>
      </c>
      <c r="P373">
        <v>0.18640000000000001</v>
      </c>
      <c r="Q373">
        <v>0.76355300000000004</v>
      </c>
      <c r="R373">
        <v>9.4560200000000005</v>
      </c>
      <c r="S373">
        <v>25.606400000000001</v>
      </c>
      <c r="T373">
        <v>44.727699999999999</v>
      </c>
      <c r="U373">
        <v>18.915099999999999</v>
      </c>
      <c r="V373">
        <v>0.53116799999999997</v>
      </c>
      <c r="W373">
        <v>88.995400000000004</v>
      </c>
      <c r="X373">
        <v>5.8096399999999999</v>
      </c>
      <c r="Y373">
        <v>13.0314</v>
      </c>
      <c r="Z373">
        <v>10.531499999999999</v>
      </c>
      <c r="AA373">
        <v>27.031600000000001</v>
      </c>
      <c r="AB373">
        <v>28.0276</v>
      </c>
      <c r="AC373">
        <v>15.568300000000001</v>
      </c>
      <c r="AD373">
        <v>1.72062</v>
      </c>
      <c r="AE373">
        <v>8.7406400000000009</v>
      </c>
      <c r="AF373">
        <v>0</v>
      </c>
      <c r="AG373">
        <v>98.424999999999997</v>
      </c>
      <c r="AH373">
        <v>1.57497</v>
      </c>
      <c r="AI373">
        <v>0</v>
      </c>
      <c r="AJ373">
        <v>0</v>
      </c>
      <c r="AK373">
        <v>0</v>
      </c>
      <c r="AL373">
        <v>0.37832199999999999</v>
      </c>
      <c r="AM373">
        <v>2.9600200000000001</v>
      </c>
      <c r="AN373">
        <v>16.192900000000002</v>
      </c>
      <c r="AO373">
        <v>13.0244</v>
      </c>
      <c r="AP373">
        <v>22.866499999999998</v>
      </c>
      <c r="AQ373">
        <v>34.076599999999999</v>
      </c>
      <c r="AR373">
        <v>10.8797</v>
      </c>
      <c r="AS373">
        <v>0.18423600000000001</v>
      </c>
      <c r="AT373">
        <v>1.15652</v>
      </c>
      <c r="AU373">
        <v>16.6646</v>
      </c>
      <c r="AV373">
        <v>38.277299999999997</v>
      </c>
      <c r="AW373">
        <v>30.0488</v>
      </c>
      <c r="AX373">
        <v>11.198499999999999</v>
      </c>
      <c r="AY373">
        <v>2.65429</v>
      </c>
      <c r="AZ373">
        <v>569.14</v>
      </c>
      <c r="BA373">
        <v>609</v>
      </c>
      <c r="BB373">
        <v>35131.199999999997</v>
      </c>
      <c r="BC373">
        <v>0.15327399999999999</v>
      </c>
      <c r="BD373">
        <v>2.9337700000000001E-2</v>
      </c>
      <c r="BE373">
        <v>0.15981300000000001</v>
      </c>
      <c r="BF373">
        <v>0.80292799999999998</v>
      </c>
      <c r="BG373">
        <v>16.827500000000001</v>
      </c>
      <c r="BH373">
        <v>50.3551</v>
      </c>
      <c r="BI373">
        <v>31.825299999999999</v>
      </c>
      <c r="BJ373">
        <v>33.751199999999997</v>
      </c>
      <c r="BK373">
        <v>0</v>
      </c>
      <c r="BL373">
        <v>28.161899999999999</v>
      </c>
      <c r="BM373">
        <v>60.419499999999999</v>
      </c>
      <c r="BN373">
        <v>9.41587</v>
      </c>
      <c r="BO373">
        <v>1.2098</v>
      </c>
      <c r="BP373">
        <v>0.79289100000000001</v>
      </c>
      <c r="BQ373">
        <v>35.5809</v>
      </c>
      <c r="BR373">
        <v>129526</v>
      </c>
    </row>
    <row r="374" spans="1:70" x14ac:dyDescent="0.25">
      <c r="A374">
        <v>41</v>
      </c>
      <c r="B374" s="7">
        <v>45994.567141203705</v>
      </c>
      <c r="C374" t="s">
        <v>154</v>
      </c>
      <c r="D374" s="6" t="s">
        <v>312</v>
      </c>
      <c r="E374" s="6" t="str">
        <f>VLOOKUP(F374,Germplasm!$A$1:$B$21,2,FALSE)</f>
        <v>Tore</v>
      </c>
      <c r="F374" t="s">
        <v>72</v>
      </c>
      <c r="G374" s="6" t="s">
        <v>113</v>
      </c>
      <c r="H374">
        <v>50934.3</v>
      </c>
      <c r="I374">
        <v>436.40899999999999</v>
      </c>
      <c r="J374">
        <v>103710</v>
      </c>
      <c r="K374">
        <v>29.121700000000001</v>
      </c>
      <c r="L374">
        <v>81.53</v>
      </c>
      <c r="M374">
        <v>1212.76</v>
      </c>
      <c r="N374">
        <v>421.77</v>
      </c>
      <c r="O374">
        <v>28940100</v>
      </c>
      <c r="P374">
        <v>0.14941599999999999</v>
      </c>
      <c r="Q374">
        <v>0.92657199999999995</v>
      </c>
      <c r="R374">
        <v>16.1265</v>
      </c>
      <c r="S374">
        <v>30.756399999999999</v>
      </c>
      <c r="T374">
        <v>37.041899999999998</v>
      </c>
      <c r="U374">
        <v>14.8583</v>
      </c>
      <c r="V374">
        <v>0.29026200000000002</v>
      </c>
      <c r="W374">
        <v>75.109700000000004</v>
      </c>
      <c r="X374">
        <v>9.9891900000000007</v>
      </c>
      <c r="Y374">
        <v>21.322500000000002</v>
      </c>
      <c r="Z374">
        <v>11.5364</v>
      </c>
      <c r="AA374">
        <v>24.854399999999998</v>
      </c>
      <c r="AB374">
        <v>22.236000000000001</v>
      </c>
      <c r="AC374">
        <v>10.061500000000001</v>
      </c>
      <c r="AD374">
        <v>1.6864600000000001</v>
      </c>
      <c r="AE374">
        <v>9.8175600000000003</v>
      </c>
      <c r="AF374">
        <v>0</v>
      </c>
      <c r="AG374">
        <v>97.829599999999999</v>
      </c>
      <c r="AH374">
        <v>2.1678099999999998</v>
      </c>
      <c r="AI374">
        <v>1.7433100000000001E-3</v>
      </c>
      <c r="AJ374">
        <v>8.7165699999999997E-4</v>
      </c>
      <c r="AK374">
        <v>0</v>
      </c>
      <c r="AL374">
        <v>0.31933699999999998</v>
      </c>
      <c r="AM374">
        <v>4.5099499999999999</v>
      </c>
      <c r="AN374">
        <v>24.5746</v>
      </c>
      <c r="AO374">
        <v>17.017399999999999</v>
      </c>
      <c r="AP374">
        <v>18.315300000000001</v>
      </c>
      <c r="AQ374">
        <v>28.877099999999999</v>
      </c>
      <c r="AR374">
        <v>6.70566</v>
      </c>
      <c r="AS374">
        <v>0.22475100000000001</v>
      </c>
      <c r="AT374">
        <v>0.746139</v>
      </c>
      <c r="AU374">
        <v>9.9551999999999996</v>
      </c>
      <c r="AV374">
        <v>35.8887</v>
      </c>
      <c r="AW374">
        <v>36.527700000000003</v>
      </c>
      <c r="AX374">
        <v>14.295199999999999</v>
      </c>
      <c r="AY374">
        <v>2.5870799999999998</v>
      </c>
      <c r="AZ374">
        <v>568.18600000000004</v>
      </c>
      <c r="BA374">
        <v>613.20000000000005</v>
      </c>
      <c r="BB374">
        <v>30202</v>
      </c>
      <c r="BC374">
        <v>0.20551700000000001</v>
      </c>
      <c r="BD374">
        <v>3.6609599999999999E-2</v>
      </c>
      <c r="BE374">
        <v>0.12464699999999999</v>
      </c>
      <c r="BF374">
        <v>0.63892499999999997</v>
      </c>
      <c r="BG374">
        <v>9.9011499999999995</v>
      </c>
      <c r="BH374">
        <v>45.3506</v>
      </c>
      <c r="BI374">
        <v>43.948099999999997</v>
      </c>
      <c r="BJ374">
        <v>33.8215</v>
      </c>
      <c r="BK374">
        <v>0</v>
      </c>
      <c r="BL374">
        <v>26.773</v>
      </c>
      <c r="BM374">
        <v>62.195399999999999</v>
      </c>
      <c r="BN374">
        <v>9.4060500000000005</v>
      </c>
      <c r="BO374">
        <v>1.04948</v>
      </c>
      <c r="BP374">
        <v>0.57616500000000004</v>
      </c>
      <c r="BQ374">
        <v>36.412300000000002</v>
      </c>
      <c r="BR374">
        <v>114724</v>
      </c>
    </row>
    <row r="375" spans="1:70" x14ac:dyDescent="0.25">
      <c r="A375">
        <v>41</v>
      </c>
      <c r="B375" s="7">
        <v>46002.558958333335</v>
      </c>
      <c r="C375" t="s">
        <v>154</v>
      </c>
      <c r="D375" s="6" t="s">
        <v>313</v>
      </c>
      <c r="E375" s="6" t="str">
        <f>VLOOKUP(F375,Germplasm!$A$1:$B$21,2,FALSE)</f>
        <v>Tore</v>
      </c>
      <c r="F375" t="s">
        <v>72</v>
      </c>
      <c r="G375" s="6" t="s">
        <v>113</v>
      </c>
      <c r="H375">
        <v>40620.199999999997</v>
      </c>
      <c r="I375">
        <v>488.76</v>
      </c>
      <c r="J375">
        <v>87132.4</v>
      </c>
      <c r="K375">
        <v>26.623200000000001</v>
      </c>
      <c r="L375">
        <v>87.880700000000004</v>
      </c>
      <c r="M375">
        <v>1101.2</v>
      </c>
      <c r="N375">
        <v>383.43400000000003</v>
      </c>
      <c r="O375">
        <v>23546200</v>
      </c>
      <c r="P375">
        <v>8.0744499999999997E-2</v>
      </c>
      <c r="Q375">
        <v>1.23888</v>
      </c>
      <c r="R375">
        <v>27.1952</v>
      </c>
      <c r="S375">
        <v>41.8337</v>
      </c>
      <c r="T375">
        <v>23.912700000000001</v>
      </c>
      <c r="U375">
        <v>5.6388800000000003</v>
      </c>
      <c r="V375">
        <v>0.18060499999999999</v>
      </c>
      <c r="W375">
        <v>50.322000000000003</v>
      </c>
      <c r="X375">
        <v>16.190000000000001</v>
      </c>
      <c r="Y375">
        <v>37.948099999999997</v>
      </c>
      <c r="Z375">
        <v>18.2822</v>
      </c>
      <c r="AA375">
        <v>15.6028</v>
      </c>
      <c r="AB375">
        <v>6.0676800000000002</v>
      </c>
      <c r="AC375">
        <v>5.9092500000000001</v>
      </c>
      <c r="AD375">
        <v>1.7510600000000001</v>
      </c>
      <c r="AE375">
        <v>12.3194</v>
      </c>
      <c r="AF375">
        <v>0</v>
      </c>
      <c r="AG375">
        <v>95.721500000000006</v>
      </c>
      <c r="AH375">
        <v>4.2785299999999999</v>
      </c>
      <c r="AI375">
        <v>0</v>
      </c>
      <c r="AJ375">
        <v>0</v>
      </c>
      <c r="AK375">
        <v>0</v>
      </c>
      <c r="AL375">
        <v>0.18776999999999999</v>
      </c>
      <c r="AM375">
        <v>8.8073800000000002</v>
      </c>
      <c r="AN375">
        <v>42.519199999999998</v>
      </c>
      <c r="AO375">
        <v>24.380600000000001</v>
      </c>
      <c r="AP375">
        <v>13.889699999999999</v>
      </c>
      <c r="AQ375">
        <v>8.6172699999999995</v>
      </c>
      <c r="AR375">
        <v>1.7859799999999999</v>
      </c>
      <c r="AS375">
        <v>0.29971999999999999</v>
      </c>
      <c r="AT375">
        <v>0.42246699999999998</v>
      </c>
      <c r="AU375">
        <v>3.77685</v>
      </c>
      <c r="AV375">
        <v>21.3874</v>
      </c>
      <c r="AW375">
        <v>48.953299999999999</v>
      </c>
      <c r="AX375">
        <v>21.925999999999998</v>
      </c>
      <c r="AY375">
        <v>3.5339299999999998</v>
      </c>
      <c r="AZ375">
        <v>579.66899999999998</v>
      </c>
      <c r="BA375">
        <v>629.99900000000002</v>
      </c>
      <c r="BB375">
        <v>23197.5</v>
      </c>
      <c r="BC375">
        <v>0.31846099999999999</v>
      </c>
      <c r="BD375">
        <v>2.85165E-2</v>
      </c>
      <c r="BE375">
        <v>0.16370599999999999</v>
      </c>
      <c r="BF375">
        <v>0.49639800000000001</v>
      </c>
      <c r="BG375">
        <v>3.5106999999999999</v>
      </c>
      <c r="BH375">
        <v>21.678899999999999</v>
      </c>
      <c r="BI375">
        <v>74.121799999999993</v>
      </c>
      <c r="BJ375">
        <v>34.596499999999999</v>
      </c>
      <c r="BK375">
        <v>0</v>
      </c>
      <c r="BL375">
        <v>25.588799999999999</v>
      </c>
      <c r="BM375">
        <v>62.912700000000001</v>
      </c>
      <c r="BN375">
        <v>9.8086199999999995</v>
      </c>
      <c r="BO375">
        <v>1.0836300000000001</v>
      </c>
      <c r="BP375">
        <v>0.60624</v>
      </c>
      <c r="BQ375">
        <v>34.8613</v>
      </c>
      <c r="BR375">
        <v>94682</v>
      </c>
    </row>
    <row r="376" spans="1:70" x14ac:dyDescent="0.25">
      <c r="A376">
        <v>41</v>
      </c>
      <c r="B376" s="7">
        <v>46013.582731481481</v>
      </c>
      <c r="C376" t="s">
        <v>154</v>
      </c>
      <c r="D376" s="6" t="s">
        <v>314</v>
      </c>
      <c r="E376" s="6" t="str">
        <f>VLOOKUP(F376,Germplasm!$A$1:$B$21,2,FALSE)</f>
        <v>Tore</v>
      </c>
      <c r="F376" t="s">
        <v>72</v>
      </c>
      <c r="G376" s="6" t="s">
        <v>113</v>
      </c>
      <c r="H376">
        <v>39524.699999999997</v>
      </c>
      <c r="I376">
        <v>493.327</v>
      </c>
      <c r="J376">
        <v>111763</v>
      </c>
      <c r="K376">
        <v>18.758400000000002</v>
      </c>
      <c r="L376">
        <v>50.582599999999999</v>
      </c>
      <c r="M376">
        <v>1378.35</v>
      </c>
      <c r="N376">
        <v>538.42600000000004</v>
      </c>
      <c r="O376">
        <v>21553300</v>
      </c>
      <c r="P376">
        <v>1.06628E-2</v>
      </c>
      <c r="Q376">
        <v>1.44268</v>
      </c>
      <c r="R376">
        <v>37.257300000000001</v>
      </c>
      <c r="S376">
        <v>58.240699999999997</v>
      </c>
      <c r="T376">
        <v>2.80124</v>
      </c>
      <c r="U376">
        <v>0.235069</v>
      </c>
      <c r="V376">
        <v>2.3046000000000001E-2</v>
      </c>
      <c r="W376">
        <v>34.961199999999998</v>
      </c>
      <c r="X376">
        <v>20.637699999999999</v>
      </c>
      <c r="Y376">
        <v>57.435200000000002</v>
      </c>
      <c r="Z376">
        <v>11.1854</v>
      </c>
      <c r="AA376">
        <v>2.5293000000000001</v>
      </c>
      <c r="AB376">
        <v>0.89764100000000002</v>
      </c>
      <c r="AC376">
        <v>7.3148</v>
      </c>
      <c r="AD376">
        <v>1.88527</v>
      </c>
      <c r="AE376">
        <v>17.4968</v>
      </c>
      <c r="AF376">
        <v>0</v>
      </c>
      <c r="AG376">
        <v>80.745099999999994</v>
      </c>
      <c r="AH376">
        <v>19.1708</v>
      </c>
      <c r="AI376">
        <v>8.4117899999999995E-2</v>
      </c>
      <c r="AJ376">
        <v>0</v>
      </c>
      <c r="AK376">
        <v>0</v>
      </c>
      <c r="AL376">
        <v>7.9986399999999999E-2</v>
      </c>
      <c r="AM376">
        <v>17.550699999999999</v>
      </c>
      <c r="AN376">
        <v>63.609200000000001</v>
      </c>
      <c r="AO376">
        <v>14.682600000000001</v>
      </c>
      <c r="AP376">
        <v>3.0708799999999998</v>
      </c>
      <c r="AQ376">
        <v>0.79623900000000003</v>
      </c>
      <c r="AR376">
        <v>0.290379</v>
      </c>
      <c r="AS376">
        <v>0.26408399999999999</v>
      </c>
      <c r="AT376">
        <v>0.87459500000000001</v>
      </c>
      <c r="AU376">
        <v>3.57789</v>
      </c>
      <c r="AV376">
        <v>28.082699999999999</v>
      </c>
      <c r="AW376">
        <v>51.805100000000003</v>
      </c>
      <c r="AX376">
        <v>12.546200000000001</v>
      </c>
      <c r="AY376">
        <v>3.1135100000000002</v>
      </c>
      <c r="AZ376">
        <v>545.31299999999999</v>
      </c>
      <c r="BA376">
        <v>580.20000000000005</v>
      </c>
      <c r="BB376">
        <v>20965</v>
      </c>
      <c r="BC376">
        <v>0.33805400000000002</v>
      </c>
      <c r="BD376">
        <v>0.168236</v>
      </c>
      <c r="BE376">
        <v>0.47589999999999999</v>
      </c>
      <c r="BF376">
        <v>0.90225</v>
      </c>
      <c r="BG376">
        <v>2.9060999999999999</v>
      </c>
      <c r="BH376">
        <v>12.0876</v>
      </c>
      <c r="BI376">
        <v>83.459900000000005</v>
      </c>
      <c r="BJ376">
        <v>28.202500000000001</v>
      </c>
      <c r="BK376">
        <v>0</v>
      </c>
      <c r="BL376">
        <v>45.82</v>
      </c>
      <c r="BM376">
        <v>47.412500000000001</v>
      </c>
      <c r="BN376">
        <v>5.4665100000000004</v>
      </c>
      <c r="BO376">
        <v>0.82850299999999999</v>
      </c>
      <c r="BP376">
        <v>0.472443</v>
      </c>
      <c r="BQ376">
        <v>32.063299999999998</v>
      </c>
      <c r="BR376">
        <v>86783</v>
      </c>
    </row>
    <row r="377" spans="1:70" x14ac:dyDescent="0.25">
      <c r="A377">
        <v>41</v>
      </c>
      <c r="B377" s="7">
        <v>46024.520729166667</v>
      </c>
      <c r="C377" t="s">
        <v>154</v>
      </c>
      <c r="D377" s="6" t="s">
        <v>315</v>
      </c>
      <c r="E377" s="6" t="str">
        <f>VLOOKUP(F377,Germplasm!$A$1:$B$21,2,FALSE)</f>
        <v>Tore</v>
      </c>
      <c r="F377" t="s">
        <v>72</v>
      </c>
      <c r="G377" s="6" t="s">
        <v>113</v>
      </c>
      <c r="H377">
        <v>43803.8</v>
      </c>
      <c r="I377">
        <v>452.57299999999998</v>
      </c>
      <c r="J377">
        <v>141230</v>
      </c>
      <c r="K377">
        <v>17.520900000000001</v>
      </c>
      <c r="L377">
        <v>53.834200000000003</v>
      </c>
      <c r="M377">
        <v>1569.04</v>
      </c>
      <c r="N377">
        <v>660.04899999999998</v>
      </c>
      <c r="O377">
        <v>22587700</v>
      </c>
      <c r="P377">
        <v>5.1441300000000002E-3</v>
      </c>
      <c r="Q377">
        <v>1.0462800000000001</v>
      </c>
      <c r="R377">
        <v>39.499000000000002</v>
      </c>
      <c r="S377">
        <v>58.3078</v>
      </c>
      <c r="T377">
        <v>0.96378299999999995</v>
      </c>
      <c r="U377">
        <v>0.156942</v>
      </c>
      <c r="V377">
        <v>2.61569E-2</v>
      </c>
      <c r="W377">
        <v>33.970199999999998</v>
      </c>
      <c r="X377">
        <v>21.8109</v>
      </c>
      <c r="Y377">
        <v>58.577500000000001</v>
      </c>
      <c r="Z377">
        <v>9.1509099999999997</v>
      </c>
      <c r="AA377">
        <v>2.19618</v>
      </c>
      <c r="AB377">
        <v>0.87927599999999995</v>
      </c>
      <c r="AC377">
        <v>7.3853099999999996</v>
      </c>
      <c r="AD377">
        <v>1.7702199999999999</v>
      </c>
      <c r="AE377">
        <v>19.8657</v>
      </c>
      <c r="AF377">
        <v>0</v>
      </c>
      <c r="AG377">
        <v>71.498000000000005</v>
      </c>
      <c r="AH377">
        <v>28.191099999999999</v>
      </c>
      <c r="AI377">
        <v>0.310865</v>
      </c>
      <c r="AJ377">
        <v>0</v>
      </c>
      <c r="AK377">
        <v>0</v>
      </c>
      <c r="AL377">
        <v>7.7211399999999999E-2</v>
      </c>
      <c r="AM377">
        <v>16.829999999999998</v>
      </c>
      <c r="AN377">
        <v>66.239400000000003</v>
      </c>
      <c r="AO377">
        <v>13.0382</v>
      </c>
      <c r="AP377">
        <v>2.83602</v>
      </c>
      <c r="AQ377">
        <v>0.802817</v>
      </c>
      <c r="AR377">
        <v>0.253521</v>
      </c>
      <c r="AS377">
        <v>0.23180899999999999</v>
      </c>
      <c r="AT377">
        <v>0.77062399999999998</v>
      </c>
      <c r="AU377">
        <v>3.7313900000000002</v>
      </c>
      <c r="AV377">
        <v>36.924500000000002</v>
      </c>
      <c r="AW377">
        <v>49.391300000000001</v>
      </c>
      <c r="AX377">
        <v>7.1327999999999996</v>
      </c>
      <c r="AY377">
        <v>2.0493000000000001</v>
      </c>
      <c r="AZ377">
        <v>515.65599999999995</v>
      </c>
      <c r="BA377">
        <v>565.79999999999995</v>
      </c>
      <c r="BB377">
        <v>24744.799999999999</v>
      </c>
      <c r="BC377">
        <v>0.30367699999999997</v>
      </c>
      <c r="BD377">
        <v>0.20020099999999999</v>
      </c>
      <c r="BE377">
        <v>0.49698199999999998</v>
      </c>
      <c r="BF377">
        <v>0.79979900000000004</v>
      </c>
      <c r="BG377">
        <v>3.0050300000000001</v>
      </c>
      <c r="BH377">
        <v>16.052299999999999</v>
      </c>
      <c r="BI377">
        <v>79.445700000000002</v>
      </c>
      <c r="BJ377">
        <v>24.777000000000001</v>
      </c>
      <c r="BK377">
        <v>0</v>
      </c>
      <c r="BL377">
        <v>57.118699999999997</v>
      </c>
      <c r="BM377">
        <v>38.971800000000002</v>
      </c>
      <c r="BN377">
        <v>2.7263600000000001</v>
      </c>
      <c r="BO377">
        <v>0.72233400000000003</v>
      </c>
      <c r="BP377">
        <v>0.46076499999999998</v>
      </c>
      <c r="BQ377">
        <v>34.432000000000002</v>
      </c>
      <c r="BR377">
        <v>99400</v>
      </c>
    </row>
    <row r="378" spans="1:70" x14ac:dyDescent="0.25">
      <c r="A378">
        <v>42</v>
      </c>
      <c r="B378" s="7">
        <v>45952.568055555559</v>
      </c>
      <c r="C378" t="s">
        <v>158</v>
      </c>
      <c r="D378" s="6" t="s">
        <v>316</v>
      </c>
      <c r="E378" s="6" t="str">
        <f>VLOOKUP(F378,Germplasm!$A$1:$B$21,2,FALSE)</f>
        <v>Pernilla</v>
      </c>
      <c r="F378" t="s">
        <v>70</v>
      </c>
      <c r="G378" s="6" t="s">
        <v>113</v>
      </c>
      <c r="H378">
        <v>40422.400000000001</v>
      </c>
      <c r="I378">
        <v>292.02199999999999</v>
      </c>
      <c r="J378">
        <v>163629</v>
      </c>
      <c r="K378">
        <v>15.0335</v>
      </c>
      <c r="L378">
        <v>76.342100000000002</v>
      </c>
      <c r="M378">
        <v>1501.51</v>
      </c>
      <c r="N378">
        <v>523.74400000000003</v>
      </c>
      <c r="O378">
        <v>15128000</v>
      </c>
      <c r="P378">
        <v>0.231738</v>
      </c>
      <c r="Q378">
        <v>0.39547100000000002</v>
      </c>
      <c r="R378">
        <v>5.9718600000000004</v>
      </c>
      <c r="S378">
        <v>20.263100000000001</v>
      </c>
      <c r="T378">
        <v>38.818899999999999</v>
      </c>
      <c r="U378">
        <v>34.2746</v>
      </c>
      <c r="V378">
        <v>0.27610699999999999</v>
      </c>
      <c r="W378">
        <v>113.955</v>
      </c>
      <c r="X378">
        <v>1.9592700000000001</v>
      </c>
      <c r="Y378">
        <v>2.9045399999999999</v>
      </c>
      <c r="Z378">
        <v>4.0861400000000003</v>
      </c>
      <c r="AA378">
        <v>17.3597</v>
      </c>
      <c r="AB378">
        <v>40.505699999999997</v>
      </c>
      <c r="AC378">
        <v>33.184600000000003</v>
      </c>
      <c r="AD378">
        <v>1.6432500000000001</v>
      </c>
      <c r="AE378">
        <v>13.3048</v>
      </c>
      <c r="AF378">
        <v>0</v>
      </c>
      <c r="AG378">
        <v>91.167000000000002</v>
      </c>
      <c r="AH378">
        <v>0.82470299999999996</v>
      </c>
      <c r="AI378">
        <v>1.3913800000000001</v>
      </c>
      <c r="AJ378">
        <v>6.6169099999999998</v>
      </c>
      <c r="AK378">
        <v>0</v>
      </c>
      <c r="AL378">
        <v>0.484848</v>
      </c>
      <c r="AM378">
        <v>8.0541099999999997</v>
      </c>
      <c r="AN378">
        <v>4.3043699999999996</v>
      </c>
      <c r="AO378">
        <v>4.8734599999999997</v>
      </c>
      <c r="AP378">
        <v>10.5885</v>
      </c>
      <c r="AQ378">
        <v>35.757599999999996</v>
      </c>
      <c r="AR378">
        <v>36.421900000000001</v>
      </c>
      <c r="AS378">
        <v>4.8597899999999999E-2</v>
      </c>
      <c r="AT378">
        <v>5.56433</v>
      </c>
      <c r="AU378">
        <v>33.384799999999998</v>
      </c>
      <c r="AV378">
        <v>45.000500000000002</v>
      </c>
      <c r="AW378">
        <v>12.391</v>
      </c>
      <c r="AX378">
        <v>2.5223399999999998</v>
      </c>
      <c r="AY378">
        <v>1.1369800000000001</v>
      </c>
      <c r="AZ378">
        <v>374.24700000000001</v>
      </c>
      <c r="BA378">
        <v>402.59899999999999</v>
      </c>
      <c r="BB378">
        <v>24599.1</v>
      </c>
      <c r="BC378">
        <v>9.8920999999999992E-3</v>
      </c>
      <c r="BD378">
        <v>0.78009099999999998</v>
      </c>
      <c r="BE378">
        <v>0.63902400000000004</v>
      </c>
      <c r="BF378">
        <v>2.6573699999999998</v>
      </c>
      <c r="BG378">
        <v>34.872599999999998</v>
      </c>
      <c r="BH378">
        <v>56.044800000000002</v>
      </c>
      <c r="BI378">
        <v>5.0060900000000004</v>
      </c>
      <c r="BJ378">
        <v>33.612400000000001</v>
      </c>
      <c r="BK378">
        <v>0</v>
      </c>
      <c r="BL378">
        <v>29.414400000000001</v>
      </c>
      <c r="BM378">
        <v>58.841999999999999</v>
      </c>
      <c r="BN378">
        <v>9.4491099999999992</v>
      </c>
      <c r="BO378">
        <v>1.2442899999999999</v>
      </c>
      <c r="BP378">
        <v>1.05017</v>
      </c>
      <c r="BQ378">
        <v>37.5244</v>
      </c>
      <c r="BR378">
        <v>82939</v>
      </c>
    </row>
    <row r="379" spans="1:70" x14ac:dyDescent="0.25">
      <c r="A379">
        <v>42</v>
      </c>
      <c r="B379" s="7">
        <v>45959.533206018517</v>
      </c>
      <c r="C379" t="s">
        <v>158</v>
      </c>
      <c r="D379" s="6" t="s">
        <v>317</v>
      </c>
      <c r="E379" s="6" t="str">
        <f>VLOOKUP(F379,Germplasm!$A$1:$B$21,2,FALSE)</f>
        <v>Pernilla</v>
      </c>
      <c r="F379" t="s">
        <v>70</v>
      </c>
      <c r="G379" s="6" t="s">
        <v>113</v>
      </c>
      <c r="H379">
        <v>46503</v>
      </c>
      <c r="I379">
        <v>396.92</v>
      </c>
      <c r="J379">
        <v>163631</v>
      </c>
      <c r="K379">
        <v>16.894600000000001</v>
      </c>
      <c r="L379">
        <v>53.357199999999999</v>
      </c>
      <c r="M379">
        <v>1600.55</v>
      </c>
      <c r="N379">
        <v>631.52700000000004</v>
      </c>
      <c r="O379">
        <v>22282700</v>
      </c>
      <c r="P379">
        <v>0.210645</v>
      </c>
      <c r="Q379">
        <v>0.803813</v>
      </c>
      <c r="R379">
        <v>6.0948799999999999</v>
      </c>
      <c r="S379">
        <v>24.5184</v>
      </c>
      <c r="T379">
        <v>40.767200000000003</v>
      </c>
      <c r="U379">
        <v>27.283300000000001</v>
      </c>
      <c r="V379">
        <v>0.53236799999999995</v>
      </c>
      <c r="W379">
        <v>113.059</v>
      </c>
      <c r="X379">
        <v>2.30307</v>
      </c>
      <c r="Y379">
        <v>4.5251299999999999</v>
      </c>
      <c r="Z379">
        <v>6.2768899999999999</v>
      </c>
      <c r="AA379">
        <v>16.696999999999999</v>
      </c>
      <c r="AB379">
        <v>33.552900000000001</v>
      </c>
      <c r="AC379">
        <v>36.645000000000003</v>
      </c>
      <c r="AD379">
        <v>1.6821600000000001</v>
      </c>
      <c r="AE379">
        <v>12.269600000000001</v>
      </c>
      <c r="AF379">
        <v>0</v>
      </c>
      <c r="AG379">
        <v>92.560500000000005</v>
      </c>
      <c r="AH379">
        <v>0.74910299999999996</v>
      </c>
      <c r="AI379">
        <v>1.1994100000000001</v>
      </c>
      <c r="AJ379">
        <v>5.4909699999999999</v>
      </c>
      <c r="AK379">
        <v>0</v>
      </c>
      <c r="AL379">
        <v>0.45618500000000001</v>
      </c>
      <c r="AM379">
        <v>7.1806599999999996</v>
      </c>
      <c r="AN379">
        <v>6.1243400000000001</v>
      </c>
      <c r="AO379">
        <v>8.7798700000000007</v>
      </c>
      <c r="AP379">
        <v>14.073</v>
      </c>
      <c r="AQ379">
        <v>33.1678</v>
      </c>
      <c r="AR379">
        <v>30.674299999999999</v>
      </c>
      <c r="AS379">
        <v>5.5135299999999998E-2</v>
      </c>
      <c r="AT379">
        <v>6.6104099999999999</v>
      </c>
      <c r="AU379">
        <v>34.717599999999997</v>
      </c>
      <c r="AV379">
        <v>39.533099999999997</v>
      </c>
      <c r="AW379">
        <v>13.366</v>
      </c>
      <c r="AX379">
        <v>3.8843899999999998</v>
      </c>
      <c r="AY379">
        <v>1.8885400000000001</v>
      </c>
      <c r="AZ379">
        <v>479.16699999999997</v>
      </c>
      <c r="BA379">
        <v>560.99900000000002</v>
      </c>
      <c r="BB379">
        <v>27644.799999999999</v>
      </c>
      <c r="BC379">
        <v>2.5511499999999999E-2</v>
      </c>
      <c r="BD379">
        <v>0.65546499999999996</v>
      </c>
      <c r="BE379">
        <v>0.712279</v>
      </c>
      <c r="BF379">
        <v>2.8996200000000001</v>
      </c>
      <c r="BG379">
        <v>37.058500000000002</v>
      </c>
      <c r="BH379">
        <v>47.930999999999997</v>
      </c>
      <c r="BI379">
        <v>10.7431</v>
      </c>
      <c r="BJ379">
        <v>32.964100000000002</v>
      </c>
      <c r="BK379">
        <v>0</v>
      </c>
      <c r="BL379">
        <v>33.208799999999997</v>
      </c>
      <c r="BM379">
        <v>55.172699999999999</v>
      </c>
      <c r="BN379">
        <v>8.6462500000000002</v>
      </c>
      <c r="BO379">
        <v>1.4371799999999999</v>
      </c>
      <c r="BP379">
        <v>1.5350299999999999</v>
      </c>
      <c r="BQ379">
        <v>36.517899999999997</v>
      </c>
      <c r="BR379">
        <v>95047</v>
      </c>
    </row>
    <row r="380" spans="1:70" x14ac:dyDescent="0.25">
      <c r="A380">
        <v>42</v>
      </c>
      <c r="B380" s="7">
        <v>45966.546053240738</v>
      </c>
      <c r="C380" t="s">
        <v>158</v>
      </c>
      <c r="D380" s="6" t="s">
        <v>318</v>
      </c>
      <c r="E380" s="6" t="str">
        <f>VLOOKUP(F380,Germplasm!$A$1:$B$21,2,FALSE)</f>
        <v>Pernilla</v>
      </c>
      <c r="F380" t="s">
        <v>70</v>
      </c>
      <c r="G380" s="6" t="s">
        <v>113</v>
      </c>
      <c r="H380">
        <v>53387.9</v>
      </c>
      <c r="I380">
        <v>460.83600000000001</v>
      </c>
      <c r="J380">
        <v>173904</v>
      </c>
      <c r="K380">
        <v>17.349799999999998</v>
      </c>
      <c r="L380">
        <v>65.603700000000003</v>
      </c>
      <c r="M380">
        <v>1579.27</v>
      </c>
      <c r="N380">
        <v>577.92200000000003</v>
      </c>
      <c r="O380">
        <v>29244600</v>
      </c>
      <c r="P380">
        <v>0.18954499999999999</v>
      </c>
      <c r="Q380">
        <v>0.77277799999999996</v>
      </c>
      <c r="R380">
        <v>7.58826</v>
      </c>
      <c r="S380">
        <v>29.229700000000001</v>
      </c>
      <c r="T380">
        <v>39.844700000000003</v>
      </c>
      <c r="U380">
        <v>22.160499999999999</v>
      </c>
      <c r="V380">
        <v>0.404055</v>
      </c>
      <c r="W380">
        <v>98.992000000000004</v>
      </c>
      <c r="X380">
        <v>3.2088899999999998</v>
      </c>
      <c r="Y380">
        <v>10.900399999999999</v>
      </c>
      <c r="Z380">
        <v>11.180400000000001</v>
      </c>
      <c r="AA380">
        <v>21.260899999999999</v>
      </c>
      <c r="AB380">
        <v>25.786999999999999</v>
      </c>
      <c r="AC380">
        <v>27.662400000000002</v>
      </c>
      <c r="AD380">
        <v>1.76945</v>
      </c>
      <c r="AE380">
        <v>12.2082</v>
      </c>
      <c r="AF380">
        <v>0</v>
      </c>
      <c r="AG380">
        <v>92.3202</v>
      </c>
      <c r="AH380">
        <v>1.4033199999999999</v>
      </c>
      <c r="AI380">
        <v>1.0110399999999999</v>
      </c>
      <c r="AJ380">
        <v>5.2653999999999996</v>
      </c>
      <c r="AK380">
        <v>0</v>
      </c>
      <c r="AL380">
        <v>0.40287000000000001</v>
      </c>
      <c r="AM380">
        <v>7.0845500000000001</v>
      </c>
      <c r="AN380">
        <v>11.1142</v>
      </c>
      <c r="AO380">
        <v>12.405200000000001</v>
      </c>
      <c r="AP380">
        <v>17.3245</v>
      </c>
      <c r="AQ380">
        <v>31.536200000000001</v>
      </c>
      <c r="AR380">
        <v>20.5352</v>
      </c>
      <c r="AS380">
        <v>0.13302700000000001</v>
      </c>
      <c r="AT380">
        <v>4.34314</v>
      </c>
      <c r="AU380">
        <v>26.0806</v>
      </c>
      <c r="AV380">
        <v>34.983400000000003</v>
      </c>
      <c r="AW380">
        <v>20.047799999999999</v>
      </c>
      <c r="AX380">
        <v>11.492900000000001</v>
      </c>
      <c r="AY380">
        <v>3.0521600000000002</v>
      </c>
      <c r="AZ380">
        <v>547.77499999999998</v>
      </c>
      <c r="BA380">
        <v>653.399</v>
      </c>
      <c r="BB380">
        <v>30172.1</v>
      </c>
      <c r="BC380">
        <v>9.4458299999999995E-2</v>
      </c>
      <c r="BD380">
        <v>0.29352899999999998</v>
      </c>
      <c r="BE380">
        <v>0.50008600000000003</v>
      </c>
      <c r="BF380">
        <v>2.4886499999999998</v>
      </c>
      <c r="BG380">
        <v>27.139600000000002</v>
      </c>
      <c r="BH380">
        <v>45.939100000000003</v>
      </c>
      <c r="BI380">
        <v>23.638999999999999</v>
      </c>
      <c r="BJ380">
        <v>34.301600000000001</v>
      </c>
      <c r="BK380">
        <v>0</v>
      </c>
      <c r="BL380">
        <v>31.0624</v>
      </c>
      <c r="BM380">
        <v>53.593499999999999</v>
      </c>
      <c r="BN380">
        <v>12.6091</v>
      </c>
      <c r="BO380">
        <v>1.45496</v>
      </c>
      <c r="BP380">
        <v>1.2801100000000001</v>
      </c>
      <c r="BQ380">
        <v>34.453200000000002</v>
      </c>
      <c r="BR380">
        <v>110381</v>
      </c>
    </row>
    <row r="381" spans="1:70" x14ac:dyDescent="0.25">
      <c r="A381">
        <v>42</v>
      </c>
      <c r="B381" s="7">
        <v>45973.562476851854</v>
      </c>
      <c r="C381" t="s">
        <v>158</v>
      </c>
      <c r="D381" s="6" t="s">
        <v>319</v>
      </c>
      <c r="E381" s="6" t="str">
        <f>VLOOKUP(F381,Germplasm!$A$1:$B$21,2,FALSE)</f>
        <v>Pernilla</v>
      </c>
      <c r="F381" t="s">
        <v>70</v>
      </c>
      <c r="G381" s="6" t="s">
        <v>113</v>
      </c>
      <c r="H381">
        <v>48818.3</v>
      </c>
      <c r="I381">
        <v>501.62799999999999</v>
      </c>
      <c r="J381">
        <v>153123</v>
      </c>
      <c r="K381">
        <v>17.721800000000002</v>
      </c>
      <c r="L381">
        <v>58.766500000000001</v>
      </c>
      <c r="M381">
        <v>1501.27</v>
      </c>
      <c r="N381">
        <v>583.30499999999995</v>
      </c>
      <c r="O381">
        <v>29563600</v>
      </c>
      <c r="P381">
        <v>0.14161499999999999</v>
      </c>
      <c r="Q381">
        <v>1.33447</v>
      </c>
      <c r="R381">
        <v>12.6206</v>
      </c>
      <c r="S381">
        <v>36.825299999999999</v>
      </c>
      <c r="T381">
        <v>36.268799999999999</v>
      </c>
      <c r="U381">
        <v>12.5001</v>
      </c>
      <c r="V381">
        <v>0.45070199999999999</v>
      </c>
      <c r="W381">
        <v>96.7941</v>
      </c>
      <c r="X381">
        <v>6.1775599999999997</v>
      </c>
      <c r="Y381">
        <v>13.6563</v>
      </c>
      <c r="Z381">
        <v>9.2932799999999993</v>
      </c>
      <c r="AA381">
        <v>17.336400000000001</v>
      </c>
      <c r="AB381">
        <v>22.939800000000002</v>
      </c>
      <c r="AC381">
        <v>30.596800000000002</v>
      </c>
      <c r="AD381">
        <v>1.7990200000000001</v>
      </c>
      <c r="AE381">
        <v>12.3771</v>
      </c>
      <c r="AF381">
        <v>0</v>
      </c>
      <c r="AG381">
        <v>92.1</v>
      </c>
      <c r="AH381">
        <v>1.41873</v>
      </c>
      <c r="AI381">
        <v>1.31193</v>
      </c>
      <c r="AJ381">
        <v>5.1693600000000002</v>
      </c>
      <c r="AK381">
        <v>0</v>
      </c>
      <c r="AL381">
        <v>0.35951300000000003</v>
      </c>
      <c r="AM381">
        <v>8.1802399999999995</v>
      </c>
      <c r="AN381">
        <v>12.0749</v>
      </c>
      <c r="AO381">
        <v>16.9131</v>
      </c>
      <c r="AP381">
        <v>21.33</v>
      </c>
      <c r="AQ381">
        <v>28.7136</v>
      </c>
      <c r="AR381">
        <v>12.7882</v>
      </c>
      <c r="AS381">
        <v>0.11317199999999999</v>
      </c>
      <c r="AT381">
        <v>4.1288200000000002</v>
      </c>
      <c r="AU381">
        <v>28.4373</v>
      </c>
      <c r="AV381">
        <v>36.665599999999998</v>
      </c>
      <c r="AW381">
        <v>20.951799999999999</v>
      </c>
      <c r="AX381">
        <v>7.1455900000000003</v>
      </c>
      <c r="AY381">
        <v>2.6709000000000001</v>
      </c>
      <c r="AZ381">
        <v>605.58399999999995</v>
      </c>
      <c r="BA381">
        <v>697.19899999999996</v>
      </c>
      <c r="BB381">
        <v>27136.1</v>
      </c>
      <c r="BC381">
        <v>8.3747199999999994E-2</v>
      </c>
      <c r="BD381">
        <v>0.49871199999999999</v>
      </c>
      <c r="BE381">
        <v>0.60942799999999997</v>
      </c>
      <c r="BF381">
        <v>2.89527</v>
      </c>
      <c r="BG381">
        <v>28.553000000000001</v>
      </c>
      <c r="BH381">
        <v>43.176299999999998</v>
      </c>
      <c r="BI381">
        <v>24.267399999999999</v>
      </c>
      <c r="BJ381">
        <v>30.3841</v>
      </c>
      <c r="BK381">
        <v>0</v>
      </c>
      <c r="BL381">
        <v>41.707599999999999</v>
      </c>
      <c r="BM381">
        <v>48.832599999999999</v>
      </c>
      <c r="BN381">
        <v>6.1687399999999997</v>
      </c>
      <c r="BO381">
        <v>1.34819</v>
      </c>
      <c r="BP381">
        <v>1.94292</v>
      </c>
      <c r="BQ381">
        <v>33.808199999999999</v>
      </c>
      <c r="BR381">
        <v>102063</v>
      </c>
    </row>
    <row r="382" spans="1:70" x14ac:dyDescent="0.25">
      <c r="A382">
        <v>42</v>
      </c>
      <c r="B382" s="7">
        <v>45988.557233796295</v>
      </c>
      <c r="C382" t="s">
        <v>158</v>
      </c>
      <c r="D382" s="6" t="s">
        <v>320</v>
      </c>
      <c r="E382" s="6" t="str">
        <f>VLOOKUP(F382,Germplasm!$A$1:$B$21,2,FALSE)</f>
        <v>Pernilla</v>
      </c>
      <c r="F382" t="s">
        <v>70</v>
      </c>
      <c r="G382" s="6" t="s">
        <v>113</v>
      </c>
      <c r="H382">
        <v>62369.599999999999</v>
      </c>
      <c r="I382">
        <v>475.14699999999999</v>
      </c>
      <c r="J382">
        <v>181358</v>
      </c>
      <c r="K382">
        <v>19.726299999999998</v>
      </c>
      <c r="L382">
        <v>60.579599999999999</v>
      </c>
      <c r="M382">
        <v>1640.14</v>
      </c>
      <c r="N382">
        <v>645.20100000000002</v>
      </c>
      <c r="O382">
        <v>37417200</v>
      </c>
      <c r="P382">
        <v>0.156028</v>
      </c>
      <c r="Q382">
        <v>0.84242899999999998</v>
      </c>
      <c r="R382">
        <v>10.771599999999999</v>
      </c>
      <c r="S382">
        <v>36.505499999999998</v>
      </c>
      <c r="T382">
        <v>37.614699999999999</v>
      </c>
      <c r="U382">
        <v>13.5443</v>
      </c>
      <c r="V382">
        <v>0.721472</v>
      </c>
      <c r="W382">
        <v>85.518299999999996</v>
      </c>
      <c r="X382">
        <v>5.1178999999999997</v>
      </c>
      <c r="Y382">
        <v>15.0762</v>
      </c>
      <c r="Z382">
        <v>13.2256</v>
      </c>
      <c r="AA382">
        <v>27.8948</v>
      </c>
      <c r="AB382">
        <v>21.710999999999999</v>
      </c>
      <c r="AC382">
        <v>16.974499999999999</v>
      </c>
      <c r="AD382">
        <v>1.7433799999999999</v>
      </c>
      <c r="AE382">
        <v>11.4717</v>
      </c>
      <c r="AF382">
        <v>0</v>
      </c>
      <c r="AG382">
        <v>93.359499999999997</v>
      </c>
      <c r="AH382">
        <v>1.80724</v>
      </c>
      <c r="AI382">
        <v>0.80685300000000004</v>
      </c>
      <c r="AJ382">
        <v>4.02644</v>
      </c>
      <c r="AK382">
        <v>0</v>
      </c>
      <c r="AL382">
        <v>0.34636699999999998</v>
      </c>
      <c r="AM382">
        <v>7.2481600000000004</v>
      </c>
      <c r="AN382">
        <v>14.2195</v>
      </c>
      <c r="AO382">
        <v>17.844000000000001</v>
      </c>
      <c r="AP382">
        <v>23.245100000000001</v>
      </c>
      <c r="AQ382">
        <v>27.543299999999999</v>
      </c>
      <c r="AR382">
        <v>9.8999600000000001</v>
      </c>
      <c r="AS382">
        <v>0.17541200000000001</v>
      </c>
      <c r="AT382">
        <v>1.9488300000000001</v>
      </c>
      <c r="AU382">
        <v>15.7593</v>
      </c>
      <c r="AV382">
        <v>40.993699999999997</v>
      </c>
      <c r="AW382">
        <v>28.497399999999999</v>
      </c>
      <c r="AX382">
        <v>9.6829499999999999</v>
      </c>
      <c r="AY382">
        <v>3.1178400000000002</v>
      </c>
      <c r="AZ382">
        <v>599.92600000000004</v>
      </c>
      <c r="BA382">
        <v>664.2</v>
      </c>
      <c r="BB382">
        <v>35775.1</v>
      </c>
      <c r="BC382">
        <v>0.130796</v>
      </c>
      <c r="BD382">
        <v>0.34010200000000002</v>
      </c>
      <c r="BE382">
        <v>0.45465499999999998</v>
      </c>
      <c r="BF382">
        <v>1.50342</v>
      </c>
      <c r="BG382">
        <v>15.4085</v>
      </c>
      <c r="BH382">
        <v>53.901899999999998</v>
      </c>
      <c r="BI382">
        <v>28.391400000000001</v>
      </c>
      <c r="BJ382">
        <v>32.032699999999998</v>
      </c>
      <c r="BK382">
        <v>0</v>
      </c>
      <c r="BL382">
        <v>37.015599999999999</v>
      </c>
      <c r="BM382">
        <v>51.046599999999998</v>
      </c>
      <c r="BN382">
        <v>8.7594100000000008</v>
      </c>
      <c r="BO382">
        <v>1.6549700000000001</v>
      </c>
      <c r="BP382">
        <v>1.5233399999999999</v>
      </c>
      <c r="BQ382">
        <v>35.046399999999998</v>
      </c>
      <c r="BR382">
        <v>140546</v>
      </c>
    </row>
    <row r="383" spans="1:70" x14ac:dyDescent="0.25">
      <c r="A383">
        <v>42</v>
      </c>
      <c r="B383" s="7">
        <v>45994.568148148152</v>
      </c>
      <c r="C383" t="s">
        <v>158</v>
      </c>
      <c r="D383" s="6" t="s">
        <v>321</v>
      </c>
      <c r="E383" s="6" t="str">
        <f>VLOOKUP(F383,Germplasm!$A$1:$B$21,2,FALSE)</f>
        <v>Pernilla</v>
      </c>
      <c r="F383" t="s">
        <v>70</v>
      </c>
      <c r="G383" s="6" t="s">
        <v>113</v>
      </c>
      <c r="H383">
        <v>55104</v>
      </c>
      <c r="I383">
        <v>469.01900000000001</v>
      </c>
      <c r="J383">
        <v>191414</v>
      </c>
      <c r="K383">
        <v>16.942900000000002</v>
      </c>
      <c r="L383">
        <v>58.4099</v>
      </c>
      <c r="M383">
        <v>1709.29</v>
      </c>
      <c r="N383">
        <v>684.89800000000002</v>
      </c>
      <c r="O383">
        <v>32860400</v>
      </c>
      <c r="P383">
        <v>0.11759600000000001</v>
      </c>
      <c r="Q383">
        <v>0.80153799999999997</v>
      </c>
      <c r="R383">
        <v>14.847799999999999</v>
      </c>
      <c r="S383">
        <v>45.836399999999998</v>
      </c>
      <c r="T383">
        <v>30.175999999999998</v>
      </c>
      <c r="U383">
        <v>8.0802700000000005</v>
      </c>
      <c r="V383">
        <v>0.25794800000000001</v>
      </c>
      <c r="W383">
        <v>68.892200000000003</v>
      </c>
      <c r="X383">
        <v>7.1814</v>
      </c>
      <c r="Y383">
        <v>27.026</v>
      </c>
      <c r="Z383">
        <v>17.967700000000001</v>
      </c>
      <c r="AA383">
        <v>23.19</v>
      </c>
      <c r="AB383">
        <v>12.611800000000001</v>
      </c>
      <c r="AC383">
        <v>12.023099999999999</v>
      </c>
      <c r="AD383">
        <v>1.69912</v>
      </c>
      <c r="AE383">
        <v>13.6159</v>
      </c>
      <c r="AF383">
        <v>0</v>
      </c>
      <c r="AG383">
        <v>91.316000000000003</v>
      </c>
      <c r="AH383">
        <v>3.4561899999999999</v>
      </c>
      <c r="AI383">
        <v>0.879081</v>
      </c>
      <c r="AJ383">
        <v>4.3487200000000001</v>
      </c>
      <c r="AK383">
        <v>0</v>
      </c>
      <c r="AL383">
        <v>0.26609699999999997</v>
      </c>
      <c r="AM383">
        <v>9.4704899999999999</v>
      </c>
      <c r="AN383">
        <v>23.091100000000001</v>
      </c>
      <c r="AO383">
        <v>25.022600000000001</v>
      </c>
      <c r="AP383">
        <v>20.678599999999999</v>
      </c>
      <c r="AQ383">
        <v>16.996099999999998</v>
      </c>
      <c r="AR383">
        <v>4.7411799999999999</v>
      </c>
      <c r="AS383">
        <v>0.230436</v>
      </c>
      <c r="AT383">
        <v>1.2042900000000001</v>
      </c>
      <c r="AU383">
        <v>10.4366</v>
      </c>
      <c r="AV383">
        <v>32.2301</v>
      </c>
      <c r="AW383">
        <v>36.752099999999999</v>
      </c>
      <c r="AX383">
        <v>16.4406</v>
      </c>
      <c r="AY383">
        <v>2.93634</v>
      </c>
      <c r="AZ383">
        <v>596.33500000000004</v>
      </c>
      <c r="BA383">
        <v>662.99900000000002</v>
      </c>
      <c r="BB383">
        <v>32431</v>
      </c>
      <c r="BC383">
        <v>0.20503199999999999</v>
      </c>
      <c r="BD383">
        <v>0.32916099999999998</v>
      </c>
      <c r="BE383">
        <v>0.39483499999999999</v>
      </c>
      <c r="BF383">
        <v>1.2042900000000001</v>
      </c>
      <c r="BG383">
        <v>9.7126199999999994</v>
      </c>
      <c r="BH383">
        <v>40.706699999999998</v>
      </c>
      <c r="BI383">
        <v>47.6524</v>
      </c>
      <c r="BJ383">
        <v>32.876800000000003</v>
      </c>
      <c r="BK383">
        <v>0</v>
      </c>
      <c r="BL383">
        <v>32.795000000000002</v>
      </c>
      <c r="BM383">
        <v>55.091700000000003</v>
      </c>
      <c r="BN383">
        <v>9.5955100000000009</v>
      </c>
      <c r="BO383">
        <v>1.3364199999999999</v>
      </c>
      <c r="BP383">
        <v>1.1813400000000001</v>
      </c>
      <c r="BQ383">
        <v>36.098300000000002</v>
      </c>
      <c r="BR383">
        <v>126382</v>
      </c>
    </row>
    <row r="384" spans="1:70" x14ac:dyDescent="0.25">
      <c r="A384">
        <v>42</v>
      </c>
      <c r="B384" s="7">
        <v>46002.560428240744</v>
      </c>
      <c r="C384" t="s">
        <v>158</v>
      </c>
      <c r="D384" s="6" t="s">
        <v>322</v>
      </c>
      <c r="E384" s="6" t="str">
        <f>VLOOKUP(F384,Germplasm!$A$1:$B$21,2,FALSE)</f>
        <v>Pernilla</v>
      </c>
      <c r="F384" t="s">
        <v>70</v>
      </c>
      <c r="G384" s="6" t="s">
        <v>113</v>
      </c>
      <c r="H384">
        <v>38551.199999999997</v>
      </c>
      <c r="I384">
        <v>510.21699999999998</v>
      </c>
      <c r="J384">
        <v>172705</v>
      </c>
      <c r="K384">
        <v>12.741300000000001</v>
      </c>
      <c r="L384">
        <v>76.182100000000005</v>
      </c>
      <c r="M384">
        <v>1645.79</v>
      </c>
      <c r="N384">
        <v>576.75</v>
      </c>
      <c r="O384">
        <v>22838700</v>
      </c>
      <c r="P384">
        <v>4.7693899999999997E-2</v>
      </c>
      <c r="Q384">
        <v>1.29569</v>
      </c>
      <c r="R384">
        <v>29.8399</v>
      </c>
      <c r="S384">
        <v>53.607199999999999</v>
      </c>
      <c r="T384">
        <v>11.673500000000001</v>
      </c>
      <c r="U384">
        <v>3.3819499999999998</v>
      </c>
      <c r="V384">
        <v>0.201824</v>
      </c>
      <c r="W384">
        <v>47.734200000000001</v>
      </c>
      <c r="X384">
        <v>16.387899999999998</v>
      </c>
      <c r="Y384">
        <v>42.999699999999997</v>
      </c>
      <c r="Z384">
        <v>12.6792</v>
      </c>
      <c r="AA384">
        <v>10.5205</v>
      </c>
      <c r="AB384">
        <v>6.2164099999999998</v>
      </c>
      <c r="AC384">
        <v>11.196199999999999</v>
      </c>
      <c r="AD384">
        <v>1.75193</v>
      </c>
      <c r="AE384">
        <v>17.242999999999999</v>
      </c>
      <c r="AF384">
        <v>0</v>
      </c>
      <c r="AG384">
        <v>86.8078</v>
      </c>
      <c r="AH384">
        <v>5.9655199999999997</v>
      </c>
      <c r="AI384">
        <v>1.3112999999999999</v>
      </c>
      <c r="AJ384">
        <v>5.9153500000000001</v>
      </c>
      <c r="AK384">
        <v>0</v>
      </c>
      <c r="AL384">
        <v>0.16830200000000001</v>
      </c>
      <c r="AM384">
        <v>15.1602</v>
      </c>
      <c r="AN384">
        <v>38.4514</v>
      </c>
      <c r="AO384">
        <v>26.943000000000001</v>
      </c>
      <c r="AP384">
        <v>9.9819399999999998</v>
      </c>
      <c r="AQ384">
        <v>7.1274100000000002</v>
      </c>
      <c r="AR384">
        <v>2.3360300000000001</v>
      </c>
      <c r="AS384">
        <v>0.25571100000000002</v>
      </c>
      <c r="AT384">
        <v>1.30461</v>
      </c>
      <c r="AU384">
        <v>8.1197999999999997</v>
      </c>
      <c r="AV384">
        <v>28.467300000000002</v>
      </c>
      <c r="AW384">
        <v>40.0169</v>
      </c>
      <c r="AX384">
        <v>18.276800000000001</v>
      </c>
      <c r="AY384">
        <v>3.8145899999999999</v>
      </c>
      <c r="AZ384">
        <v>592.42399999999998</v>
      </c>
      <c r="BA384">
        <v>647.399</v>
      </c>
      <c r="BB384">
        <v>22004.9</v>
      </c>
      <c r="BC384">
        <v>0.26116499999999998</v>
      </c>
      <c r="BD384">
        <v>0.55752500000000005</v>
      </c>
      <c r="BE384">
        <v>0.53745500000000002</v>
      </c>
      <c r="BF384">
        <v>1.1239699999999999</v>
      </c>
      <c r="BG384">
        <v>7.2043400000000002</v>
      </c>
      <c r="BH384">
        <v>25.968399999999999</v>
      </c>
      <c r="BI384">
        <v>64.6083</v>
      </c>
      <c r="BJ384">
        <v>32.193800000000003</v>
      </c>
      <c r="BK384">
        <v>0</v>
      </c>
      <c r="BL384">
        <v>36.397500000000001</v>
      </c>
      <c r="BM384">
        <v>52.2</v>
      </c>
      <c r="BN384">
        <v>8.1108799999999999</v>
      </c>
      <c r="BO384">
        <v>1.71495</v>
      </c>
      <c r="BP384">
        <v>1.5766800000000001</v>
      </c>
      <c r="BQ384">
        <v>34.8384</v>
      </c>
      <c r="BR384">
        <v>89682</v>
      </c>
    </row>
    <row r="385" spans="1:70" x14ac:dyDescent="0.25">
      <c r="A385">
        <v>42</v>
      </c>
      <c r="B385" s="7">
        <v>46013.583784722221</v>
      </c>
      <c r="C385" t="s">
        <v>158</v>
      </c>
      <c r="D385" s="6" t="s">
        <v>323</v>
      </c>
      <c r="E385" s="6" t="str">
        <f>VLOOKUP(F385,Germplasm!$A$1:$B$21,2,FALSE)</f>
        <v>Pernilla</v>
      </c>
      <c r="F385" t="s">
        <v>70</v>
      </c>
      <c r="G385" s="6" t="s">
        <v>113</v>
      </c>
      <c r="H385">
        <v>30559.5</v>
      </c>
      <c r="I385">
        <v>501.58699999999999</v>
      </c>
      <c r="J385">
        <v>91728.9</v>
      </c>
      <c r="K385">
        <v>18.279499999999999</v>
      </c>
      <c r="L385">
        <v>68.199200000000005</v>
      </c>
      <c r="M385">
        <v>1149.47</v>
      </c>
      <c r="N385">
        <v>421.73</v>
      </c>
      <c r="O385">
        <v>17833600</v>
      </c>
      <c r="P385">
        <v>2.1947299999999999E-2</v>
      </c>
      <c r="Q385">
        <v>1.50973</v>
      </c>
      <c r="R385">
        <v>32.816800000000001</v>
      </c>
      <c r="S385">
        <v>59.491500000000002</v>
      </c>
      <c r="T385">
        <v>4.9719499999999996</v>
      </c>
      <c r="U385">
        <v>1.15086</v>
      </c>
      <c r="V385">
        <v>5.9124400000000001E-2</v>
      </c>
      <c r="W385">
        <v>41.151699999999998</v>
      </c>
      <c r="X385">
        <v>17.8033</v>
      </c>
      <c r="Y385">
        <v>48.209800000000001</v>
      </c>
      <c r="Z385">
        <v>14.3452</v>
      </c>
      <c r="AA385">
        <v>6.3648100000000003</v>
      </c>
      <c r="AB385">
        <v>2.43235</v>
      </c>
      <c r="AC385">
        <v>10.8445</v>
      </c>
      <c r="AD385">
        <v>1.82254</v>
      </c>
      <c r="AE385">
        <v>18.897200000000002</v>
      </c>
      <c r="AF385">
        <v>0</v>
      </c>
      <c r="AG385">
        <v>85.792299999999997</v>
      </c>
      <c r="AH385">
        <v>5.1630700000000003</v>
      </c>
      <c r="AI385">
        <v>1.57436</v>
      </c>
      <c r="AJ385">
        <v>7.4702999999999999</v>
      </c>
      <c r="AK385">
        <v>0</v>
      </c>
      <c r="AL385">
        <v>0.107969</v>
      </c>
      <c r="AM385">
        <v>20.516200000000001</v>
      </c>
      <c r="AN385">
        <v>46.504800000000003</v>
      </c>
      <c r="AO385">
        <v>24.870799999999999</v>
      </c>
      <c r="AP385">
        <v>5.7708199999999996</v>
      </c>
      <c r="AQ385">
        <v>1.7379800000000001</v>
      </c>
      <c r="AR385">
        <v>0.59949399999999997</v>
      </c>
      <c r="AS385">
        <v>0.25836900000000002</v>
      </c>
      <c r="AT385">
        <v>1.3722399999999999</v>
      </c>
      <c r="AU385">
        <v>6.9533100000000001</v>
      </c>
      <c r="AV385">
        <v>27.1739</v>
      </c>
      <c r="AW385">
        <v>43.809800000000003</v>
      </c>
      <c r="AX385">
        <v>17.067699999999999</v>
      </c>
      <c r="AY385">
        <v>3.6230899999999999</v>
      </c>
      <c r="AZ385">
        <v>583.56899999999996</v>
      </c>
      <c r="BA385">
        <v>632.399</v>
      </c>
      <c r="BB385">
        <v>16767.599999999999</v>
      </c>
      <c r="BC385">
        <v>0.29141899999999998</v>
      </c>
      <c r="BD385">
        <v>0.66686800000000002</v>
      </c>
      <c r="BE385">
        <v>0.62286900000000001</v>
      </c>
      <c r="BF385">
        <v>1.3529899999999999</v>
      </c>
      <c r="BG385">
        <v>5.6828200000000004</v>
      </c>
      <c r="BH385">
        <v>18.877199999999998</v>
      </c>
      <c r="BI385">
        <v>72.797300000000007</v>
      </c>
      <c r="BJ385">
        <v>31.326799999999999</v>
      </c>
      <c r="BK385">
        <v>0</v>
      </c>
      <c r="BL385">
        <v>39.061999999999998</v>
      </c>
      <c r="BM385">
        <v>50.445500000000003</v>
      </c>
      <c r="BN385">
        <v>7.1045499999999997</v>
      </c>
      <c r="BO385">
        <v>1.63348</v>
      </c>
      <c r="BP385">
        <v>1.75448</v>
      </c>
      <c r="BQ385">
        <v>33.298900000000003</v>
      </c>
      <c r="BR385">
        <v>72728</v>
      </c>
    </row>
    <row r="386" spans="1:70" x14ac:dyDescent="0.25">
      <c r="A386">
        <v>42</v>
      </c>
      <c r="B386" s="7">
        <v>46024.521956018521</v>
      </c>
      <c r="C386" t="s">
        <v>158</v>
      </c>
      <c r="D386" s="6" t="s">
        <v>324</v>
      </c>
      <c r="E386" s="6" t="str">
        <f>VLOOKUP(F386,Germplasm!$A$1:$B$21,2,FALSE)</f>
        <v>Pernilla</v>
      </c>
      <c r="F386" t="s">
        <v>70</v>
      </c>
      <c r="G386" s="6" t="s">
        <v>113</v>
      </c>
      <c r="H386">
        <v>38681.199999999997</v>
      </c>
      <c r="I386">
        <v>484.15499999999997</v>
      </c>
      <c r="J386">
        <v>170745</v>
      </c>
      <c r="K386">
        <v>12.900499999999999</v>
      </c>
      <c r="L386">
        <v>55.9589</v>
      </c>
      <c r="M386">
        <v>1624.4</v>
      </c>
      <c r="N386">
        <v>607.16999999999996</v>
      </c>
      <c r="O386">
        <v>21910800</v>
      </c>
      <c r="P386">
        <v>1.00471E-2</v>
      </c>
      <c r="Q386">
        <v>1.17415</v>
      </c>
      <c r="R386">
        <v>35.683500000000002</v>
      </c>
      <c r="S386">
        <v>61.463799999999999</v>
      </c>
      <c r="T386">
        <v>1.4722200000000001</v>
      </c>
      <c r="U386">
        <v>0.17566899999999999</v>
      </c>
      <c r="V386">
        <v>3.06004E-2</v>
      </c>
      <c r="W386">
        <v>38.063200000000002</v>
      </c>
      <c r="X386">
        <v>18.619800000000001</v>
      </c>
      <c r="Y386">
        <v>52.8889</v>
      </c>
      <c r="Z386">
        <v>11.435499999999999</v>
      </c>
      <c r="AA386">
        <v>4.2999299999999998</v>
      </c>
      <c r="AB386">
        <v>2.0479599999999998</v>
      </c>
      <c r="AC386">
        <v>10.7079</v>
      </c>
      <c r="AD386">
        <v>1.7560800000000001</v>
      </c>
      <c r="AE386">
        <v>21.7226</v>
      </c>
      <c r="AF386">
        <v>0</v>
      </c>
      <c r="AG386">
        <v>75.678299999999993</v>
      </c>
      <c r="AH386">
        <v>16.703299999999999</v>
      </c>
      <c r="AI386">
        <v>1.4030899999999999</v>
      </c>
      <c r="AJ386">
        <v>6.2152900000000004</v>
      </c>
      <c r="AK386">
        <v>0</v>
      </c>
      <c r="AL386">
        <v>8.0702899999999994E-2</v>
      </c>
      <c r="AM386">
        <v>24.152799999999999</v>
      </c>
      <c r="AN386">
        <v>51.841700000000003</v>
      </c>
      <c r="AO386">
        <v>19.083300000000001</v>
      </c>
      <c r="AP386">
        <v>3.7139899999999999</v>
      </c>
      <c r="AQ386">
        <v>0.92594699999999996</v>
      </c>
      <c r="AR386">
        <v>0.28220400000000001</v>
      </c>
      <c r="AS386">
        <v>0.23222799999999999</v>
      </c>
      <c r="AT386">
        <v>1.1254200000000001</v>
      </c>
      <c r="AU386">
        <v>6.6981000000000002</v>
      </c>
      <c r="AV386">
        <v>33.271799999999999</v>
      </c>
      <c r="AW386">
        <v>44.971299999999999</v>
      </c>
      <c r="AX386">
        <v>11.78</v>
      </c>
      <c r="AY386">
        <v>2.1533600000000002</v>
      </c>
      <c r="AZ386">
        <v>566.44500000000005</v>
      </c>
      <c r="BA386">
        <v>638.99900000000002</v>
      </c>
      <c r="BB386">
        <v>22027</v>
      </c>
      <c r="BC386">
        <v>0.28553099999999998</v>
      </c>
      <c r="BD386">
        <v>0.59047499999999997</v>
      </c>
      <c r="BE386">
        <v>0.58027499999999999</v>
      </c>
      <c r="BF386">
        <v>1.19455</v>
      </c>
      <c r="BG386">
        <v>5.4582100000000002</v>
      </c>
      <c r="BH386">
        <v>18.555199999999999</v>
      </c>
      <c r="BI386">
        <v>73.621300000000005</v>
      </c>
      <c r="BJ386">
        <v>27.674199999999999</v>
      </c>
      <c r="BK386">
        <v>0</v>
      </c>
      <c r="BL386">
        <v>49.551200000000001</v>
      </c>
      <c r="BM386">
        <v>43.953600000000002</v>
      </c>
      <c r="BN386">
        <v>4.0709900000000001</v>
      </c>
      <c r="BO386">
        <v>1.15602</v>
      </c>
      <c r="BP386">
        <v>1.2682199999999999</v>
      </c>
      <c r="BQ386">
        <v>34.745199999999997</v>
      </c>
      <c r="BR386">
        <v>88234</v>
      </c>
    </row>
    <row r="387" spans="1:70" x14ac:dyDescent="0.25">
      <c r="A387">
        <v>42</v>
      </c>
      <c r="B387" s="7">
        <v>46024.522581018522</v>
      </c>
      <c r="C387" t="s">
        <v>158</v>
      </c>
      <c r="D387" s="6" t="s">
        <v>325</v>
      </c>
      <c r="E387" s="6" t="str">
        <f>VLOOKUP(F387,Germplasm!$A$1:$B$21,2,FALSE)</f>
        <v>Pernilla</v>
      </c>
      <c r="F387" t="s">
        <v>70</v>
      </c>
      <c r="G387" s="6" t="s">
        <v>113</v>
      </c>
      <c r="H387">
        <v>38792.5</v>
      </c>
      <c r="I387">
        <v>483.42899999999997</v>
      </c>
      <c r="J387">
        <v>170365</v>
      </c>
      <c r="K387">
        <v>12.9666</v>
      </c>
      <c r="L387">
        <v>55.869</v>
      </c>
      <c r="M387">
        <v>1626.17</v>
      </c>
      <c r="N387">
        <v>606.65700000000004</v>
      </c>
      <c r="O387">
        <v>21944200</v>
      </c>
      <c r="P387">
        <v>9.8079199999999995E-3</v>
      </c>
      <c r="Q387">
        <v>1.2582500000000001</v>
      </c>
      <c r="R387">
        <v>35.841500000000003</v>
      </c>
      <c r="S387">
        <v>61.0914</v>
      </c>
      <c r="T387">
        <v>1.54653</v>
      </c>
      <c r="U387">
        <v>0.22044900000000001</v>
      </c>
      <c r="V387">
        <v>4.1828700000000003E-2</v>
      </c>
      <c r="W387">
        <v>38.050800000000002</v>
      </c>
      <c r="X387">
        <v>18.810500000000001</v>
      </c>
      <c r="Y387">
        <v>52.111800000000002</v>
      </c>
      <c r="Z387">
        <v>11.621600000000001</v>
      </c>
      <c r="AA387">
        <v>4.3400100000000004</v>
      </c>
      <c r="AB387">
        <v>2.0541299999999998</v>
      </c>
      <c r="AC387">
        <v>11.061999999999999</v>
      </c>
      <c r="AD387">
        <v>1.75607</v>
      </c>
      <c r="AE387">
        <v>21.6356</v>
      </c>
      <c r="AF387">
        <v>0</v>
      </c>
      <c r="AG387">
        <v>75.855800000000002</v>
      </c>
      <c r="AH387">
        <v>16.495200000000001</v>
      </c>
      <c r="AI387">
        <v>1.3893899999999999</v>
      </c>
      <c r="AJ387">
        <v>6.2596100000000003</v>
      </c>
      <c r="AK387">
        <v>0</v>
      </c>
      <c r="AL387">
        <v>8.1151600000000004E-2</v>
      </c>
      <c r="AM387">
        <v>24.433599999999998</v>
      </c>
      <c r="AN387">
        <v>51.046799999999998</v>
      </c>
      <c r="AO387">
        <v>19.481999999999999</v>
      </c>
      <c r="AP387">
        <v>3.7939799999999999</v>
      </c>
      <c r="AQ387">
        <v>0.94397200000000003</v>
      </c>
      <c r="AR387">
        <v>0.29958400000000002</v>
      </c>
      <c r="AS387">
        <v>0.23227400000000001</v>
      </c>
      <c r="AT387">
        <v>1.1429400000000001</v>
      </c>
      <c r="AU387">
        <v>6.9006100000000004</v>
      </c>
      <c r="AV387">
        <v>33.3748</v>
      </c>
      <c r="AW387">
        <v>44.240099999999998</v>
      </c>
      <c r="AX387">
        <v>12.052300000000001</v>
      </c>
      <c r="AY387">
        <v>2.2892700000000001</v>
      </c>
      <c r="AZ387">
        <v>565.67999999999995</v>
      </c>
      <c r="BA387">
        <v>635.99900000000002</v>
      </c>
      <c r="BB387">
        <v>22090.5</v>
      </c>
      <c r="BC387">
        <v>0.28563899999999998</v>
      </c>
      <c r="BD387">
        <v>0.56073099999999998</v>
      </c>
      <c r="BE387">
        <v>0.58108000000000004</v>
      </c>
      <c r="BF387">
        <v>1.28312</v>
      </c>
      <c r="BG387">
        <v>5.6152199999999999</v>
      </c>
      <c r="BH387">
        <v>18.8399</v>
      </c>
      <c r="BI387">
        <v>73.12</v>
      </c>
      <c r="BJ387">
        <v>27.789100000000001</v>
      </c>
      <c r="BK387">
        <v>0</v>
      </c>
      <c r="BL387">
        <v>49.511600000000001</v>
      </c>
      <c r="BM387">
        <v>43.657899999999998</v>
      </c>
      <c r="BN387">
        <v>4.2699199999999999</v>
      </c>
      <c r="BO387">
        <v>1.18251</v>
      </c>
      <c r="BP387">
        <v>1.37809</v>
      </c>
      <c r="BQ387">
        <v>34.745600000000003</v>
      </c>
      <c r="BR387">
        <v>88456</v>
      </c>
    </row>
    <row r="388" spans="1:70" x14ac:dyDescent="0.25">
      <c r="A388">
        <v>42</v>
      </c>
      <c r="B388" s="7">
        <v>45952.568055555559</v>
      </c>
      <c r="C388" t="s">
        <v>160</v>
      </c>
      <c r="D388" s="6" t="s">
        <v>316</v>
      </c>
      <c r="E388" s="6" t="str">
        <f>VLOOKUP(F388,Germplasm!$A$1:$B$21,2,FALSE)</f>
        <v>Rodhette</v>
      </c>
      <c r="F388" t="s">
        <v>80</v>
      </c>
      <c r="G388" s="6" t="s">
        <v>113</v>
      </c>
      <c r="H388">
        <v>31078</v>
      </c>
      <c r="I388">
        <v>301.28899999999999</v>
      </c>
      <c r="J388">
        <v>115371</v>
      </c>
      <c r="K388">
        <v>15.4924</v>
      </c>
      <c r="L388">
        <v>85.567800000000005</v>
      </c>
      <c r="M388">
        <v>1273.55</v>
      </c>
      <c r="N388">
        <v>434.10199999999998</v>
      </c>
      <c r="O388">
        <v>10100700</v>
      </c>
      <c r="P388">
        <v>0.27631699999999998</v>
      </c>
      <c r="Q388">
        <v>0.38151200000000002</v>
      </c>
      <c r="R388">
        <v>2.8864999999999998</v>
      </c>
      <c r="S388">
        <v>13.460100000000001</v>
      </c>
      <c r="T388">
        <v>37.829799999999999</v>
      </c>
      <c r="U388">
        <v>44.794400000000003</v>
      </c>
      <c r="V388">
        <v>0.64775899999999997</v>
      </c>
      <c r="W388">
        <v>111.51300000000001</v>
      </c>
      <c r="X388">
        <v>0.938357</v>
      </c>
      <c r="Y388">
        <v>1.8718399999999999</v>
      </c>
      <c r="Z388">
        <v>4.1917600000000004</v>
      </c>
      <c r="AA388">
        <v>22.476700000000001</v>
      </c>
      <c r="AB388">
        <v>42.860900000000001</v>
      </c>
      <c r="AC388">
        <v>27.660399999999999</v>
      </c>
      <c r="AD388">
        <v>1.7387600000000001</v>
      </c>
      <c r="AE388">
        <v>7.1124200000000002</v>
      </c>
      <c r="AF388">
        <v>0</v>
      </c>
      <c r="AG388">
        <v>99.925299999999993</v>
      </c>
      <c r="AH388">
        <v>7.1431999999999995E-2</v>
      </c>
      <c r="AI388">
        <v>3.24691E-3</v>
      </c>
      <c r="AJ388">
        <v>0</v>
      </c>
      <c r="AK388">
        <v>0</v>
      </c>
      <c r="AL388">
        <v>0.54283999999999999</v>
      </c>
      <c r="AM388">
        <v>0.39937</v>
      </c>
      <c r="AN388">
        <v>2.2225100000000002</v>
      </c>
      <c r="AO388">
        <v>4.9142000000000001</v>
      </c>
      <c r="AP388">
        <v>13.385400000000001</v>
      </c>
      <c r="AQ388">
        <v>38.409300000000002</v>
      </c>
      <c r="AR388">
        <v>40.669199999999996</v>
      </c>
      <c r="AS388">
        <v>8.2333299999999998E-2</v>
      </c>
      <c r="AT388">
        <v>6.1009500000000001</v>
      </c>
      <c r="AU388">
        <v>27.119800000000001</v>
      </c>
      <c r="AV388">
        <v>42.414400000000001</v>
      </c>
      <c r="AW388">
        <v>18.955500000000001</v>
      </c>
      <c r="AX388">
        <v>3.8183699999999998</v>
      </c>
      <c r="AY388">
        <v>1.5909899999999999</v>
      </c>
      <c r="AZ388">
        <v>325.01100000000002</v>
      </c>
      <c r="BA388">
        <v>344.99900000000002</v>
      </c>
      <c r="BB388">
        <v>17873.7</v>
      </c>
      <c r="BC388">
        <v>3.5795899999999999E-2</v>
      </c>
      <c r="BD388">
        <v>4.7080200000000003E-2</v>
      </c>
      <c r="BE388">
        <v>0.34417300000000001</v>
      </c>
      <c r="BF388">
        <v>2.2468599999999999</v>
      </c>
      <c r="BG388">
        <v>30.582699999999999</v>
      </c>
      <c r="BH388">
        <v>60.775700000000001</v>
      </c>
      <c r="BI388">
        <v>6.0035400000000001</v>
      </c>
      <c r="BJ388">
        <v>36.685699999999997</v>
      </c>
      <c r="BK388">
        <v>0</v>
      </c>
      <c r="BL388">
        <v>21.848500000000001</v>
      </c>
      <c r="BM388">
        <v>61.033799999999999</v>
      </c>
      <c r="BN388">
        <v>15.542999999999999</v>
      </c>
      <c r="BO388">
        <v>1.2322</v>
      </c>
      <c r="BP388">
        <v>0.34254899999999999</v>
      </c>
      <c r="BQ388">
        <v>35.135300000000001</v>
      </c>
      <c r="BR388">
        <v>61597</v>
      </c>
    </row>
    <row r="389" spans="1:70" x14ac:dyDescent="0.25">
      <c r="A389">
        <v>42</v>
      </c>
      <c r="B389" s="7">
        <v>45959.533206018517</v>
      </c>
      <c r="C389" t="s">
        <v>160</v>
      </c>
      <c r="D389" s="6" t="s">
        <v>317</v>
      </c>
      <c r="E389" s="6" t="str">
        <f>VLOOKUP(F389,Germplasm!$A$1:$B$21,2,FALSE)</f>
        <v>Rodhette</v>
      </c>
      <c r="F389" t="s">
        <v>80</v>
      </c>
      <c r="G389" s="6" t="s">
        <v>113</v>
      </c>
      <c r="H389">
        <v>45713.5</v>
      </c>
      <c r="I389">
        <v>393.97300000000001</v>
      </c>
      <c r="J389">
        <v>156659</v>
      </c>
      <c r="K389">
        <v>16.770499999999998</v>
      </c>
      <c r="L389">
        <v>78.970799999999997</v>
      </c>
      <c r="M389">
        <v>1485.56</v>
      </c>
      <c r="N389">
        <v>525.78099999999995</v>
      </c>
      <c r="O389">
        <v>19102300</v>
      </c>
      <c r="P389">
        <v>0.24715400000000001</v>
      </c>
      <c r="Q389">
        <v>0.71919900000000003</v>
      </c>
      <c r="R389">
        <v>2.9523899999999998</v>
      </c>
      <c r="S389">
        <v>16.634499999999999</v>
      </c>
      <c r="T389">
        <v>44.809600000000003</v>
      </c>
      <c r="U389">
        <v>34.134999999999998</v>
      </c>
      <c r="V389">
        <v>0.74943599999999999</v>
      </c>
      <c r="W389">
        <v>116.749</v>
      </c>
      <c r="X389">
        <v>0.88442100000000001</v>
      </c>
      <c r="Y389">
        <v>1.75264</v>
      </c>
      <c r="Z389">
        <v>3.87568</v>
      </c>
      <c r="AA389">
        <v>18.213200000000001</v>
      </c>
      <c r="AB389">
        <v>38.237400000000001</v>
      </c>
      <c r="AC389">
        <v>37.0366</v>
      </c>
      <c r="AD389">
        <v>1.7399800000000001</v>
      </c>
      <c r="AE389">
        <v>6.9671799999999999</v>
      </c>
      <c r="AF389">
        <v>0</v>
      </c>
      <c r="AG389">
        <v>99.804500000000004</v>
      </c>
      <c r="AH389">
        <v>0.193298</v>
      </c>
      <c r="AI389">
        <v>2.1597600000000002E-3</v>
      </c>
      <c r="AJ389">
        <v>0</v>
      </c>
      <c r="AK389">
        <v>0</v>
      </c>
      <c r="AL389">
        <v>0.52937900000000004</v>
      </c>
      <c r="AM389">
        <v>0.48810500000000001</v>
      </c>
      <c r="AN389">
        <v>2.4459200000000001</v>
      </c>
      <c r="AO389">
        <v>5.6520799999999998</v>
      </c>
      <c r="AP389">
        <v>15.567500000000001</v>
      </c>
      <c r="AQ389">
        <v>40.263300000000001</v>
      </c>
      <c r="AR389">
        <v>35.583100000000002</v>
      </c>
      <c r="AS389">
        <v>4.4904600000000003E-2</v>
      </c>
      <c r="AT389">
        <v>7.9392699999999996</v>
      </c>
      <c r="AU389">
        <v>34.970799999999997</v>
      </c>
      <c r="AV389">
        <v>39.598100000000002</v>
      </c>
      <c r="AW389">
        <v>12.843</v>
      </c>
      <c r="AX389">
        <v>2.7482899999999999</v>
      </c>
      <c r="AY389">
        <v>1.90059</v>
      </c>
      <c r="AZ389">
        <v>417.86900000000003</v>
      </c>
      <c r="BA389">
        <v>457.19900000000001</v>
      </c>
      <c r="BB389">
        <v>26272.5</v>
      </c>
      <c r="BC389">
        <v>1.6635299999999999E-2</v>
      </c>
      <c r="BD389">
        <v>8.5310399999999995E-2</v>
      </c>
      <c r="BE389">
        <v>0.51186200000000004</v>
      </c>
      <c r="BF389">
        <v>3.1068099999999998</v>
      </c>
      <c r="BG389">
        <v>39.202800000000003</v>
      </c>
      <c r="BH389">
        <v>51.154899999999998</v>
      </c>
      <c r="BI389">
        <v>5.93825</v>
      </c>
      <c r="BJ389">
        <v>33.844200000000001</v>
      </c>
      <c r="BK389">
        <v>0</v>
      </c>
      <c r="BL389">
        <v>28.716100000000001</v>
      </c>
      <c r="BM389">
        <v>59.407400000000003</v>
      </c>
      <c r="BN389">
        <v>9.76966</v>
      </c>
      <c r="BO389">
        <v>1.1360300000000001</v>
      </c>
      <c r="BP389">
        <v>0.97081099999999998</v>
      </c>
      <c r="BQ389">
        <v>35.120199999999997</v>
      </c>
      <c r="BR389">
        <v>92603</v>
      </c>
    </row>
    <row r="390" spans="1:70" x14ac:dyDescent="0.25">
      <c r="A390">
        <v>42</v>
      </c>
      <c r="B390" s="7">
        <v>45966.546053240738</v>
      </c>
      <c r="C390" t="s">
        <v>160</v>
      </c>
      <c r="D390" s="6" t="s">
        <v>318</v>
      </c>
      <c r="E390" s="6" t="str">
        <f>VLOOKUP(F390,Germplasm!$A$1:$B$21,2,FALSE)</f>
        <v>Rodhette</v>
      </c>
      <c r="F390" t="s">
        <v>80</v>
      </c>
      <c r="G390" s="6" t="s">
        <v>113</v>
      </c>
      <c r="H390">
        <v>66284.600000000006</v>
      </c>
      <c r="I390">
        <v>427.60399999999998</v>
      </c>
      <c r="J390">
        <v>197251</v>
      </c>
      <c r="K390">
        <v>19.523700000000002</v>
      </c>
      <c r="L390">
        <v>74.768000000000001</v>
      </c>
      <c r="M390">
        <v>1684.36</v>
      </c>
      <c r="N390">
        <v>624.26</v>
      </c>
      <c r="O390">
        <v>32121600</v>
      </c>
      <c r="P390">
        <v>0.27296999999999999</v>
      </c>
      <c r="Q390">
        <v>0.50425900000000001</v>
      </c>
      <c r="R390">
        <v>2.1789100000000001</v>
      </c>
      <c r="S390">
        <v>11.600199999999999</v>
      </c>
      <c r="T390">
        <v>42.404000000000003</v>
      </c>
      <c r="U390">
        <v>42.645000000000003</v>
      </c>
      <c r="V390">
        <v>0.66762100000000002</v>
      </c>
      <c r="W390">
        <v>114.935</v>
      </c>
      <c r="X390">
        <v>0.83247499999999997</v>
      </c>
      <c r="Y390">
        <v>1.6686799999999999</v>
      </c>
      <c r="Z390">
        <v>3.1098499999999998</v>
      </c>
      <c r="AA390">
        <v>16.013200000000001</v>
      </c>
      <c r="AB390">
        <v>46.801400000000001</v>
      </c>
      <c r="AC390">
        <v>31.574400000000001</v>
      </c>
      <c r="AD390">
        <v>1.7212000000000001</v>
      </c>
      <c r="AE390">
        <v>6.8000699999999998</v>
      </c>
      <c r="AF390">
        <v>0</v>
      </c>
      <c r="AG390">
        <v>99.820999999999998</v>
      </c>
      <c r="AH390">
        <v>0.171568</v>
      </c>
      <c r="AI390">
        <v>6.7135099999999998E-3</v>
      </c>
      <c r="AJ390">
        <v>7.4594600000000004E-4</v>
      </c>
      <c r="AK390">
        <v>0</v>
      </c>
      <c r="AL390">
        <v>0.54803199999999996</v>
      </c>
      <c r="AM390">
        <v>0.568411</v>
      </c>
      <c r="AN390">
        <v>2.3385400000000001</v>
      </c>
      <c r="AO390">
        <v>4.4033199999999999</v>
      </c>
      <c r="AP390">
        <v>10.9057</v>
      </c>
      <c r="AQ390">
        <v>39.848399999999998</v>
      </c>
      <c r="AR390">
        <v>41.935600000000001</v>
      </c>
      <c r="AS390">
        <v>5.7499300000000003E-2</v>
      </c>
      <c r="AT390">
        <v>5.2149099999999997</v>
      </c>
      <c r="AU390">
        <v>33.418399999999998</v>
      </c>
      <c r="AV390">
        <v>44.157800000000002</v>
      </c>
      <c r="AW390">
        <v>12.9123</v>
      </c>
      <c r="AX390">
        <v>2.66601</v>
      </c>
      <c r="AY390">
        <v>1.6306400000000001</v>
      </c>
      <c r="AZ390">
        <v>484.601</v>
      </c>
      <c r="BA390">
        <v>540.59900000000005</v>
      </c>
      <c r="BB390">
        <v>38510.6</v>
      </c>
      <c r="BC390">
        <v>2.6323599999999999E-2</v>
      </c>
      <c r="BD390">
        <v>3.0583800000000001E-2</v>
      </c>
      <c r="BE390">
        <v>0.21707000000000001</v>
      </c>
      <c r="BF390">
        <v>1.69255</v>
      </c>
      <c r="BG390">
        <v>36.693100000000001</v>
      </c>
      <c r="BH390">
        <v>55.584099999999999</v>
      </c>
      <c r="BI390">
        <v>5.7825699999999998</v>
      </c>
      <c r="BJ390">
        <v>35.313000000000002</v>
      </c>
      <c r="BK390">
        <v>0</v>
      </c>
      <c r="BL390">
        <v>22.023299999999999</v>
      </c>
      <c r="BM390">
        <v>65.6768</v>
      </c>
      <c r="BN390">
        <v>10.585699999999999</v>
      </c>
      <c r="BO390">
        <v>1.05477</v>
      </c>
      <c r="BP390">
        <v>0.659416</v>
      </c>
      <c r="BQ390">
        <v>35.568600000000004</v>
      </c>
      <c r="BR390">
        <v>134058</v>
      </c>
    </row>
    <row r="391" spans="1:70" x14ac:dyDescent="0.25">
      <c r="A391">
        <v>42</v>
      </c>
      <c r="B391" s="7">
        <v>45973.562476851854</v>
      </c>
      <c r="C391" t="s">
        <v>160</v>
      </c>
      <c r="D391" s="6" t="s">
        <v>319</v>
      </c>
      <c r="E391" s="6" t="str">
        <f>VLOOKUP(F391,Germplasm!$A$1:$B$21,2,FALSE)</f>
        <v>Rodhette</v>
      </c>
      <c r="F391" t="s">
        <v>80</v>
      </c>
      <c r="G391" s="6" t="s">
        <v>113</v>
      </c>
      <c r="H391">
        <v>73143.899999999994</v>
      </c>
      <c r="I391">
        <v>479.44200000000001</v>
      </c>
      <c r="J391">
        <v>215485</v>
      </c>
      <c r="K391">
        <v>19.517399999999999</v>
      </c>
      <c r="L391">
        <v>85.610100000000003</v>
      </c>
      <c r="M391">
        <v>1708.62</v>
      </c>
      <c r="N391">
        <v>592.32600000000002</v>
      </c>
      <c r="O391">
        <v>40658700</v>
      </c>
      <c r="P391">
        <v>0.25078699999999998</v>
      </c>
      <c r="Q391">
        <v>0.73204499999999995</v>
      </c>
      <c r="R391">
        <v>2.9858099999999999</v>
      </c>
      <c r="S391">
        <v>15.433299999999999</v>
      </c>
      <c r="T391">
        <v>44.8249</v>
      </c>
      <c r="U391">
        <v>35.077100000000002</v>
      </c>
      <c r="V391">
        <v>0.94678799999999996</v>
      </c>
      <c r="W391">
        <v>115.47499999999999</v>
      </c>
      <c r="X391">
        <v>1.3508899999999999</v>
      </c>
      <c r="Y391">
        <v>2.8808400000000001</v>
      </c>
      <c r="Z391">
        <v>3.8111600000000001</v>
      </c>
      <c r="AA391">
        <v>15.130800000000001</v>
      </c>
      <c r="AB391">
        <v>40.947899999999997</v>
      </c>
      <c r="AC391">
        <v>35.878500000000003</v>
      </c>
      <c r="AD391">
        <v>1.73916</v>
      </c>
      <c r="AE391">
        <v>6.8929600000000004</v>
      </c>
      <c r="AF391">
        <v>0</v>
      </c>
      <c r="AG391">
        <v>99.663799999999995</v>
      </c>
      <c r="AH391">
        <v>0.33617799999999998</v>
      </c>
      <c r="AI391">
        <v>0</v>
      </c>
      <c r="AJ391">
        <v>0</v>
      </c>
      <c r="AK391">
        <v>0</v>
      </c>
      <c r="AL391">
        <v>0.51691399999999998</v>
      </c>
      <c r="AM391">
        <v>1.1601600000000001</v>
      </c>
      <c r="AN391">
        <v>4.5500699999999998</v>
      </c>
      <c r="AO391">
        <v>5.7836400000000001</v>
      </c>
      <c r="AP391">
        <v>13.2866</v>
      </c>
      <c r="AQ391">
        <v>39.588099999999997</v>
      </c>
      <c r="AR391">
        <v>35.631500000000003</v>
      </c>
      <c r="AS391">
        <v>5.4295200000000002E-2</v>
      </c>
      <c r="AT391">
        <v>5.2471300000000003</v>
      </c>
      <c r="AU391">
        <v>37.276699999999998</v>
      </c>
      <c r="AV391">
        <v>39.362400000000001</v>
      </c>
      <c r="AW391">
        <v>12.817299999999999</v>
      </c>
      <c r="AX391">
        <v>3.3144399999999998</v>
      </c>
      <c r="AY391">
        <v>1.9820800000000001</v>
      </c>
      <c r="AZ391">
        <v>555.87300000000005</v>
      </c>
      <c r="BA391">
        <v>635.99900000000002</v>
      </c>
      <c r="BB391">
        <v>42057.1</v>
      </c>
      <c r="BC391">
        <v>3.0059700000000002E-2</v>
      </c>
      <c r="BD391">
        <v>9.6050899999999995E-2</v>
      </c>
      <c r="BE391">
        <v>0.297072</v>
      </c>
      <c r="BF391">
        <v>1.8832800000000001</v>
      </c>
      <c r="BG391">
        <v>40.244700000000002</v>
      </c>
      <c r="BH391">
        <v>48.820599999999999</v>
      </c>
      <c r="BI391">
        <v>8.6583100000000002</v>
      </c>
      <c r="BJ391">
        <v>34.056199999999997</v>
      </c>
      <c r="BK391">
        <v>0</v>
      </c>
      <c r="BL391">
        <v>26.542300000000001</v>
      </c>
      <c r="BM391">
        <v>62.105200000000004</v>
      </c>
      <c r="BN391">
        <v>9.0377100000000006</v>
      </c>
      <c r="BO391">
        <v>1.26993</v>
      </c>
      <c r="BP391">
        <v>1.0448999999999999</v>
      </c>
      <c r="BQ391">
        <v>35.150300000000001</v>
      </c>
      <c r="BR391">
        <v>145756</v>
      </c>
    </row>
    <row r="392" spans="1:70" x14ac:dyDescent="0.25">
      <c r="A392">
        <v>42</v>
      </c>
      <c r="B392" s="7">
        <v>45988.557233796295</v>
      </c>
      <c r="C392" t="s">
        <v>160</v>
      </c>
      <c r="D392" s="6" t="s">
        <v>320</v>
      </c>
      <c r="E392" s="6" t="str">
        <f>VLOOKUP(F392,Germplasm!$A$1:$B$21,2,FALSE)</f>
        <v>Rodhette</v>
      </c>
      <c r="F392" t="s">
        <v>80</v>
      </c>
      <c r="G392" s="6" t="s">
        <v>113</v>
      </c>
      <c r="H392">
        <v>63995</v>
      </c>
      <c r="I392">
        <v>426.77800000000002</v>
      </c>
      <c r="J392">
        <v>194305</v>
      </c>
      <c r="K392">
        <v>18.587800000000001</v>
      </c>
      <c r="L392">
        <v>77.368600000000001</v>
      </c>
      <c r="M392">
        <v>1646.82</v>
      </c>
      <c r="N392">
        <v>583.56600000000003</v>
      </c>
      <c r="O392">
        <v>35785400</v>
      </c>
      <c r="P392">
        <v>0.211285</v>
      </c>
      <c r="Q392">
        <v>1.0994299999999999</v>
      </c>
      <c r="R392">
        <v>4.7979799999999999</v>
      </c>
      <c r="S392">
        <v>21.8414</v>
      </c>
      <c r="T392">
        <v>46.208599999999997</v>
      </c>
      <c r="U392">
        <v>25.591000000000001</v>
      </c>
      <c r="V392">
        <v>0.46167200000000003</v>
      </c>
      <c r="W392">
        <v>94.274699999999996</v>
      </c>
      <c r="X392">
        <v>2.9061599999999999</v>
      </c>
      <c r="Y392">
        <v>7.84694</v>
      </c>
      <c r="Z392">
        <v>9.7476299999999991</v>
      </c>
      <c r="AA392">
        <v>34.3827</v>
      </c>
      <c r="AB392">
        <v>30.701899999999998</v>
      </c>
      <c r="AC392">
        <v>14.4147</v>
      </c>
      <c r="AD392">
        <v>1.7718799999999999</v>
      </c>
      <c r="AE392">
        <v>9.9433600000000002</v>
      </c>
      <c r="AF392">
        <v>0</v>
      </c>
      <c r="AG392">
        <v>98.042299999999997</v>
      </c>
      <c r="AH392">
        <v>1.8378099999999999</v>
      </c>
      <c r="AI392">
        <v>8.8783000000000001E-2</v>
      </c>
      <c r="AJ392">
        <v>3.10741E-2</v>
      </c>
      <c r="AK392">
        <v>0</v>
      </c>
      <c r="AL392">
        <v>0.37843300000000002</v>
      </c>
      <c r="AM392">
        <v>2.81664</v>
      </c>
      <c r="AN392">
        <v>12.156599999999999</v>
      </c>
      <c r="AO392">
        <v>16.028300000000002</v>
      </c>
      <c r="AP392">
        <v>27.2852</v>
      </c>
      <c r="AQ392">
        <v>32.444299999999998</v>
      </c>
      <c r="AR392">
        <v>9.2689500000000002</v>
      </c>
      <c r="AS392">
        <v>0.172819</v>
      </c>
      <c r="AT392">
        <v>1.4590000000000001</v>
      </c>
      <c r="AU392">
        <v>15.3817</v>
      </c>
      <c r="AV392">
        <v>41.815300000000001</v>
      </c>
      <c r="AW392">
        <v>31.588999999999999</v>
      </c>
      <c r="AX392">
        <v>7.0560299999999998</v>
      </c>
      <c r="AY392">
        <v>2.6989999999999998</v>
      </c>
      <c r="AZ392">
        <v>559.19000000000005</v>
      </c>
      <c r="BA392">
        <v>636.6</v>
      </c>
      <c r="BB392">
        <v>36117</v>
      </c>
      <c r="BC392">
        <v>0.136655</v>
      </c>
      <c r="BD392">
        <v>0.13169500000000001</v>
      </c>
      <c r="BE392">
        <v>0.27152799999999999</v>
      </c>
      <c r="BF392">
        <v>0.87969200000000003</v>
      </c>
      <c r="BG392">
        <v>15.5489</v>
      </c>
      <c r="BH392">
        <v>55.003999999999998</v>
      </c>
      <c r="BI392">
        <v>28.164200000000001</v>
      </c>
      <c r="BJ392">
        <v>34.603099999999998</v>
      </c>
      <c r="BK392">
        <v>0</v>
      </c>
      <c r="BL392">
        <v>26.246500000000001</v>
      </c>
      <c r="BM392">
        <v>61.850700000000003</v>
      </c>
      <c r="BN392">
        <v>9.3873200000000008</v>
      </c>
      <c r="BO392">
        <v>1.1549199999999999</v>
      </c>
      <c r="BP392">
        <v>1.3606</v>
      </c>
      <c r="BQ392">
        <v>34.404200000000003</v>
      </c>
      <c r="BR392">
        <v>135161</v>
      </c>
    </row>
    <row r="393" spans="1:70" x14ac:dyDescent="0.25">
      <c r="A393">
        <v>42</v>
      </c>
      <c r="B393" s="7">
        <v>45994.568148148152</v>
      </c>
      <c r="C393" t="s">
        <v>160</v>
      </c>
      <c r="D393" s="6" t="s">
        <v>321</v>
      </c>
      <c r="E393" s="6" t="str">
        <f>VLOOKUP(F393,Germplasm!$A$1:$B$21,2,FALSE)</f>
        <v>Rodhette</v>
      </c>
      <c r="F393" t="s">
        <v>80</v>
      </c>
      <c r="G393" s="6" t="s">
        <v>113</v>
      </c>
      <c r="H393">
        <v>41698.6</v>
      </c>
      <c r="I393">
        <v>401.25700000000001</v>
      </c>
      <c r="J393">
        <v>149401</v>
      </c>
      <c r="K393">
        <v>16.061900000000001</v>
      </c>
      <c r="L393">
        <v>84.901300000000006</v>
      </c>
      <c r="M393">
        <v>1446.01</v>
      </c>
      <c r="N393">
        <v>492.08800000000002</v>
      </c>
      <c r="O393">
        <v>23259700</v>
      </c>
      <c r="P393">
        <v>0.157363</v>
      </c>
      <c r="Q393">
        <v>0.50605999999999995</v>
      </c>
      <c r="R393">
        <v>7.2379600000000002</v>
      </c>
      <c r="S393">
        <v>43.8947</v>
      </c>
      <c r="T393">
        <v>35.104900000000001</v>
      </c>
      <c r="U393">
        <v>13.0533</v>
      </c>
      <c r="V393">
        <v>0.20307500000000001</v>
      </c>
      <c r="W393">
        <v>69.103099999999998</v>
      </c>
      <c r="X393">
        <v>4.1266699999999998</v>
      </c>
      <c r="Y393">
        <v>28.072199999999999</v>
      </c>
      <c r="Z393">
        <v>22.611999999999998</v>
      </c>
      <c r="AA393">
        <v>26.4313</v>
      </c>
      <c r="AB393">
        <v>14.0068</v>
      </c>
      <c r="AC393">
        <v>4.7511000000000001</v>
      </c>
      <c r="AD393">
        <v>1.73769</v>
      </c>
      <c r="AE393">
        <v>13.3833</v>
      </c>
      <c r="AF393">
        <v>0</v>
      </c>
      <c r="AG393">
        <v>94.861199999999997</v>
      </c>
      <c r="AH393">
        <v>5.1333599999999997</v>
      </c>
      <c r="AI393">
        <v>5.4298200000000001E-3</v>
      </c>
      <c r="AJ393">
        <v>0</v>
      </c>
      <c r="AK393">
        <v>0</v>
      </c>
      <c r="AL393">
        <v>0.217948</v>
      </c>
      <c r="AM393">
        <v>10.2765</v>
      </c>
      <c r="AN393">
        <v>34.608600000000003</v>
      </c>
      <c r="AO393">
        <v>20.8809</v>
      </c>
      <c r="AP393">
        <v>18.839300000000001</v>
      </c>
      <c r="AQ393">
        <v>12.3322</v>
      </c>
      <c r="AR393">
        <v>3.0624199999999999</v>
      </c>
      <c r="AS393">
        <v>0.286246</v>
      </c>
      <c r="AT393">
        <v>0.27474900000000002</v>
      </c>
      <c r="AU393">
        <v>4.6001500000000002</v>
      </c>
      <c r="AV393">
        <v>27.4206</v>
      </c>
      <c r="AW393">
        <v>40.741100000000003</v>
      </c>
      <c r="AX393">
        <v>24.262599999999999</v>
      </c>
      <c r="AY393">
        <v>2.70079</v>
      </c>
      <c r="AZ393">
        <v>557.80600000000004</v>
      </c>
      <c r="BA393">
        <v>609.29899999999998</v>
      </c>
      <c r="BB393">
        <v>23996.5</v>
      </c>
      <c r="BC393">
        <v>0.30176399999999998</v>
      </c>
      <c r="BD393">
        <v>2.06333E-2</v>
      </c>
      <c r="BE393">
        <v>7.3845599999999997E-2</v>
      </c>
      <c r="BF393">
        <v>0.30407000000000001</v>
      </c>
      <c r="BG393">
        <v>4.4763500000000001</v>
      </c>
      <c r="BH393">
        <v>33.056800000000003</v>
      </c>
      <c r="BI393">
        <v>62.068300000000001</v>
      </c>
      <c r="BJ393">
        <v>36.428600000000003</v>
      </c>
      <c r="BK393">
        <v>0</v>
      </c>
      <c r="BL393">
        <v>22.5718</v>
      </c>
      <c r="BM393">
        <v>61.083399999999997</v>
      </c>
      <c r="BN393">
        <v>14.8734</v>
      </c>
      <c r="BO393">
        <v>1.0881400000000001</v>
      </c>
      <c r="BP393">
        <v>0.38334600000000002</v>
      </c>
      <c r="BQ393">
        <v>35.170699999999997</v>
      </c>
      <c r="BR393">
        <v>92084</v>
      </c>
    </row>
    <row r="394" spans="1:70" x14ac:dyDescent="0.25">
      <c r="A394">
        <v>42</v>
      </c>
      <c r="B394" s="7">
        <v>46002.560428240744</v>
      </c>
      <c r="C394" t="s">
        <v>160</v>
      </c>
      <c r="D394" s="6" t="s">
        <v>322</v>
      </c>
      <c r="E394" s="6" t="str">
        <f>VLOOKUP(F394,Germplasm!$A$1:$B$21,2,FALSE)</f>
        <v>Rodhette</v>
      </c>
      <c r="F394" t="s">
        <v>80</v>
      </c>
      <c r="G394" s="6" t="s">
        <v>113</v>
      </c>
      <c r="H394">
        <v>28214.9</v>
      </c>
      <c r="I394">
        <v>425.471</v>
      </c>
      <c r="J394">
        <v>104774</v>
      </c>
      <c r="K394">
        <v>14.917</v>
      </c>
      <c r="L394">
        <v>62.859099999999998</v>
      </c>
      <c r="M394">
        <v>1255.57</v>
      </c>
      <c r="N394">
        <v>457.90499999999997</v>
      </c>
      <c r="O394">
        <v>15045600</v>
      </c>
      <c r="P394">
        <v>8.9636400000000005E-2</v>
      </c>
      <c r="Q394">
        <v>1.0182599999999999</v>
      </c>
      <c r="R394">
        <v>17.903700000000001</v>
      </c>
      <c r="S394">
        <v>53.393900000000002</v>
      </c>
      <c r="T394">
        <v>22.390999999999998</v>
      </c>
      <c r="U394">
        <v>5.1155600000000003</v>
      </c>
      <c r="V394">
        <v>0.17755000000000001</v>
      </c>
      <c r="W394">
        <v>54.792999999999999</v>
      </c>
      <c r="X394">
        <v>9.0383499999999994</v>
      </c>
      <c r="Y394">
        <v>40.171799999999998</v>
      </c>
      <c r="Z394">
        <v>21.280200000000001</v>
      </c>
      <c r="AA394">
        <v>17.618400000000001</v>
      </c>
      <c r="AB394">
        <v>5.7089100000000004</v>
      </c>
      <c r="AC394">
        <v>6.1823800000000002</v>
      </c>
      <c r="AD394">
        <v>1.80528</v>
      </c>
      <c r="AE394">
        <v>15.724299999999999</v>
      </c>
      <c r="AF394">
        <v>0</v>
      </c>
      <c r="AG394">
        <v>85.427300000000002</v>
      </c>
      <c r="AH394">
        <v>14.4468</v>
      </c>
      <c r="AI394">
        <v>0.11684899999999999</v>
      </c>
      <c r="AJ394">
        <v>9.1051199999999995E-3</v>
      </c>
      <c r="AK394">
        <v>0</v>
      </c>
      <c r="AL394">
        <v>0.138324</v>
      </c>
      <c r="AM394">
        <v>15.3421</v>
      </c>
      <c r="AN394">
        <v>47.4711</v>
      </c>
      <c r="AO394">
        <v>19.988800000000001</v>
      </c>
      <c r="AP394">
        <v>11.496700000000001</v>
      </c>
      <c r="AQ394">
        <v>4.4266100000000002</v>
      </c>
      <c r="AR394">
        <v>1.2747200000000001</v>
      </c>
      <c r="AS394">
        <v>0.27220299999999997</v>
      </c>
      <c r="AT394">
        <v>0.57513999999999998</v>
      </c>
      <c r="AU394">
        <v>4.4994500000000004</v>
      </c>
      <c r="AV394">
        <v>27.051300000000001</v>
      </c>
      <c r="AW394">
        <v>48.7776</v>
      </c>
      <c r="AX394">
        <v>15.6487</v>
      </c>
      <c r="AY394">
        <v>3.4478</v>
      </c>
      <c r="AZ394">
        <v>533.25300000000004</v>
      </c>
      <c r="BA394">
        <v>592.19899999999996</v>
      </c>
      <c r="BB394">
        <v>15629.1</v>
      </c>
      <c r="BC394">
        <v>0.31777699999999998</v>
      </c>
      <c r="BD394">
        <v>7.8910999999999995E-2</v>
      </c>
      <c r="BE394">
        <v>0.28225899999999998</v>
      </c>
      <c r="BF394">
        <v>0.69047099999999995</v>
      </c>
      <c r="BG394">
        <v>4.0229400000000002</v>
      </c>
      <c r="BH394">
        <v>22.298400000000001</v>
      </c>
      <c r="BI394">
        <v>72.626999999999995</v>
      </c>
      <c r="BJ394">
        <v>31.831800000000001</v>
      </c>
      <c r="BK394">
        <v>0</v>
      </c>
      <c r="BL394">
        <v>35.51</v>
      </c>
      <c r="BM394">
        <v>54.026699999999998</v>
      </c>
      <c r="BN394">
        <v>8.3660899999999998</v>
      </c>
      <c r="BO394">
        <v>1.45682</v>
      </c>
      <c r="BP394">
        <v>0.64039299999999999</v>
      </c>
      <c r="BQ394">
        <v>33.657200000000003</v>
      </c>
      <c r="BR394">
        <v>65897</v>
      </c>
    </row>
    <row r="395" spans="1:70" x14ac:dyDescent="0.25">
      <c r="A395">
        <v>42</v>
      </c>
      <c r="B395" s="7">
        <v>46013.583784722221</v>
      </c>
      <c r="C395" t="s">
        <v>160</v>
      </c>
      <c r="D395" s="6" t="s">
        <v>323</v>
      </c>
      <c r="E395" s="6" t="str">
        <f>VLOOKUP(F395,Germplasm!$A$1:$B$21,2,FALSE)</f>
        <v>Rodhette</v>
      </c>
      <c r="F395" t="s">
        <v>80</v>
      </c>
      <c r="G395" s="6" t="s">
        <v>113</v>
      </c>
      <c r="H395">
        <v>20178.5</v>
      </c>
      <c r="I395">
        <v>503.71699999999998</v>
      </c>
      <c r="J395">
        <v>63254.2</v>
      </c>
      <c r="K395">
        <v>15.895799999999999</v>
      </c>
      <c r="L395">
        <v>67.034300000000002</v>
      </c>
      <c r="M395">
        <v>1009</v>
      </c>
      <c r="N395">
        <v>355.59100000000001</v>
      </c>
      <c r="O395">
        <v>10935500</v>
      </c>
      <c r="P395">
        <v>2.6253200000000001E-2</v>
      </c>
      <c r="Q395">
        <v>1.52321</v>
      </c>
      <c r="R395">
        <v>26.2456</v>
      </c>
      <c r="S395">
        <v>66.976600000000005</v>
      </c>
      <c r="T395">
        <v>4.4866599999999996</v>
      </c>
      <c r="U395">
        <v>0.66800000000000004</v>
      </c>
      <c r="V395">
        <v>9.9987199999999998E-2</v>
      </c>
      <c r="W395">
        <v>39.674799999999998</v>
      </c>
      <c r="X395">
        <v>13.949299999999999</v>
      </c>
      <c r="Y395">
        <v>59.2988</v>
      </c>
      <c r="Z395">
        <v>15.832000000000001</v>
      </c>
      <c r="AA395">
        <v>4.0335299999999998</v>
      </c>
      <c r="AB395">
        <v>1.0488</v>
      </c>
      <c r="AC395">
        <v>5.8375500000000002</v>
      </c>
      <c r="AD395">
        <v>2.0068700000000002</v>
      </c>
      <c r="AE395">
        <v>16.986899999999999</v>
      </c>
      <c r="AF395">
        <v>0</v>
      </c>
      <c r="AG395">
        <v>81.604500000000002</v>
      </c>
      <c r="AH395">
        <v>18.338100000000001</v>
      </c>
      <c r="AI395">
        <v>5.7439499999999998E-2</v>
      </c>
      <c r="AJ395">
        <v>0</v>
      </c>
      <c r="AK395">
        <v>0</v>
      </c>
      <c r="AL395">
        <v>6.15963E-2</v>
      </c>
      <c r="AM395">
        <v>25.588200000000001</v>
      </c>
      <c r="AN395">
        <v>57.832999999999998</v>
      </c>
      <c r="AO395">
        <v>11.8687</v>
      </c>
      <c r="AP395">
        <v>3.4740199999999999</v>
      </c>
      <c r="AQ395">
        <v>0.87222900000000003</v>
      </c>
      <c r="AR395">
        <v>0.36378300000000002</v>
      </c>
      <c r="AS395">
        <v>0.25378200000000001</v>
      </c>
      <c r="AT395">
        <v>0.84031800000000001</v>
      </c>
      <c r="AU395">
        <v>2.8294299999999999</v>
      </c>
      <c r="AV395">
        <v>32.959600000000002</v>
      </c>
      <c r="AW395">
        <v>51.097700000000003</v>
      </c>
      <c r="AX395">
        <v>8.92652</v>
      </c>
      <c r="AY395">
        <v>3.3463799999999999</v>
      </c>
      <c r="AZ395">
        <v>541.93499999999995</v>
      </c>
      <c r="BA395">
        <v>590.99900000000002</v>
      </c>
      <c r="BB395">
        <v>10054.700000000001</v>
      </c>
      <c r="BC395">
        <v>0.33766299999999999</v>
      </c>
      <c r="BD395">
        <v>0.28081499999999998</v>
      </c>
      <c r="BE395">
        <v>0.46589799999999998</v>
      </c>
      <c r="BF395">
        <v>0.73820399999999997</v>
      </c>
      <c r="BG395">
        <v>2.1784500000000002</v>
      </c>
      <c r="BH395">
        <v>13.0749</v>
      </c>
      <c r="BI395">
        <v>83.261700000000005</v>
      </c>
      <c r="BJ395">
        <v>27.320900000000002</v>
      </c>
      <c r="BK395">
        <v>0</v>
      </c>
      <c r="BL395">
        <v>50.446800000000003</v>
      </c>
      <c r="BM395">
        <v>42.749899999999997</v>
      </c>
      <c r="BN395">
        <v>4.7228000000000003</v>
      </c>
      <c r="BO395">
        <v>1.12113</v>
      </c>
      <c r="BP395">
        <v>0.95945199999999997</v>
      </c>
      <c r="BQ395">
        <v>29.883900000000001</v>
      </c>
      <c r="BR395">
        <v>47006</v>
      </c>
    </row>
    <row r="396" spans="1:70" x14ac:dyDescent="0.25">
      <c r="A396">
        <v>42</v>
      </c>
      <c r="B396" s="7">
        <v>46024.521956018521</v>
      </c>
      <c r="C396" t="s">
        <v>160</v>
      </c>
      <c r="D396" s="6" t="s">
        <v>324</v>
      </c>
      <c r="E396" s="6" t="str">
        <f>VLOOKUP(F396,Germplasm!$A$1:$B$21,2,FALSE)</f>
        <v>Rodhette</v>
      </c>
      <c r="F396" t="s">
        <v>80</v>
      </c>
      <c r="G396" s="6" t="s">
        <v>113</v>
      </c>
      <c r="H396">
        <v>25998.2</v>
      </c>
      <c r="I396">
        <v>411.25400000000002</v>
      </c>
      <c r="J396">
        <v>57299</v>
      </c>
      <c r="K396">
        <v>22.485800000000001</v>
      </c>
      <c r="L396">
        <v>83.750600000000006</v>
      </c>
      <c r="M396">
        <v>912.20100000000002</v>
      </c>
      <c r="N396">
        <v>324.20499999999998</v>
      </c>
      <c r="O396">
        <v>12639000</v>
      </c>
      <c r="P396">
        <v>1.4867099999999999E-2</v>
      </c>
      <c r="Q396">
        <v>1.1613</v>
      </c>
      <c r="R396">
        <v>29.822600000000001</v>
      </c>
      <c r="S396">
        <v>67.6096</v>
      </c>
      <c r="T396">
        <v>1.1367799999999999</v>
      </c>
      <c r="U396">
        <v>0.217197</v>
      </c>
      <c r="V396">
        <v>5.2547700000000003E-2</v>
      </c>
      <c r="W396">
        <v>38.341200000000001</v>
      </c>
      <c r="X396">
        <v>15.538399999999999</v>
      </c>
      <c r="Y396">
        <v>57.443399999999997</v>
      </c>
      <c r="Z396">
        <v>14.6731</v>
      </c>
      <c r="AA396">
        <v>3.4156</v>
      </c>
      <c r="AB396">
        <v>1.1543000000000001</v>
      </c>
      <c r="AC396">
        <v>7.7753100000000002</v>
      </c>
      <c r="AD396">
        <v>2.0178400000000001</v>
      </c>
      <c r="AE396">
        <v>20.9634</v>
      </c>
      <c r="AF396">
        <v>0</v>
      </c>
      <c r="AG396">
        <v>66.641000000000005</v>
      </c>
      <c r="AH396">
        <v>32.942100000000003</v>
      </c>
      <c r="AI396">
        <v>0.41337499999999999</v>
      </c>
      <c r="AJ396">
        <v>3.5031799999999998E-3</v>
      </c>
      <c r="AK396">
        <v>0</v>
      </c>
      <c r="AL396">
        <v>3.8990400000000001E-2</v>
      </c>
      <c r="AM396">
        <v>33.648000000000003</v>
      </c>
      <c r="AN396">
        <v>54.826500000000003</v>
      </c>
      <c r="AO396">
        <v>8.3130400000000009</v>
      </c>
      <c r="AP396">
        <v>2.3611399999999998</v>
      </c>
      <c r="AQ396">
        <v>0.632324</v>
      </c>
      <c r="AR396">
        <v>0.218949</v>
      </c>
      <c r="AS396">
        <v>0.20419899999999999</v>
      </c>
      <c r="AT396">
        <v>0.71114500000000003</v>
      </c>
      <c r="AU396">
        <v>4.1179899999999998</v>
      </c>
      <c r="AV396">
        <v>47.107300000000002</v>
      </c>
      <c r="AW396">
        <v>42.3429</v>
      </c>
      <c r="AX396">
        <v>3.9393199999999999</v>
      </c>
      <c r="AY396">
        <v>1.7813699999999999</v>
      </c>
      <c r="AZ396">
        <v>486.149</v>
      </c>
      <c r="BA396">
        <v>524.99900000000002</v>
      </c>
      <c r="BB396">
        <v>12884.2</v>
      </c>
      <c r="BC396">
        <v>0.29630800000000002</v>
      </c>
      <c r="BD396">
        <v>0.20493600000000001</v>
      </c>
      <c r="BE396">
        <v>0.51321600000000001</v>
      </c>
      <c r="BF396">
        <v>0.90031700000000003</v>
      </c>
      <c r="BG396">
        <v>3.2089099999999999</v>
      </c>
      <c r="BH396">
        <v>17.927499999999998</v>
      </c>
      <c r="BI396">
        <v>77.245099999999994</v>
      </c>
      <c r="BJ396">
        <v>22.2822</v>
      </c>
      <c r="BK396">
        <v>0</v>
      </c>
      <c r="BL396">
        <v>67.975700000000003</v>
      </c>
      <c r="BM396">
        <v>28.971299999999999</v>
      </c>
      <c r="BN396">
        <v>1.8251599999999999</v>
      </c>
      <c r="BO396">
        <v>0.66560399999999997</v>
      </c>
      <c r="BP396">
        <v>0.56225999999999998</v>
      </c>
      <c r="BQ396">
        <v>29.717199999999998</v>
      </c>
      <c r="BR396">
        <v>57091</v>
      </c>
    </row>
    <row r="397" spans="1:70" x14ac:dyDescent="0.25">
      <c r="A397">
        <v>42</v>
      </c>
      <c r="B397" s="7">
        <v>46024.522581018522</v>
      </c>
      <c r="C397" t="s">
        <v>160</v>
      </c>
      <c r="D397" s="6" t="s">
        <v>325</v>
      </c>
      <c r="E397" s="6" t="str">
        <f>VLOOKUP(F397,Germplasm!$A$1:$B$21,2,FALSE)</f>
        <v>Rodhette</v>
      </c>
      <c r="F397" t="s">
        <v>80</v>
      </c>
      <c r="G397" s="6" t="s">
        <v>113</v>
      </c>
      <c r="H397">
        <v>26077.8</v>
      </c>
      <c r="I397">
        <v>411.57600000000002</v>
      </c>
      <c r="J397">
        <v>57618.9</v>
      </c>
      <c r="K397">
        <v>22.378799999999998</v>
      </c>
      <c r="L397">
        <v>83.875900000000001</v>
      </c>
      <c r="M397">
        <v>915.03399999999999</v>
      </c>
      <c r="N397">
        <v>323.81400000000002</v>
      </c>
      <c r="O397">
        <v>12706100</v>
      </c>
      <c r="P397">
        <v>1.41695E-2</v>
      </c>
      <c r="Q397">
        <v>1.2675099999999999</v>
      </c>
      <c r="R397">
        <v>29.973199999999999</v>
      </c>
      <c r="S397">
        <v>67.302499999999995</v>
      </c>
      <c r="T397">
        <v>1.1780999999999999</v>
      </c>
      <c r="U397">
        <v>0.22264700000000001</v>
      </c>
      <c r="V397">
        <v>5.6099999999999997E-2</v>
      </c>
      <c r="W397">
        <v>38.2485</v>
      </c>
      <c r="X397">
        <v>15.834199999999999</v>
      </c>
      <c r="Y397">
        <v>57.125599999999999</v>
      </c>
      <c r="Z397">
        <v>14.5457</v>
      </c>
      <c r="AA397">
        <v>3.64825</v>
      </c>
      <c r="AB397">
        <v>1.1395299999999999</v>
      </c>
      <c r="AC397">
        <v>7.7067399999999999</v>
      </c>
      <c r="AD397">
        <v>2.0224099999999998</v>
      </c>
      <c r="AE397">
        <v>20.9482</v>
      </c>
      <c r="AF397">
        <v>0</v>
      </c>
      <c r="AG397">
        <v>66.732699999999994</v>
      </c>
      <c r="AH397">
        <v>32.841299999999997</v>
      </c>
      <c r="AI397">
        <v>0.42075000000000001</v>
      </c>
      <c r="AJ397">
        <v>5.2593700000000002E-3</v>
      </c>
      <c r="AK397">
        <v>0</v>
      </c>
      <c r="AL397">
        <v>3.9154700000000001E-2</v>
      </c>
      <c r="AM397">
        <v>33.749400000000001</v>
      </c>
      <c r="AN397">
        <v>54.686999999999998</v>
      </c>
      <c r="AO397">
        <v>8.3676700000000004</v>
      </c>
      <c r="AP397">
        <v>2.2597800000000001</v>
      </c>
      <c r="AQ397">
        <v>0.71001599999999998</v>
      </c>
      <c r="AR397">
        <v>0.22615299999999999</v>
      </c>
      <c r="AS397">
        <v>0.20361899999999999</v>
      </c>
      <c r="AT397">
        <v>0.72929999999999995</v>
      </c>
      <c r="AU397">
        <v>3.9971199999999998</v>
      </c>
      <c r="AV397">
        <v>47.870800000000003</v>
      </c>
      <c r="AW397">
        <v>41.617400000000004</v>
      </c>
      <c r="AX397">
        <v>3.9340099999999998</v>
      </c>
      <c r="AY397">
        <v>1.8512999999999999</v>
      </c>
      <c r="AZ397">
        <v>487.24</v>
      </c>
      <c r="BA397">
        <v>524.99900000000002</v>
      </c>
      <c r="BB397">
        <v>12894.4</v>
      </c>
      <c r="BC397">
        <v>0.29503000000000001</v>
      </c>
      <c r="BD397">
        <v>0.19635</v>
      </c>
      <c r="BE397">
        <v>0.48035600000000001</v>
      </c>
      <c r="BF397">
        <v>0.99226899999999996</v>
      </c>
      <c r="BG397">
        <v>3.0574499999999998</v>
      </c>
      <c r="BH397">
        <v>18.2044</v>
      </c>
      <c r="BI397">
        <v>77.069100000000006</v>
      </c>
      <c r="BJ397">
        <v>22.226600000000001</v>
      </c>
      <c r="BK397">
        <v>0</v>
      </c>
      <c r="BL397">
        <v>68.336799999999997</v>
      </c>
      <c r="BM397">
        <v>28.5654</v>
      </c>
      <c r="BN397">
        <v>1.7583800000000001</v>
      </c>
      <c r="BO397">
        <v>0.68371899999999997</v>
      </c>
      <c r="BP397">
        <v>0.65566899999999995</v>
      </c>
      <c r="BQ397">
        <v>29.643000000000001</v>
      </c>
      <c r="BR397">
        <v>57041</v>
      </c>
    </row>
    <row r="398" spans="1:70" x14ac:dyDescent="0.25">
      <c r="A398">
        <v>42</v>
      </c>
      <c r="B398" s="7">
        <v>45952.568055555559</v>
      </c>
      <c r="C398" t="s">
        <v>159</v>
      </c>
      <c r="D398" s="6" t="s">
        <v>316</v>
      </c>
      <c r="E398" s="6" t="str">
        <f>VLOOKUP(F398,Germplasm!$A$1:$B$21,2,FALSE)</f>
        <v>Brage</v>
      </c>
      <c r="F398" t="s">
        <v>81</v>
      </c>
      <c r="G398" s="6" t="s">
        <v>113</v>
      </c>
      <c r="H398">
        <v>35054.300000000003</v>
      </c>
      <c r="I398">
        <v>307.82600000000002</v>
      </c>
      <c r="J398">
        <v>88280.3</v>
      </c>
      <c r="K398">
        <v>23.3154</v>
      </c>
      <c r="L398">
        <v>54.998800000000003</v>
      </c>
      <c r="M398">
        <v>1206.1099999999999</v>
      </c>
      <c r="N398">
        <v>465.53899999999999</v>
      </c>
      <c r="O398">
        <v>11327800</v>
      </c>
      <c r="P398">
        <v>0.27640100000000001</v>
      </c>
      <c r="Q398">
        <v>0.36429299999999998</v>
      </c>
      <c r="R398">
        <v>1.8028200000000001</v>
      </c>
      <c r="S398">
        <v>12.0977</v>
      </c>
      <c r="T398">
        <v>41.727400000000003</v>
      </c>
      <c r="U398">
        <v>43.330800000000004</v>
      </c>
      <c r="V398">
        <v>0.67695499999999997</v>
      </c>
      <c r="W398">
        <v>112.044</v>
      </c>
      <c r="X398">
        <v>0.44747900000000002</v>
      </c>
      <c r="Y398">
        <v>1.3338300000000001</v>
      </c>
      <c r="Z398">
        <v>4.1205299999999996</v>
      </c>
      <c r="AA398">
        <v>21.960899999999999</v>
      </c>
      <c r="AB398">
        <v>45.221200000000003</v>
      </c>
      <c r="AC398">
        <v>26.9161</v>
      </c>
      <c r="AD398">
        <v>1.7030799999999999</v>
      </c>
      <c r="AE398">
        <v>7.5581100000000001</v>
      </c>
      <c r="AF398">
        <v>0</v>
      </c>
      <c r="AG398">
        <v>99.212599999999995</v>
      </c>
      <c r="AH398">
        <v>0.77735100000000001</v>
      </c>
      <c r="AI398">
        <v>1.0039599999999999E-2</v>
      </c>
      <c r="AJ398">
        <v>0</v>
      </c>
      <c r="AK398">
        <v>0</v>
      </c>
      <c r="AL398">
        <v>0.54343699999999995</v>
      </c>
      <c r="AM398">
        <v>0.173541</v>
      </c>
      <c r="AN398">
        <v>1.41845</v>
      </c>
      <c r="AO398">
        <v>5.2765199999999997</v>
      </c>
      <c r="AP398">
        <v>13.075799999999999</v>
      </c>
      <c r="AQ398">
        <v>41.377400000000002</v>
      </c>
      <c r="AR398">
        <v>38.678199999999997</v>
      </c>
      <c r="AS398">
        <v>7.7996999999999997E-2</v>
      </c>
      <c r="AT398">
        <v>5.3252800000000002</v>
      </c>
      <c r="AU398">
        <v>28.014700000000001</v>
      </c>
      <c r="AV398">
        <v>44.476799999999997</v>
      </c>
      <c r="AW398">
        <v>16.809100000000001</v>
      </c>
      <c r="AX398">
        <v>3.6572800000000001</v>
      </c>
      <c r="AY398">
        <v>1.7167699999999999</v>
      </c>
      <c r="AZ398">
        <v>323.15100000000001</v>
      </c>
      <c r="BA398">
        <v>330.59899999999999</v>
      </c>
      <c r="BB398">
        <v>20582.900000000001</v>
      </c>
      <c r="BC398">
        <v>3.4167299999999998E-2</v>
      </c>
      <c r="BD398">
        <v>2.8684500000000002E-2</v>
      </c>
      <c r="BE398">
        <v>0.28397699999999998</v>
      </c>
      <c r="BF398">
        <v>2.1484700000000001</v>
      </c>
      <c r="BG398">
        <v>30.877500000000001</v>
      </c>
      <c r="BH398">
        <v>60.997599999999998</v>
      </c>
      <c r="BI398">
        <v>5.6637599999999999</v>
      </c>
      <c r="BJ398">
        <v>36.226500000000001</v>
      </c>
      <c r="BK398">
        <v>0</v>
      </c>
      <c r="BL398">
        <v>21.5062</v>
      </c>
      <c r="BM398">
        <v>63.752800000000001</v>
      </c>
      <c r="BN398">
        <v>12.9382</v>
      </c>
      <c r="BO398">
        <v>1.3582099999999999</v>
      </c>
      <c r="BP398">
        <v>0.44461000000000001</v>
      </c>
      <c r="BQ398">
        <v>35.989899999999999</v>
      </c>
      <c r="BR398">
        <v>69724</v>
      </c>
    </row>
    <row r="399" spans="1:70" x14ac:dyDescent="0.25">
      <c r="A399">
        <v>42</v>
      </c>
      <c r="B399" s="7">
        <v>45959.533206018517</v>
      </c>
      <c r="C399" t="s">
        <v>159</v>
      </c>
      <c r="D399" s="6" t="s">
        <v>317</v>
      </c>
      <c r="E399" s="6" t="str">
        <f>VLOOKUP(F399,Germplasm!$A$1:$B$21,2,FALSE)</f>
        <v>Brage</v>
      </c>
      <c r="F399" t="s">
        <v>81</v>
      </c>
      <c r="G399" s="6" t="s">
        <v>113</v>
      </c>
      <c r="H399">
        <v>59583.8</v>
      </c>
      <c r="I399">
        <v>357.56599999999997</v>
      </c>
      <c r="J399">
        <v>149864</v>
      </c>
      <c r="K399">
        <v>23.003</v>
      </c>
      <c r="L399">
        <v>80.276700000000005</v>
      </c>
      <c r="M399">
        <v>1495.03</v>
      </c>
      <c r="N399">
        <v>546.827</v>
      </c>
      <c r="O399">
        <v>23472400</v>
      </c>
      <c r="P399">
        <v>0.25390499999999999</v>
      </c>
      <c r="Q399">
        <v>0.31787799999999999</v>
      </c>
      <c r="R399">
        <v>1.9202600000000001</v>
      </c>
      <c r="S399">
        <v>14.6813</v>
      </c>
      <c r="T399">
        <v>49.1248</v>
      </c>
      <c r="U399">
        <v>33.4101</v>
      </c>
      <c r="V399">
        <v>0.54567699999999997</v>
      </c>
      <c r="W399">
        <v>114.708</v>
      </c>
      <c r="X399">
        <v>0.55520400000000003</v>
      </c>
      <c r="Y399">
        <v>1.40663</v>
      </c>
      <c r="Z399">
        <v>3.41351</v>
      </c>
      <c r="AA399">
        <v>19.645199999999999</v>
      </c>
      <c r="AB399">
        <v>42.6736</v>
      </c>
      <c r="AC399">
        <v>32.305799999999998</v>
      </c>
      <c r="AD399">
        <v>1.7284200000000001</v>
      </c>
      <c r="AE399">
        <v>7.58866</v>
      </c>
      <c r="AF399">
        <v>0</v>
      </c>
      <c r="AG399">
        <v>99.540099999999995</v>
      </c>
      <c r="AH399">
        <v>0.44693500000000003</v>
      </c>
      <c r="AI399">
        <v>1.29923E-2</v>
      </c>
      <c r="AJ399">
        <v>0</v>
      </c>
      <c r="AK399">
        <v>0</v>
      </c>
      <c r="AL399">
        <v>0.51197800000000004</v>
      </c>
      <c r="AM399">
        <v>0.454731</v>
      </c>
      <c r="AN399">
        <v>2.4139699999999999</v>
      </c>
      <c r="AO399">
        <v>5.5606999999999998</v>
      </c>
      <c r="AP399">
        <v>17.1784</v>
      </c>
      <c r="AQ399">
        <v>46.760199999999998</v>
      </c>
      <c r="AR399">
        <v>27.632000000000001</v>
      </c>
      <c r="AS399">
        <v>5.9723199999999997E-2</v>
      </c>
      <c r="AT399">
        <v>4.4372999999999996</v>
      </c>
      <c r="AU399">
        <v>34.717199999999998</v>
      </c>
      <c r="AV399">
        <v>43.2453</v>
      </c>
      <c r="AW399">
        <v>12.900499999999999</v>
      </c>
      <c r="AX399">
        <v>3.1216200000000001</v>
      </c>
      <c r="AY399">
        <v>1.57813</v>
      </c>
      <c r="AZ399">
        <v>393.93900000000002</v>
      </c>
      <c r="BA399">
        <v>486.59899999999999</v>
      </c>
      <c r="BB399">
        <v>34473.1</v>
      </c>
      <c r="BC399">
        <v>2.8471099999999999E-2</v>
      </c>
      <c r="BD399">
        <v>3.6378399999999998E-2</v>
      </c>
      <c r="BE399">
        <v>0.29276000000000002</v>
      </c>
      <c r="BF399">
        <v>1.9081399999999999</v>
      </c>
      <c r="BG399">
        <v>36.917200000000001</v>
      </c>
      <c r="BH399">
        <v>54.235100000000003</v>
      </c>
      <c r="BI399">
        <v>6.6104799999999999</v>
      </c>
      <c r="BJ399">
        <v>33.162700000000001</v>
      </c>
      <c r="BK399">
        <v>0</v>
      </c>
      <c r="BL399">
        <v>28.665299999999998</v>
      </c>
      <c r="BM399">
        <v>60.698300000000003</v>
      </c>
      <c r="BN399">
        <v>9.0833499999999994</v>
      </c>
      <c r="BO399">
        <v>1.1450499999999999</v>
      </c>
      <c r="BP399">
        <v>0.40795799999999999</v>
      </c>
      <c r="BQ399">
        <v>35.396099999999997</v>
      </c>
      <c r="BR399">
        <v>115453</v>
      </c>
    </row>
    <row r="400" spans="1:70" x14ac:dyDescent="0.25">
      <c r="A400">
        <v>42</v>
      </c>
      <c r="B400" s="7">
        <v>45966.546053240738</v>
      </c>
      <c r="C400" t="s">
        <v>159</v>
      </c>
      <c r="D400" s="6" t="s">
        <v>318</v>
      </c>
      <c r="E400" s="6" t="str">
        <f>VLOOKUP(F400,Germplasm!$A$1:$B$21,2,FALSE)</f>
        <v>Brage</v>
      </c>
      <c r="F400" t="s">
        <v>81</v>
      </c>
      <c r="G400" s="6" t="s">
        <v>113</v>
      </c>
      <c r="H400">
        <v>61487</v>
      </c>
      <c r="I400">
        <v>464.29</v>
      </c>
      <c r="J400">
        <v>154940</v>
      </c>
      <c r="K400">
        <v>22.399899999999999</v>
      </c>
      <c r="L400">
        <v>67.048699999999997</v>
      </c>
      <c r="M400">
        <v>1486.33</v>
      </c>
      <c r="N400">
        <v>542.66700000000003</v>
      </c>
      <c r="O400">
        <v>34070500</v>
      </c>
      <c r="P400">
        <v>0.24688499999999999</v>
      </c>
      <c r="Q400">
        <v>0.46364300000000003</v>
      </c>
      <c r="R400">
        <v>2.4633600000000002</v>
      </c>
      <c r="S400">
        <v>15.9206</v>
      </c>
      <c r="T400">
        <v>47.903700000000001</v>
      </c>
      <c r="U400">
        <v>32.705500000000001</v>
      </c>
      <c r="V400">
        <v>0.54326600000000003</v>
      </c>
      <c r="W400">
        <v>109.104</v>
      </c>
      <c r="X400">
        <v>1.19933</v>
      </c>
      <c r="Y400">
        <v>3.27867</v>
      </c>
      <c r="Z400">
        <v>5.4542299999999999</v>
      </c>
      <c r="AA400">
        <v>22.594899999999999</v>
      </c>
      <c r="AB400">
        <v>40.630499999999998</v>
      </c>
      <c r="AC400">
        <v>26.842300000000002</v>
      </c>
      <c r="AD400">
        <v>1.7716400000000001</v>
      </c>
      <c r="AE400">
        <v>7.6317700000000004</v>
      </c>
      <c r="AF400">
        <v>0</v>
      </c>
      <c r="AG400">
        <v>99.765299999999996</v>
      </c>
      <c r="AH400">
        <v>0.23472399999999999</v>
      </c>
      <c r="AI400">
        <v>0</v>
      </c>
      <c r="AJ400">
        <v>0</v>
      </c>
      <c r="AK400">
        <v>0</v>
      </c>
      <c r="AL400">
        <v>0.474769</v>
      </c>
      <c r="AM400">
        <v>0.715785</v>
      </c>
      <c r="AN400">
        <v>4.8553899999999999</v>
      </c>
      <c r="AO400">
        <v>7.9690099999999999</v>
      </c>
      <c r="AP400">
        <v>19.576699999999999</v>
      </c>
      <c r="AQ400">
        <v>48.214700000000001</v>
      </c>
      <c r="AR400">
        <v>18.668500000000002</v>
      </c>
      <c r="AS400">
        <v>0.10456799999999999</v>
      </c>
      <c r="AT400">
        <v>2.3082600000000002</v>
      </c>
      <c r="AU400">
        <v>29.738700000000001</v>
      </c>
      <c r="AV400">
        <v>42.322499999999998</v>
      </c>
      <c r="AW400">
        <v>17.366299999999999</v>
      </c>
      <c r="AX400">
        <v>5.8689400000000003</v>
      </c>
      <c r="AY400">
        <v>2.3953500000000001</v>
      </c>
      <c r="AZ400">
        <v>554.10900000000004</v>
      </c>
      <c r="BA400">
        <v>633.59900000000005</v>
      </c>
      <c r="BB400">
        <v>34706.300000000003</v>
      </c>
      <c r="BC400">
        <v>6.0722199999999997E-2</v>
      </c>
      <c r="BD400">
        <v>5.1423700000000003E-2</v>
      </c>
      <c r="BE400">
        <v>0.217307</v>
      </c>
      <c r="BF400">
        <v>1.34697</v>
      </c>
      <c r="BG400">
        <v>30.4312</v>
      </c>
      <c r="BH400">
        <v>55.654499999999999</v>
      </c>
      <c r="BI400">
        <v>12.2986</v>
      </c>
      <c r="BJ400">
        <v>34.261600000000001</v>
      </c>
      <c r="BK400">
        <v>0</v>
      </c>
      <c r="BL400">
        <v>27.446100000000001</v>
      </c>
      <c r="BM400">
        <v>59.654000000000003</v>
      </c>
      <c r="BN400">
        <v>10.8521</v>
      </c>
      <c r="BO400">
        <v>1.3585799999999999</v>
      </c>
      <c r="BP400">
        <v>0.68924300000000005</v>
      </c>
      <c r="BQ400">
        <v>34.408499999999997</v>
      </c>
      <c r="BR400">
        <v>120567</v>
      </c>
    </row>
    <row r="401" spans="1:70" x14ac:dyDescent="0.25">
      <c r="A401">
        <v>42</v>
      </c>
      <c r="B401" s="7">
        <v>45973.562476851854</v>
      </c>
      <c r="C401" t="s">
        <v>159</v>
      </c>
      <c r="D401" s="6" t="s">
        <v>319</v>
      </c>
      <c r="E401" s="6" t="str">
        <f>VLOOKUP(F401,Germplasm!$A$1:$B$21,2,FALSE)</f>
        <v>Brage</v>
      </c>
      <c r="F401" t="s">
        <v>81</v>
      </c>
      <c r="G401" s="6" t="s">
        <v>113</v>
      </c>
      <c r="H401">
        <v>58311.4</v>
      </c>
      <c r="I401">
        <v>493.13200000000001</v>
      </c>
      <c r="J401">
        <v>149853</v>
      </c>
      <c r="K401">
        <v>21.556999999999999</v>
      </c>
      <c r="L401">
        <v>68.377399999999994</v>
      </c>
      <c r="M401">
        <v>1464.75</v>
      </c>
      <c r="N401">
        <v>542.49599999999998</v>
      </c>
      <c r="O401">
        <v>34461700</v>
      </c>
      <c r="P401">
        <v>0.20951500000000001</v>
      </c>
      <c r="Q401">
        <v>0.665022</v>
      </c>
      <c r="R401">
        <v>6.0732299999999997</v>
      </c>
      <c r="S401">
        <v>22.0869</v>
      </c>
      <c r="T401">
        <v>47.364699999999999</v>
      </c>
      <c r="U401">
        <v>23.242699999999999</v>
      </c>
      <c r="V401">
        <v>0.56740400000000002</v>
      </c>
      <c r="W401">
        <v>105.15900000000001</v>
      </c>
      <c r="X401">
        <v>3.29548</v>
      </c>
      <c r="Y401">
        <v>5.8605600000000004</v>
      </c>
      <c r="Z401">
        <v>5.8222100000000001</v>
      </c>
      <c r="AA401">
        <v>23.738600000000002</v>
      </c>
      <c r="AB401">
        <v>34.860100000000003</v>
      </c>
      <c r="AC401">
        <v>26.423100000000002</v>
      </c>
      <c r="AD401">
        <v>1.8050999999999999</v>
      </c>
      <c r="AE401">
        <v>7.7293200000000004</v>
      </c>
      <c r="AF401">
        <v>0</v>
      </c>
      <c r="AG401">
        <v>99.535399999999996</v>
      </c>
      <c r="AH401">
        <v>0.462814</v>
      </c>
      <c r="AI401">
        <v>1.74318E-3</v>
      </c>
      <c r="AJ401">
        <v>0</v>
      </c>
      <c r="AK401">
        <v>0</v>
      </c>
      <c r="AL401">
        <v>0.43863600000000003</v>
      </c>
      <c r="AM401">
        <v>1.44858</v>
      </c>
      <c r="AN401">
        <v>7.8852599999999997</v>
      </c>
      <c r="AO401">
        <v>9.98841</v>
      </c>
      <c r="AP401">
        <v>22.704000000000001</v>
      </c>
      <c r="AQ401">
        <v>44.266300000000001</v>
      </c>
      <c r="AR401">
        <v>13.7075</v>
      </c>
      <c r="AS401">
        <v>0.108142</v>
      </c>
      <c r="AT401">
        <v>2.9119799999999998</v>
      </c>
      <c r="AU401">
        <v>27.377500000000001</v>
      </c>
      <c r="AV401">
        <v>41.842399999999998</v>
      </c>
      <c r="AW401">
        <v>20.3612</v>
      </c>
      <c r="AX401">
        <v>5.4543999999999997</v>
      </c>
      <c r="AY401">
        <v>2.0525899999999999</v>
      </c>
      <c r="AZ401">
        <v>590.99400000000003</v>
      </c>
      <c r="BA401">
        <v>722.399</v>
      </c>
      <c r="BB401">
        <v>32303.8</v>
      </c>
      <c r="BC401">
        <v>7.3806700000000003E-2</v>
      </c>
      <c r="BD401">
        <v>6.79839E-2</v>
      </c>
      <c r="BE401">
        <v>0.35473700000000002</v>
      </c>
      <c r="BF401">
        <v>1.96282</v>
      </c>
      <c r="BG401">
        <v>27.900400000000001</v>
      </c>
      <c r="BH401">
        <v>53.572200000000002</v>
      </c>
      <c r="BI401">
        <v>16.1418</v>
      </c>
      <c r="BJ401">
        <v>31.980699999999999</v>
      </c>
      <c r="BK401">
        <v>0</v>
      </c>
      <c r="BL401">
        <v>34.025100000000002</v>
      </c>
      <c r="BM401">
        <v>55.787799999999997</v>
      </c>
      <c r="BN401">
        <v>8.3193099999999998</v>
      </c>
      <c r="BO401">
        <v>1.1836199999999999</v>
      </c>
      <c r="BP401">
        <v>0.68419700000000006</v>
      </c>
      <c r="BQ401">
        <v>33.683900000000001</v>
      </c>
      <c r="BR401">
        <v>114733</v>
      </c>
    </row>
    <row r="402" spans="1:70" x14ac:dyDescent="0.25">
      <c r="A402">
        <v>42</v>
      </c>
      <c r="B402" s="7">
        <v>45988.557233796295</v>
      </c>
      <c r="C402" t="s">
        <v>159</v>
      </c>
      <c r="D402" s="6" t="s">
        <v>320</v>
      </c>
      <c r="E402" s="6" t="str">
        <f>VLOOKUP(F402,Germplasm!$A$1:$B$21,2,FALSE)</f>
        <v>Brage</v>
      </c>
      <c r="F402" t="s">
        <v>81</v>
      </c>
      <c r="G402" s="6" t="s">
        <v>113</v>
      </c>
      <c r="H402">
        <v>41954.7</v>
      </c>
      <c r="I402">
        <v>559.86699999999996</v>
      </c>
      <c r="J402">
        <v>101406</v>
      </c>
      <c r="K402">
        <v>22.275700000000001</v>
      </c>
      <c r="L402">
        <v>85.583200000000005</v>
      </c>
      <c r="M402">
        <v>1194.7</v>
      </c>
      <c r="N402">
        <v>410.988</v>
      </c>
      <c r="O402">
        <v>27802400</v>
      </c>
      <c r="P402">
        <v>0.111246</v>
      </c>
      <c r="Q402">
        <v>1.0066200000000001</v>
      </c>
      <c r="R402">
        <v>17.6492</v>
      </c>
      <c r="S402">
        <v>45.076500000000003</v>
      </c>
      <c r="T402">
        <v>28.371500000000001</v>
      </c>
      <c r="U402">
        <v>7.5698800000000004</v>
      </c>
      <c r="V402">
        <v>0.32641100000000001</v>
      </c>
      <c r="W402">
        <v>64.727099999999993</v>
      </c>
      <c r="X402">
        <v>9.7978000000000005</v>
      </c>
      <c r="Y402">
        <v>31.6005</v>
      </c>
      <c r="Z402">
        <v>14.8484</v>
      </c>
      <c r="AA402">
        <v>18.560500000000001</v>
      </c>
      <c r="AB402">
        <v>15.1934</v>
      </c>
      <c r="AC402">
        <v>9.9993400000000001</v>
      </c>
      <c r="AD402">
        <v>1.85731</v>
      </c>
      <c r="AE402">
        <v>10.1608</v>
      </c>
      <c r="AF402">
        <v>0</v>
      </c>
      <c r="AG402">
        <v>97.8827</v>
      </c>
      <c r="AH402">
        <v>2.1139999999999999</v>
      </c>
      <c r="AI402">
        <v>3.2860099999999998E-3</v>
      </c>
      <c r="AJ402">
        <v>0</v>
      </c>
      <c r="AK402">
        <v>0</v>
      </c>
      <c r="AL402">
        <v>0.247279</v>
      </c>
      <c r="AM402">
        <v>5.0998999999999999</v>
      </c>
      <c r="AN402">
        <v>33.885399999999997</v>
      </c>
      <c r="AO402">
        <v>23.5443</v>
      </c>
      <c r="AP402">
        <v>19.9877</v>
      </c>
      <c r="AQ402">
        <v>13.302899999999999</v>
      </c>
      <c r="AR402">
        <v>4.1798099999999998</v>
      </c>
      <c r="AS402">
        <v>0.24771499999999999</v>
      </c>
      <c r="AT402">
        <v>0.83464799999999995</v>
      </c>
      <c r="AU402">
        <v>8.7889900000000001</v>
      </c>
      <c r="AV402">
        <v>31.930199999999999</v>
      </c>
      <c r="AW402">
        <v>36.062899999999999</v>
      </c>
      <c r="AX402">
        <v>19.144300000000001</v>
      </c>
      <c r="AY402">
        <v>3.2389199999999998</v>
      </c>
      <c r="AZ402">
        <v>662.67600000000004</v>
      </c>
      <c r="BA402">
        <v>714</v>
      </c>
      <c r="BB402">
        <v>22589</v>
      </c>
      <c r="BC402">
        <v>0.24725900000000001</v>
      </c>
      <c r="BD402">
        <v>3.6146200000000003E-2</v>
      </c>
      <c r="BE402">
        <v>0.20044699999999999</v>
      </c>
      <c r="BF402">
        <v>0.70649300000000004</v>
      </c>
      <c r="BG402">
        <v>8.6805599999999998</v>
      </c>
      <c r="BH402">
        <v>35.1417</v>
      </c>
      <c r="BI402">
        <v>55.2346</v>
      </c>
      <c r="BJ402">
        <v>32.892800000000001</v>
      </c>
      <c r="BK402">
        <v>0</v>
      </c>
      <c r="BL402">
        <v>33.055100000000003</v>
      </c>
      <c r="BM402">
        <v>55.09</v>
      </c>
      <c r="BN402">
        <v>9.7003199999999996</v>
      </c>
      <c r="BO402">
        <v>1.43927</v>
      </c>
      <c r="BP402">
        <v>0.715256</v>
      </c>
      <c r="BQ402">
        <v>32.607799999999997</v>
      </c>
      <c r="BR402">
        <v>91296</v>
      </c>
    </row>
    <row r="403" spans="1:70" x14ac:dyDescent="0.25">
      <c r="A403">
        <v>42</v>
      </c>
      <c r="B403" s="7">
        <v>45994.568148148152</v>
      </c>
      <c r="C403" t="s">
        <v>159</v>
      </c>
      <c r="D403" s="6" t="s">
        <v>321</v>
      </c>
      <c r="E403" s="6" t="str">
        <f>VLOOKUP(F403,Germplasm!$A$1:$B$21,2,FALSE)</f>
        <v>Brage</v>
      </c>
      <c r="F403" t="s">
        <v>81</v>
      </c>
      <c r="G403" s="6" t="s">
        <v>113</v>
      </c>
      <c r="H403">
        <v>41148</v>
      </c>
      <c r="I403">
        <v>556.10400000000004</v>
      </c>
      <c r="J403">
        <v>100274</v>
      </c>
      <c r="K403">
        <v>22.2134</v>
      </c>
      <c r="L403">
        <v>77.177599999999998</v>
      </c>
      <c r="M403">
        <v>1205.57</v>
      </c>
      <c r="N403">
        <v>460.36700000000002</v>
      </c>
      <c r="O403">
        <v>26984100</v>
      </c>
      <c r="P403">
        <v>8.9392600000000003E-2</v>
      </c>
      <c r="Q403">
        <v>1.0027699999999999</v>
      </c>
      <c r="R403">
        <v>23.224399999999999</v>
      </c>
      <c r="S403">
        <v>46.963099999999997</v>
      </c>
      <c r="T403">
        <v>21.332100000000001</v>
      </c>
      <c r="U403">
        <v>7.2350500000000002</v>
      </c>
      <c r="V403">
        <v>0.24260599999999999</v>
      </c>
      <c r="W403">
        <v>55.109299999999998</v>
      </c>
      <c r="X403">
        <v>12.6608</v>
      </c>
      <c r="Y403">
        <v>37.801200000000001</v>
      </c>
      <c r="Z403">
        <v>14.687900000000001</v>
      </c>
      <c r="AA403">
        <v>19.5562</v>
      </c>
      <c r="AB403">
        <v>8.4459199999999992</v>
      </c>
      <c r="AC403">
        <v>6.8479599999999996</v>
      </c>
      <c r="AD403">
        <v>1.8473299999999999</v>
      </c>
      <c r="AE403">
        <v>11.365600000000001</v>
      </c>
      <c r="AF403">
        <v>0</v>
      </c>
      <c r="AG403">
        <v>95.773300000000006</v>
      </c>
      <c r="AH403">
        <v>4.1976199999999997</v>
      </c>
      <c r="AI403">
        <v>2.80345E-2</v>
      </c>
      <c r="AJ403">
        <v>1.07825E-3</v>
      </c>
      <c r="AK403">
        <v>0</v>
      </c>
      <c r="AL403">
        <v>0.20510600000000001</v>
      </c>
      <c r="AM403">
        <v>6.5632999999999999</v>
      </c>
      <c r="AN403">
        <v>41.563200000000002</v>
      </c>
      <c r="AO403">
        <v>24.2681</v>
      </c>
      <c r="AP403">
        <v>16.337599999999998</v>
      </c>
      <c r="AQ403">
        <v>8.4566999999999997</v>
      </c>
      <c r="AR403">
        <v>2.8109899999999999</v>
      </c>
      <c r="AS403">
        <v>0.26873399999999997</v>
      </c>
      <c r="AT403">
        <v>0.64263599999999999</v>
      </c>
      <c r="AU403">
        <v>4.7841899999999997</v>
      </c>
      <c r="AV403">
        <v>27.880299999999998</v>
      </c>
      <c r="AW403">
        <v>46.967399999999998</v>
      </c>
      <c r="AX403">
        <v>16.621200000000002</v>
      </c>
      <c r="AY403">
        <v>3.1042800000000002</v>
      </c>
      <c r="AZ403">
        <v>655.78200000000004</v>
      </c>
      <c r="BA403">
        <v>708.59900000000005</v>
      </c>
      <c r="BB403">
        <v>22274.400000000001</v>
      </c>
      <c r="BC403">
        <v>0.28034399999999998</v>
      </c>
      <c r="BD403">
        <v>6.5773200000000004E-2</v>
      </c>
      <c r="BE403">
        <v>0.20055400000000001</v>
      </c>
      <c r="BF403">
        <v>0.54774999999999996</v>
      </c>
      <c r="BG403">
        <v>4.6116700000000002</v>
      </c>
      <c r="BH403">
        <v>29.7575</v>
      </c>
      <c r="BI403">
        <v>64.816699999999997</v>
      </c>
      <c r="BJ403">
        <v>32.750999999999998</v>
      </c>
      <c r="BK403">
        <v>0</v>
      </c>
      <c r="BL403">
        <v>31.386700000000001</v>
      </c>
      <c r="BM403">
        <v>57.990400000000001</v>
      </c>
      <c r="BN403">
        <v>8.6863700000000001</v>
      </c>
      <c r="BO403">
        <v>1.24322</v>
      </c>
      <c r="BP403">
        <v>0.69331399999999999</v>
      </c>
      <c r="BQ403">
        <v>32.805599999999998</v>
      </c>
      <c r="BR403">
        <v>92743</v>
      </c>
    </row>
    <row r="404" spans="1:70" x14ac:dyDescent="0.25">
      <c r="A404">
        <v>42</v>
      </c>
      <c r="B404" s="7">
        <v>46002.560428240744</v>
      </c>
      <c r="C404" t="s">
        <v>159</v>
      </c>
      <c r="D404" s="6" t="s">
        <v>322</v>
      </c>
      <c r="E404" s="6" t="str">
        <f>VLOOKUP(F404,Germplasm!$A$1:$B$21,2,FALSE)</f>
        <v>Brage</v>
      </c>
      <c r="F404" t="s">
        <v>81</v>
      </c>
      <c r="G404" s="6" t="s">
        <v>113</v>
      </c>
      <c r="H404">
        <v>32638</v>
      </c>
      <c r="I404">
        <v>537.18499999999995</v>
      </c>
      <c r="J404">
        <v>103504</v>
      </c>
      <c r="K404">
        <v>17.891999999999999</v>
      </c>
      <c r="L404">
        <v>75.853700000000003</v>
      </c>
      <c r="M404">
        <v>1195.5</v>
      </c>
      <c r="N404">
        <v>434.75200000000001</v>
      </c>
      <c r="O404">
        <v>19718400</v>
      </c>
      <c r="P404">
        <v>2.96552E-2</v>
      </c>
      <c r="Q404">
        <v>1.28556</v>
      </c>
      <c r="R404">
        <v>33.552799999999998</v>
      </c>
      <c r="S404">
        <v>57.071899999999999</v>
      </c>
      <c r="T404">
        <v>5.6386700000000003</v>
      </c>
      <c r="U404">
        <v>2.2460200000000001</v>
      </c>
      <c r="V404">
        <v>0.205042</v>
      </c>
      <c r="W404">
        <v>38.6892</v>
      </c>
      <c r="X404">
        <v>17.234400000000001</v>
      </c>
      <c r="Y404">
        <v>57.635800000000003</v>
      </c>
      <c r="Z404">
        <v>10.5502</v>
      </c>
      <c r="AA404">
        <v>5.5347999999999997</v>
      </c>
      <c r="AB404">
        <v>2.5846100000000001</v>
      </c>
      <c r="AC404">
        <v>6.4601899999999999</v>
      </c>
      <c r="AD404">
        <v>1.76241</v>
      </c>
      <c r="AE404">
        <v>15.5265</v>
      </c>
      <c r="AF404">
        <v>0</v>
      </c>
      <c r="AG404">
        <v>87.5518</v>
      </c>
      <c r="AH404">
        <v>12.3659</v>
      </c>
      <c r="AI404">
        <v>8.2286799999999993E-2</v>
      </c>
      <c r="AJ404">
        <v>0</v>
      </c>
      <c r="AK404">
        <v>0</v>
      </c>
      <c r="AL404">
        <v>0.112302</v>
      </c>
      <c r="AM404">
        <v>13.9496</v>
      </c>
      <c r="AN404">
        <v>59.929000000000002</v>
      </c>
      <c r="AO404">
        <v>17.351700000000001</v>
      </c>
      <c r="AP404">
        <v>4.6188500000000001</v>
      </c>
      <c r="AQ404">
        <v>2.3795700000000002</v>
      </c>
      <c r="AR404">
        <v>1.77119</v>
      </c>
      <c r="AS404">
        <v>0.29086699999999999</v>
      </c>
      <c r="AT404">
        <v>0.77970099999999998</v>
      </c>
      <c r="AU404">
        <v>3.62466</v>
      </c>
      <c r="AV404">
        <v>20.798300000000001</v>
      </c>
      <c r="AW404">
        <v>54.5197</v>
      </c>
      <c r="AX404">
        <v>17.156099999999999</v>
      </c>
      <c r="AY404">
        <v>3.1215000000000002</v>
      </c>
      <c r="AZ404">
        <v>604.15599999999995</v>
      </c>
      <c r="BA404">
        <v>659.99900000000002</v>
      </c>
      <c r="BB404">
        <v>18519</v>
      </c>
      <c r="BC404">
        <v>0.35156300000000001</v>
      </c>
      <c r="BD404">
        <v>0.10387</v>
      </c>
      <c r="BE404">
        <v>0.28867799999999999</v>
      </c>
      <c r="BF404">
        <v>0.70955500000000005</v>
      </c>
      <c r="BG404">
        <v>3.30091</v>
      </c>
      <c r="BH404">
        <v>13.2104</v>
      </c>
      <c r="BI404">
        <v>82.386600000000001</v>
      </c>
      <c r="BJ404">
        <v>31.683800000000002</v>
      </c>
      <c r="BK404">
        <v>0</v>
      </c>
      <c r="BL404">
        <v>32.484400000000001</v>
      </c>
      <c r="BM404">
        <v>59.184399999999997</v>
      </c>
      <c r="BN404">
        <v>6.54922</v>
      </c>
      <c r="BO404">
        <v>1.2113700000000001</v>
      </c>
      <c r="BP404">
        <v>0.57061099999999998</v>
      </c>
      <c r="BQ404">
        <v>34.597200000000001</v>
      </c>
      <c r="BR404">
        <v>74131</v>
      </c>
    </row>
    <row r="405" spans="1:70" x14ac:dyDescent="0.25">
      <c r="A405">
        <v>42</v>
      </c>
      <c r="B405" s="7">
        <v>46013.583784722221</v>
      </c>
      <c r="C405" t="s">
        <v>159</v>
      </c>
      <c r="D405" s="6" t="s">
        <v>323</v>
      </c>
      <c r="E405" s="6" t="str">
        <f>VLOOKUP(F405,Germplasm!$A$1:$B$21,2,FALSE)</f>
        <v>Brage</v>
      </c>
      <c r="F405" t="s">
        <v>81</v>
      </c>
      <c r="G405" s="6" t="s">
        <v>113</v>
      </c>
      <c r="H405">
        <v>35751.5</v>
      </c>
      <c r="I405">
        <v>522.42499999999995</v>
      </c>
      <c r="J405">
        <v>129093</v>
      </c>
      <c r="K405">
        <v>14.872199999999999</v>
      </c>
      <c r="L405">
        <v>70.974699999999999</v>
      </c>
      <c r="M405">
        <v>1376.32</v>
      </c>
      <c r="N405">
        <v>483.12</v>
      </c>
      <c r="O405">
        <v>20113000</v>
      </c>
      <c r="P405">
        <v>1.24826E-2</v>
      </c>
      <c r="Q405">
        <v>0.94079999999999997</v>
      </c>
      <c r="R405">
        <v>34.763800000000003</v>
      </c>
      <c r="S405">
        <v>62.795099999999998</v>
      </c>
      <c r="T405">
        <v>1.3063800000000001</v>
      </c>
      <c r="U405">
        <v>0.16903000000000001</v>
      </c>
      <c r="V405">
        <v>2.4895799999999999E-2</v>
      </c>
      <c r="W405">
        <v>35.360599999999998</v>
      </c>
      <c r="X405">
        <v>17.9329</v>
      </c>
      <c r="Y405">
        <v>63.5473</v>
      </c>
      <c r="Z405">
        <v>9.9046099999999999</v>
      </c>
      <c r="AA405">
        <v>2.2052499999999999</v>
      </c>
      <c r="AB405">
        <v>0.77963300000000002</v>
      </c>
      <c r="AC405">
        <v>5.6303900000000002</v>
      </c>
      <c r="AD405">
        <v>1.86216</v>
      </c>
      <c r="AE405">
        <v>17.593699999999998</v>
      </c>
      <c r="AF405">
        <v>0</v>
      </c>
      <c r="AG405">
        <v>81.595399999999998</v>
      </c>
      <c r="AH405">
        <v>18.3063</v>
      </c>
      <c r="AI405">
        <v>9.8272999999999999E-2</v>
      </c>
      <c r="AJ405">
        <v>0</v>
      </c>
      <c r="AK405">
        <v>0</v>
      </c>
      <c r="AL405">
        <v>7.3285799999999998E-2</v>
      </c>
      <c r="AM405">
        <v>18.9877</v>
      </c>
      <c r="AN405">
        <v>64.142099999999999</v>
      </c>
      <c r="AO405">
        <v>12.915699999999999</v>
      </c>
      <c r="AP405">
        <v>2.6979199999999999</v>
      </c>
      <c r="AQ405">
        <v>0.86873299999999998</v>
      </c>
      <c r="AR405">
        <v>0.387851</v>
      </c>
      <c r="AS405">
        <v>0.26838000000000001</v>
      </c>
      <c r="AT405">
        <v>0.56605300000000003</v>
      </c>
      <c r="AU405">
        <v>2.76606</v>
      </c>
      <c r="AV405">
        <v>27.026399999999999</v>
      </c>
      <c r="AW405">
        <v>55.585799999999999</v>
      </c>
      <c r="AX405">
        <v>11.673500000000001</v>
      </c>
      <c r="AY405">
        <v>2.3821400000000001</v>
      </c>
      <c r="AZ405">
        <v>562.57799999999997</v>
      </c>
      <c r="BA405">
        <v>587.399</v>
      </c>
      <c r="BB405">
        <v>19198.900000000001</v>
      </c>
      <c r="BC405">
        <v>0.35108099999999998</v>
      </c>
      <c r="BD405">
        <v>6.2894699999999998E-2</v>
      </c>
      <c r="BE405">
        <v>0.25681999999999999</v>
      </c>
      <c r="BF405">
        <v>0.59094800000000003</v>
      </c>
      <c r="BG405">
        <v>2.4214500000000001</v>
      </c>
      <c r="BH405">
        <v>11.1127</v>
      </c>
      <c r="BI405">
        <v>85.555199999999999</v>
      </c>
      <c r="BJ405">
        <v>28.1374</v>
      </c>
      <c r="BK405">
        <v>0</v>
      </c>
      <c r="BL405">
        <v>43.859900000000003</v>
      </c>
      <c r="BM405">
        <v>50.963099999999997</v>
      </c>
      <c r="BN405">
        <v>3.9125800000000002</v>
      </c>
      <c r="BO405">
        <v>0.82549300000000003</v>
      </c>
      <c r="BP405">
        <v>0.43895299999999998</v>
      </c>
      <c r="BQ405">
        <v>32.507300000000001</v>
      </c>
      <c r="BR405">
        <v>76318</v>
      </c>
    </row>
    <row r="406" spans="1:70" x14ac:dyDescent="0.25">
      <c r="A406">
        <v>42</v>
      </c>
      <c r="B406" s="7">
        <v>46024.521956018521</v>
      </c>
      <c r="C406" t="s">
        <v>159</v>
      </c>
      <c r="D406" s="6" t="s">
        <v>324</v>
      </c>
      <c r="E406" s="6" t="str">
        <f>VLOOKUP(F406,Germplasm!$A$1:$B$21,2,FALSE)</f>
        <v>Brage</v>
      </c>
      <c r="F406" t="s">
        <v>81</v>
      </c>
      <c r="G406" s="6" t="s">
        <v>113</v>
      </c>
      <c r="H406">
        <v>32407.5</v>
      </c>
      <c r="I406">
        <v>451.50200000000001</v>
      </c>
      <c r="J406">
        <v>118302</v>
      </c>
      <c r="K406">
        <v>14.7707</v>
      </c>
      <c r="L406">
        <v>50.656999999999996</v>
      </c>
      <c r="M406">
        <v>1444.61</v>
      </c>
      <c r="N406">
        <v>612.399</v>
      </c>
      <c r="O406">
        <v>16217800</v>
      </c>
      <c r="P406">
        <v>1.28995E-2</v>
      </c>
      <c r="Q406">
        <v>0.96108800000000005</v>
      </c>
      <c r="R406">
        <v>33.778599999999997</v>
      </c>
      <c r="S406">
        <v>63.741599999999998</v>
      </c>
      <c r="T406">
        <v>1.29505</v>
      </c>
      <c r="U406">
        <v>0.19342699999999999</v>
      </c>
      <c r="V406">
        <v>3.02229E-2</v>
      </c>
      <c r="W406">
        <v>35.569099999999999</v>
      </c>
      <c r="X406">
        <v>17.2089</v>
      </c>
      <c r="Y406">
        <v>65.613900000000001</v>
      </c>
      <c r="Z406">
        <v>9.0698899999999991</v>
      </c>
      <c r="AA406">
        <v>2.0853799999999998</v>
      </c>
      <c r="AB406">
        <v>0.84624100000000002</v>
      </c>
      <c r="AC406">
        <v>5.1756700000000002</v>
      </c>
      <c r="AD406">
        <v>1.8546</v>
      </c>
      <c r="AE406">
        <v>19.224799999999998</v>
      </c>
      <c r="AF406">
        <v>0</v>
      </c>
      <c r="AG406">
        <v>75.510400000000004</v>
      </c>
      <c r="AH406">
        <v>24.3491</v>
      </c>
      <c r="AI406">
        <v>0.14053599999999999</v>
      </c>
      <c r="AJ406">
        <v>0</v>
      </c>
      <c r="AK406">
        <v>0</v>
      </c>
      <c r="AL406">
        <v>7.7132300000000001E-2</v>
      </c>
      <c r="AM406">
        <v>17.7</v>
      </c>
      <c r="AN406">
        <v>65.038200000000003</v>
      </c>
      <c r="AO406">
        <v>12.9399</v>
      </c>
      <c r="AP406">
        <v>2.94069</v>
      </c>
      <c r="AQ406">
        <v>1.05629</v>
      </c>
      <c r="AR406">
        <v>0.32489600000000002</v>
      </c>
      <c r="AS406">
        <v>0.27267799999999998</v>
      </c>
      <c r="AT406">
        <v>0.47601100000000002</v>
      </c>
      <c r="AU406">
        <v>2.74424</v>
      </c>
      <c r="AV406">
        <v>25.653199999999998</v>
      </c>
      <c r="AW406">
        <v>56.3294</v>
      </c>
      <c r="AX406">
        <v>12.0967</v>
      </c>
      <c r="AY406">
        <v>2.7004199999999998</v>
      </c>
      <c r="AZ406">
        <v>500.43400000000003</v>
      </c>
      <c r="BA406">
        <v>536.99900000000002</v>
      </c>
      <c r="BB406">
        <v>17474.099999999999</v>
      </c>
      <c r="BC406">
        <v>0.35087400000000002</v>
      </c>
      <c r="BD406">
        <v>9.5202099999999998E-2</v>
      </c>
      <c r="BE406">
        <v>0.23724999999999999</v>
      </c>
      <c r="BF406">
        <v>0.55005700000000002</v>
      </c>
      <c r="BG406">
        <v>2.33623</v>
      </c>
      <c r="BH406">
        <v>10.283300000000001</v>
      </c>
      <c r="BI406">
        <v>86.497900000000001</v>
      </c>
      <c r="BJ406">
        <v>28.513000000000002</v>
      </c>
      <c r="BK406">
        <v>0</v>
      </c>
      <c r="BL406">
        <v>43.679600000000001</v>
      </c>
      <c r="BM406">
        <v>50.733699999999999</v>
      </c>
      <c r="BN406">
        <v>4.1269400000000003</v>
      </c>
      <c r="BO406">
        <v>0.974688</v>
      </c>
      <c r="BP406">
        <v>0.48507699999999998</v>
      </c>
      <c r="BQ406">
        <v>32.652999999999999</v>
      </c>
      <c r="BR406">
        <v>66175</v>
      </c>
    </row>
    <row r="407" spans="1:70" x14ac:dyDescent="0.25">
      <c r="A407">
        <v>42</v>
      </c>
      <c r="B407" s="7">
        <v>46024.522581018522</v>
      </c>
      <c r="C407" t="s">
        <v>159</v>
      </c>
      <c r="D407" s="6" t="s">
        <v>325</v>
      </c>
      <c r="E407" s="6" t="str">
        <f>VLOOKUP(F407,Germplasm!$A$1:$B$21,2,FALSE)</f>
        <v>Brage</v>
      </c>
      <c r="F407" t="s">
        <v>81</v>
      </c>
      <c r="G407" s="6" t="s">
        <v>113</v>
      </c>
      <c r="H407">
        <v>32238.6</v>
      </c>
      <c r="I407">
        <v>452.43299999999999</v>
      </c>
      <c r="J407">
        <v>123824</v>
      </c>
      <c r="K407">
        <v>14.0932</v>
      </c>
      <c r="L407">
        <v>50.830199999999998</v>
      </c>
      <c r="M407">
        <v>1465.67</v>
      </c>
      <c r="N407">
        <v>613.72900000000004</v>
      </c>
      <c r="O407">
        <v>16151500</v>
      </c>
      <c r="P407">
        <v>1.26041E-2</v>
      </c>
      <c r="Q407">
        <v>1.01102</v>
      </c>
      <c r="R407">
        <v>33.927500000000002</v>
      </c>
      <c r="S407">
        <v>63.5169</v>
      </c>
      <c r="T407">
        <v>1.3081100000000001</v>
      </c>
      <c r="U407">
        <v>0.19856599999999999</v>
      </c>
      <c r="V407">
        <v>3.7894299999999999E-2</v>
      </c>
      <c r="W407">
        <v>35.677700000000002</v>
      </c>
      <c r="X407">
        <v>17.282800000000002</v>
      </c>
      <c r="Y407">
        <v>65.064499999999995</v>
      </c>
      <c r="Z407">
        <v>9.0173299999999994</v>
      </c>
      <c r="AA407">
        <v>2.2751700000000001</v>
      </c>
      <c r="AB407">
        <v>0.90946300000000002</v>
      </c>
      <c r="AC407">
        <v>5.4507099999999999</v>
      </c>
      <c r="AD407">
        <v>1.84741</v>
      </c>
      <c r="AE407">
        <v>19.1797</v>
      </c>
      <c r="AF407">
        <v>0</v>
      </c>
      <c r="AG407">
        <v>75.423299999999998</v>
      </c>
      <c r="AH407">
        <v>24.4236</v>
      </c>
      <c r="AI407">
        <v>0.15309300000000001</v>
      </c>
      <c r="AJ407">
        <v>0</v>
      </c>
      <c r="AK407">
        <v>0</v>
      </c>
      <c r="AL407">
        <v>7.7428899999999995E-2</v>
      </c>
      <c r="AM407">
        <v>17.9543</v>
      </c>
      <c r="AN407">
        <v>64.430899999999994</v>
      </c>
      <c r="AO407">
        <v>13.1357</v>
      </c>
      <c r="AP407">
        <v>3.0042599999999999</v>
      </c>
      <c r="AQ407">
        <v>1.1337999999999999</v>
      </c>
      <c r="AR407">
        <v>0.34104899999999999</v>
      </c>
      <c r="AS407">
        <v>0.27068900000000001</v>
      </c>
      <c r="AT407">
        <v>0.47292099999999998</v>
      </c>
      <c r="AU407">
        <v>3.0421499999999999</v>
      </c>
      <c r="AV407">
        <v>26.2395</v>
      </c>
      <c r="AW407">
        <v>55.496899999999997</v>
      </c>
      <c r="AX407">
        <v>11.9625</v>
      </c>
      <c r="AY407">
        <v>2.78599</v>
      </c>
      <c r="AZ407">
        <v>500.99700000000001</v>
      </c>
      <c r="BA407">
        <v>535.79899999999998</v>
      </c>
      <c r="BB407">
        <v>17450.7</v>
      </c>
      <c r="BC407">
        <v>0.34781000000000001</v>
      </c>
      <c r="BD407">
        <v>7.7304300000000006E-2</v>
      </c>
      <c r="BE407">
        <v>0.30315399999999998</v>
      </c>
      <c r="BF407">
        <v>0.61237200000000003</v>
      </c>
      <c r="BG407">
        <v>2.52224</v>
      </c>
      <c r="BH407">
        <v>10.5786</v>
      </c>
      <c r="BI407">
        <v>85.906400000000005</v>
      </c>
      <c r="BJ407">
        <v>28.3658</v>
      </c>
      <c r="BK407">
        <v>0</v>
      </c>
      <c r="BL407">
        <v>44.271099999999997</v>
      </c>
      <c r="BM407">
        <v>50.193300000000001</v>
      </c>
      <c r="BN407">
        <v>4.0258900000000004</v>
      </c>
      <c r="BO407">
        <v>0.936747</v>
      </c>
      <c r="BP407">
        <v>0.57296199999999997</v>
      </c>
      <c r="BQ407">
        <v>32.796100000000003</v>
      </c>
      <c r="BR407">
        <v>65973</v>
      </c>
    </row>
    <row r="408" spans="1:70" x14ac:dyDescent="0.25">
      <c r="A408">
        <v>42</v>
      </c>
      <c r="B408" s="7">
        <v>45952.568055555559</v>
      </c>
      <c r="C408" t="s">
        <v>161</v>
      </c>
      <c r="D408" s="6" t="s">
        <v>316</v>
      </c>
      <c r="E408" s="6" t="str">
        <f>VLOOKUP(F408,Germplasm!$A$1:$B$21,2,FALSE)</f>
        <v>Helium</v>
      </c>
      <c r="F408" t="s">
        <v>76</v>
      </c>
      <c r="G408" s="6" t="s">
        <v>113</v>
      </c>
      <c r="H408">
        <v>22383</v>
      </c>
      <c r="I408">
        <v>303.91199999999998</v>
      </c>
      <c r="J408">
        <v>90617.600000000006</v>
      </c>
      <c r="K408">
        <v>14.236499999999999</v>
      </c>
      <c r="L408">
        <v>59.525799999999997</v>
      </c>
      <c r="M408">
        <v>1158.0999999999999</v>
      </c>
      <c r="N408">
        <v>439.93099999999998</v>
      </c>
      <c r="O408">
        <v>8116410</v>
      </c>
      <c r="P408">
        <v>0.23666400000000001</v>
      </c>
      <c r="Q408">
        <v>0.65875600000000001</v>
      </c>
      <c r="R408">
        <v>4.5480299999999998</v>
      </c>
      <c r="S408">
        <v>18.213899999999999</v>
      </c>
      <c r="T408">
        <v>43.2532</v>
      </c>
      <c r="U408">
        <v>32.948700000000002</v>
      </c>
      <c r="V408">
        <v>0.37736700000000001</v>
      </c>
      <c r="W408">
        <v>117.355</v>
      </c>
      <c r="X408">
        <v>1.3044199999999999</v>
      </c>
      <c r="Y408">
        <v>2.4190700000000001</v>
      </c>
      <c r="Z408">
        <v>3.5598999999999998</v>
      </c>
      <c r="AA408">
        <v>15.4611</v>
      </c>
      <c r="AB408">
        <v>38.984400000000001</v>
      </c>
      <c r="AC408">
        <v>38.271099999999997</v>
      </c>
      <c r="AD408">
        <v>1.7350099999999999</v>
      </c>
      <c r="AE408">
        <v>6.67889</v>
      </c>
      <c r="AF408">
        <v>0</v>
      </c>
      <c r="AG408">
        <v>99.914900000000003</v>
      </c>
      <c r="AH408">
        <v>7.8527200000000005E-2</v>
      </c>
      <c r="AI408">
        <v>4.3626200000000002E-3</v>
      </c>
      <c r="AJ408">
        <v>2.1813100000000001E-3</v>
      </c>
      <c r="AK408">
        <v>0</v>
      </c>
      <c r="AL408">
        <v>0.53170700000000004</v>
      </c>
      <c r="AM408">
        <v>0.64348700000000003</v>
      </c>
      <c r="AN408">
        <v>2.6764700000000001</v>
      </c>
      <c r="AO408">
        <v>5.4511000000000003</v>
      </c>
      <c r="AP408">
        <v>13.186</v>
      </c>
      <c r="AQ408">
        <v>41.052300000000002</v>
      </c>
      <c r="AR408">
        <v>36.990699999999997</v>
      </c>
      <c r="AS408">
        <v>3.3467200000000003E-2</v>
      </c>
      <c r="AT408">
        <v>7.4469900000000004</v>
      </c>
      <c r="AU408">
        <v>36.744199999999999</v>
      </c>
      <c r="AV408">
        <v>40.844999999999999</v>
      </c>
      <c r="AW408">
        <v>11.281700000000001</v>
      </c>
      <c r="AX408">
        <v>2.4626999999999999</v>
      </c>
      <c r="AY408">
        <v>1.2193499999999999</v>
      </c>
      <c r="AZ408">
        <v>362.61500000000001</v>
      </c>
      <c r="BA408">
        <v>473.99900000000002</v>
      </c>
      <c r="BB408">
        <v>12900.8</v>
      </c>
      <c r="BC408">
        <v>1.16402E-2</v>
      </c>
      <c r="BD408">
        <v>4.14449E-2</v>
      </c>
      <c r="BE408">
        <v>0.37518499999999999</v>
      </c>
      <c r="BF408">
        <v>3.0320200000000002</v>
      </c>
      <c r="BG408">
        <v>40.7425</v>
      </c>
      <c r="BH408">
        <v>50.641300000000001</v>
      </c>
      <c r="BI408">
        <v>5.1675199999999997</v>
      </c>
      <c r="BJ408">
        <v>32.323300000000003</v>
      </c>
      <c r="BK408">
        <v>0</v>
      </c>
      <c r="BL408">
        <v>30.893899999999999</v>
      </c>
      <c r="BM408">
        <v>59.588999999999999</v>
      </c>
      <c r="BN408">
        <v>8.4002300000000005</v>
      </c>
      <c r="BO408">
        <v>0.75473299999999999</v>
      </c>
      <c r="BP408">
        <v>0.36209799999999998</v>
      </c>
      <c r="BQ408">
        <v>35.208399999999997</v>
      </c>
      <c r="BR408">
        <v>45844</v>
      </c>
    </row>
    <row r="409" spans="1:70" x14ac:dyDescent="0.25">
      <c r="A409">
        <v>42</v>
      </c>
      <c r="B409" s="7">
        <v>45959.533206018517</v>
      </c>
      <c r="C409" t="s">
        <v>161</v>
      </c>
      <c r="D409" s="6" t="s">
        <v>317</v>
      </c>
      <c r="E409" s="6" t="str">
        <f>VLOOKUP(F409,Germplasm!$A$1:$B$21,2,FALSE)</f>
        <v>Helium</v>
      </c>
      <c r="F409" t="s">
        <v>76</v>
      </c>
      <c r="G409" s="6" t="s">
        <v>113</v>
      </c>
      <c r="H409">
        <v>37026.800000000003</v>
      </c>
      <c r="I409">
        <v>419.80799999999999</v>
      </c>
      <c r="J409">
        <v>129185</v>
      </c>
      <c r="K409">
        <v>16.284800000000001</v>
      </c>
      <c r="L409">
        <v>64.358099999999993</v>
      </c>
      <c r="M409">
        <v>1406.97</v>
      </c>
      <c r="N409">
        <v>516.63900000000001</v>
      </c>
      <c r="O409">
        <v>18815100</v>
      </c>
      <c r="P409">
        <v>0.21112400000000001</v>
      </c>
      <c r="Q409">
        <v>0.72213000000000005</v>
      </c>
      <c r="R409">
        <v>4.1795999999999998</v>
      </c>
      <c r="S409">
        <v>23.549900000000001</v>
      </c>
      <c r="T409">
        <v>48.939399999999999</v>
      </c>
      <c r="U409">
        <v>21.9511</v>
      </c>
      <c r="V409">
        <v>0.65785000000000005</v>
      </c>
      <c r="W409">
        <v>125.02800000000001</v>
      </c>
      <c r="X409">
        <v>1.08867</v>
      </c>
      <c r="Y409">
        <v>1.9639800000000001</v>
      </c>
      <c r="Z409">
        <v>2.94049</v>
      </c>
      <c r="AA409">
        <v>11.484299999999999</v>
      </c>
      <c r="AB409">
        <v>31.617799999999999</v>
      </c>
      <c r="AC409">
        <v>50.904699999999998</v>
      </c>
      <c r="AD409">
        <v>1.76004</v>
      </c>
      <c r="AE409">
        <v>6.3654799999999998</v>
      </c>
      <c r="AF409">
        <v>0</v>
      </c>
      <c r="AG409">
        <v>99.828999999999994</v>
      </c>
      <c r="AH409">
        <v>0.166856</v>
      </c>
      <c r="AI409">
        <v>4.1030099999999998E-3</v>
      </c>
      <c r="AJ409">
        <v>0</v>
      </c>
      <c r="AK409">
        <v>0</v>
      </c>
      <c r="AL409">
        <v>0.51976500000000003</v>
      </c>
      <c r="AM409">
        <v>0.66058499999999998</v>
      </c>
      <c r="AN409">
        <v>3.07179</v>
      </c>
      <c r="AO409">
        <v>5.6471099999999996</v>
      </c>
      <c r="AP409">
        <v>15.680300000000001</v>
      </c>
      <c r="AQ409">
        <v>42.661799999999999</v>
      </c>
      <c r="AR409">
        <v>32.278399999999998</v>
      </c>
      <c r="AS409">
        <v>-9.7126999999999995E-3</v>
      </c>
      <c r="AT409">
        <v>10.5229</v>
      </c>
      <c r="AU409">
        <v>45.966099999999997</v>
      </c>
      <c r="AV409">
        <v>33.833399999999997</v>
      </c>
      <c r="AW409">
        <v>6.8205799999999996</v>
      </c>
      <c r="AX409">
        <v>1.5181100000000001</v>
      </c>
      <c r="AY409">
        <v>1.3389500000000001</v>
      </c>
      <c r="AZ409">
        <v>508.149</v>
      </c>
      <c r="BA409">
        <v>562.19899999999996</v>
      </c>
      <c r="BB409">
        <v>21037.5</v>
      </c>
      <c r="BC409">
        <v>-1.46409E-2</v>
      </c>
      <c r="BD409">
        <v>0.18190000000000001</v>
      </c>
      <c r="BE409">
        <v>0.82060299999999997</v>
      </c>
      <c r="BF409">
        <v>3.9129100000000001</v>
      </c>
      <c r="BG409">
        <v>51.573500000000003</v>
      </c>
      <c r="BH409">
        <v>39.248100000000001</v>
      </c>
      <c r="BI409">
        <v>4.2630299999999997</v>
      </c>
      <c r="BJ409">
        <v>29.639500000000002</v>
      </c>
      <c r="BK409">
        <v>0</v>
      </c>
      <c r="BL409">
        <v>40.4831</v>
      </c>
      <c r="BM409">
        <v>52.372199999999999</v>
      </c>
      <c r="BN409">
        <v>5.4693199999999997</v>
      </c>
      <c r="BO409">
        <v>0.85205900000000001</v>
      </c>
      <c r="BP409">
        <v>0.82333800000000001</v>
      </c>
      <c r="BQ409">
        <v>34.6556</v>
      </c>
      <c r="BR409">
        <v>73117</v>
      </c>
    </row>
    <row r="410" spans="1:70" x14ac:dyDescent="0.25">
      <c r="A410">
        <v>42</v>
      </c>
      <c r="B410" s="7">
        <v>45966.546053240738</v>
      </c>
      <c r="C410" t="s">
        <v>161</v>
      </c>
      <c r="D410" s="6" t="s">
        <v>318</v>
      </c>
      <c r="E410" s="6" t="str">
        <f>VLOOKUP(F410,Germplasm!$A$1:$B$21,2,FALSE)</f>
        <v>Helium</v>
      </c>
      <c r="F410" t="s">
        <v>76</v>
      </c>
      <c r="G410" s="6" t="s">
        <v>113</v>
      </c>
      <c r="H410">
        <v>45707</v>
      </c>
      <c r="I410">
        <v>529.255</v>
      </c>
      <c r="J410">
        <v>158090</v>
      </c>
      <c r="K410">
        <v>15.9217</v>
      </c>
      <c r="L410">
        <v>75.554500000000004</v>
      </c>
      <c r="M410">
        <v>1519.42</v>
      </c>
      <c r="N410">
        <v>527.673</v>
      </c>
      <c r="O410">
        <v>27485500</v>
      </c>
      <c r="P410">
        <v>0.21807299999999999</v>
      </c>
      <c r="Q410">
        <v>0.82118400000000003</v>
      </c>
      <c r="R410">
        <v>3.8293300000000001</v>
      </c>
      <c r="S410">
        <v>22.0733</v>
      </c>
      <c r="T410">
        <v>47.621099999999998</v>
      </c>
      <c r="U410">
        <v>25.0761</v>
      </c>
      <c r="V410">
        <v>0.57890200000000003</v>
      </c>
      <c r="W410">
        <v>115.164</v>
      </c>
      <c r="X410">
        <v>1.4022300000000001</v>
      </c>
      <c r="Y410">
        <v>2.3702800000000002</v>
      </c>
      <c r="Z410">
        <v>4.7287699999999999</v>
      </c>
      <c r="AA410">
        <v>18.672799999999999</v>
      </c>
      <c r="AB410">
        <v>36.668100000000003</v>
      </c>
      <c r="AC410">
        <v>36.157800000000002</v>
      </c>
      <c r="AD410">
        <v>1.8158799999999999</v>
      </c>
      <c r="AE410">
        <v>6.3529299999999997</v>
      </c>
      <c r="AF410">
        <v>0</v>
      </c>
      <c r="AG410">
        <v>99.879900000000006</v>
      </c>
      <c r="AH410">
        <v>0.116852</v>
      </c>
      <c r="AI410">
        <v>3.2161199999999998E-3</v>
      </c>
      <c r="AJ410">
        <v>0</v>
      </c>
      <c r="AK410">
        <v>0</v>
      </c>
      <c r="AL410">
        <v>0.49702400000000002</v>
      </c>
      <c r="AM410">
        <v>0.79438299999999995</v>
      </c>
      <c r="AN410">
        <v>3.5870500000000001</v>
      </c>
      <c r="AO410">
        <v>7.32097</v>
      </c>
      <c r="AP410">
        <v>18.039200000000001</v>
      </c>
      <c r="AQ410">
        <v>43.8551</v>
      </c>
      <c r="AR410">
        <v>26.403300000000002</v>
      </c>
      <c r="AS410">
        <v>5.72866E-2</v>
      </c>
      <c r="AT410">
        <v>4.8370499999999996</v>
      </c>
      <c r="AU410">
        <v>36.359299999999998</v>
      </c>
      <c r="AV410">
        <v>41.067799999999998</v>
      </c>
      <c r="AW410">
        <v>12.5943</v>
      </c>
      <c r="AX410">
        <v>3.1003400000000001</v>
      </c>
      <c r="AY410">
        <v>2.0411700000000002</v>
      </c>
      <c r="AZ410">
        <v>601.34199999999998</v>
      </c>
      <c r="BA410">
        <v>731.99900000000002</v>
      </c>
      <c r="BB410">
        <v>25170.7</v>
      </c>
      <c r="BC410">
        <v>2.4748300000000001E-2</v>
      </c>
      <c r="BD410">
        <v>7.9330999999999999E-2</v>
      </c>
      <c r="BE410">
        <v>0.371998</v>
      </c>
      <c r="BF410">
        <v>2.5042900000000001</v>
      </c>
      <c r="BG410">
        <v>38.239699999999999</v>
      </c>
      <c r="BH410">
        <v>51.659500000000001</v>
      </c>
      <c r="BI410">
        <v>7.1451500000000001</v>
      </c>
      <c r="BJ410">
        <v>30.906400000000001</v>
      </c>
      <c r="BK410">
        <v>0</v>
      </c>
      <c r="BL410">
        <v>38.08</v>
      </c>
      <c r="BM410">
        <v>52.603999999999999</v>
      </c>
      <c r="BN410">
        <v>7.1451500000000001</v>
      </c>
      <c r="BO410">
        <v>1.0259400000000001</v>
      </c>
      <c r="BP410">
        <v>1.1449400000000001</v>
      </c>
      <c r="BQ410">
        <v>33.4512</v>
      </c>
      <c r="BR410">
        <v>93280</v>
      </c>
    </row>
    <row r="411" spans="1:70" x14ac:dyDescent="0.25">
      <c r="A411">
        <v>42</v>
      </c>
      <c r="B411" s="7">
        <v>45973.562476851854</v>
      </c>
      <c r="C411" t="s">
        <v>161</v>
      </c>
      <c r="D411" s="6" t="s">
        <v>319</v>
      </c>
      <c r="E411" s="6" t="str">
        <f>VLOOKUP(F411,Germplasm!$A$1:$B$21,2,FALSE)</f>
        <v>Helium</v>
      </c>
      <c r="F411" t="s">
        <v>76</v>
      </c>
      <c r="G411" s="6" t="s">
        <v>113</v>
      </c>
      <c r="H411">
        <v>45875.4</v>
      </c>
      <c r="I411">
        <v>574.43799999999999</v>
      </c>
      <c r="J411">
        <v>144731</v>
      </c>
      <c r="K411">
        <v>17.220800000000001</v>
      </c>
      <c r="L411">
        <v>71.066400000000002</v>
      </c>
      <c r="M411">
        <v>1536.32</v>
      </c>
      <c r="N411">
        <v>550.06399999999996</v>
      </c>
      <c r="O411">
        <v>31020300</v>
      </c>
      <c r="P411">
        <v>0.19790199999999999</v>
      </c>
      <c r="Q411">
        <v>1.2242900000000001</v>
      </c>
      <c r="R411">
        <v>4.6472600000000002</v>
      </c>
      <c r="S411">
        <v>24.840699999999998</v>
      </c>
      <c r="T411">
        <v>49.518599999999999</v>
      </c>
      <c r="U411">
        <v>19.081499999999998</v>
      </c>
      <c r="V411">
        <v>0.68774299999999999</v>
      </c>
      <c r="W411">
        <v>113.137</v>
      </c>
      <c r="X411">
        <v>2.0642800000000001</v>
      </c>
      <c r="Y411">
        <v>3.49437</v>
      </c>
      <c r="Z411">
        <v>5.7938499999999999</v>
      </c>
      <c r="AA411">
        <v>18.480899999999998</v>
      </c>
      <c r="AB411">
        <v>34.127800000000001</v>
      </c>
      <c r="AC411">
        <v>36.038800000000002</v>
      </c>
      <c r="AD411">
        <v>1.8406199999999999</v>
      </c>
      <c r="AE411">
        <v>6.5520199999999997</v>
      </c>
      <c r="AF411">
        <v>0</v>
      </c>
      <c r="AG411">
        <v>99.742800000000003</v>
      </c>
      <c r="AH411">
        <v>0.25724799999999998</v>
      </c>
      <c r="AI411">
        <v>0</v>
      </c>
      <c r="AJ411">
        <v>0</v>
      </c>
      <c r="AK411">
        <v>0</v>
      </c>
      <c r="AL411">
        <v>0.46405800000000003</v>
      </c>
      <c r="AM411">
        <v>0.86834199999999995</v>
      </c>
      <c r="AN411">
        <v>4.7092099999999997</v>
      </c>
      <c r="AO411">
        <v>9.7607099999999996</v>
      </c>
      <c r="AP411">
        <v>23.554400000000001</v>
      </c>
      <c r="AQ411">
        <v>42.917299999999997</v>
      </c>
      <c r="AR411">
        <v>18.190000000000001</v>
      </c>
      <c r="AS411">
        <v>6.4798099999999997E-2</v>
      </c>
      <c r="AT411">
        <v>4.28606</v>
      </c>
      <c r="AU411">
        <v>36.359099999999998</v>
      </c>
      <c r="AV411">
        <v>40.464500000000001</v>
      </c>
      <c r="AW411">
        <v>12.8246</v>
      </c>
      <c r="AX411">
        <v>3.7127599999999998</v>
      </c>
      <c r="AY411">
        <v>2.35303</v>
      </c>
      <c r="AZ411">
        <v>676.18600000000004</v>
      </c>
      <c r="BA411">
        <v>749.99900000000002</v>
      </c>
      <c r="BB411">
        <v>24923.9</v>
      </c>
      <c r="BC411">
        <v>3.2396399999999999E-2</v>
      </c>
      <c r="BD411">
        <v>0.139649</v>
      </c>
      <c r="BE411">
        <v>0.50819499999999995</v>
      </c>
      <c r="BF411">
        <v>2.63232</v>
      </c>
      <c r="BG411">
        <v>37.363900000000001</v>
      </c>
      <c r="BH411">
        <v>49.667700000000004</v>
      </c>
      <c r="BI411">
        <v>9.6882599999999996</v>
      </c>
      <c r="BJ411">
        <v>29.959</v>
      </c>
      <c r="BK411">
        <v>0</v>
      </c>
      <c r="BL411">
        <v>42.213799999999999</v>
      </c>
      <c r="BM411">
        <v>49.170999999999999</v>
      </c>
      <c r="BN411">
        <v>6.07104</v>
      </c>
      <c r="BO411">
        <v>1.00274</v>
      </c>
      <c r="BP411">
        <v>1.54139</v>
      </c>
      <c r="BQ411">
        <v>32.943899999999999</v>
      </c>
      <c r="BR411">
        <v>95239</v>
      </c>
    </row>
    <row r="412" spans="1:70" x14ac:dyDescent="0.25">
      <c r="A412">
        <v>42</v>
      </c>
      <c r="B412" s="7">
        <v>45988.557233796295</v>
      </c>
      <c r="C412" t="s">
        <v>161</v>
      </c>
      <c r="D412" s="6" t="s">
        <v>320</v>
      </c>
      <c r="E412" s="6" t="str">
        <f>VLOOKUP(F412,Germplasm!$A$1:$B$21,2,FALSE)</f>
        <v>Helium</v>
      </c>
      <c r="F412" t="s">
        <v>76</v>
      </c>
      <c r="G412" s="6" t="s">
        <v>113</v>
      </c>
      <c r="H412">
        <v>41209.199999999997</v>
      </c>
      <c r="I412">
        <v>521.29100000000005</v>
      </c>
      <c r="J412">
        <v>113816</v>
      </c>
      <c r="K412">
        <v>20.188800000000001</v>
      </c>
      <c r="L412">
        <v>70.609399999999994</v>
      </c>
      <c r="M412">
        <v>1300.2</v>
      </c>
      <c r="N412">
        <v>468.56799999999998</v>
      </c>
      <c r="O412">
        <v>28836900</v>
      </c>
      <c r="P412">
        <v>0.185225</v>
      </c>
      <c r="Q412">
        <v>0.82300399999999996</v>
      </c>
      <c r="R412">
        <v>6.1161399999999997</v>
      </c>
      <c r="S412">
        <v>28.198799999999999</v>
      </c>
      <c r="T412">
        <v>49.081000000000003</v>
      </c>
      <c r="U412">
        <v>15.282</v>
      </c>
      <c r="V412">
        <v>0.49916199999999999</v>
      </c>
      <c r="W412">
        <v>85.297300000000007</v>
      </c>
      <c r="X412">
        <v>3.177</v>
      </c>
      <c r="Y412">
        <v>12.66</v>
      </c>
      <c r="Z412">
        <v>16.090499999999999</v>
      </c>
      <c r="AA412">
        <v>33.6661</v>
      </c>
      <c r="AB412">
        <v>23.614699999999999</v>
      </c>
      <c r="AC412">
        <v>10.791700000000001</v>
      </c>
      <c r="AD412">
        <v>1.79342</v>
      </c>
      <c r="AE412">
        <v>8.5571599999999997</v>
      </c>
      <c r="AF412">
        <v>0</v>
      </c>
      <c r="AG412">
        <v>99.364599999999996</v>
      </c>
      <c r="AH412">
        <v>0.63428300000000004</v>
      </c>
      <c r="AI412">
        <v>1.11669E-3</v>
      </c>
      <c r="AJ412">
        <v>0</v>
      </c>
      <c r="AK412">
        <v>0</v>
      </c>
      <c r="AL412">
        <v>0.34643000000000002</v>
      </c>
      <c r="AM412">
        <v>3.3478500000000002</v>
      </c>
      <c r="AN412">
        <v>13.456200000000001</v>
      </c>
      <c r="AO412">
        <v>19.936299999999999</v>
      </c>
      <c r="AP412">
        <v>31.450600000000001</v>
      </c>
      <c r="AQ412">
        <v>26.448899999999998</v>
      </c>
      <c r="AR412">
        <v>5.3601299999999998</v>
      </c>
      <c r="AS412">
        <v>0.21412900000000001</v>
      </c>
      <c r="AT412">
        <v>1.1200399999999999</v>
      </c>
      <c r="AU412">
        <v>10.574</v>
      </c>
      <c r="AV412">
        <v>39.4026</v>
      </c>
      <c r="AW412">
        <v>32.104999999999997</v>
      </c>
      <c r="AX412">
        <v>13.405900000000001</v>
      </c>
      <c r="AY412">
        <v>3.3925200000000002</v>
      </c>
      <c r="AZ412">
        <v>699.76800000000003</v>
      </c>
      <c r="BA412">
        <v>767.4</v>
      </c>
      <c r="BB412">
        <v>22978</v>
      </c>
      <c r="BC412">
        <v>0.17554500000000001</v>
      </c>
      <c r="BD412">
        <v>4.8017900000000002E-2</v>
      </c>
      <c r="BE412">
        <v>0.20658799999999999</v>
      </c>
      <c r="BF412">
        <v>0.74260199999999998</v>
      </c>
      <c r="BG412">
        <v>10.6935</v>
      </c>
      <c r="BH412">
        <v>52.649900000000002</v>
      </c>
      <c r="BI412">
        <v>35.659399999999998</v>
      </c>
      <c r="BJ412">
        <v>34.507800000000003</v>
      </c>
      <c r="BK412">
        <v>0</v>
      </c>
      <c r="BL412">
        <v>27.596900000000002</v>
      </c>
      <c r="BM412">
        <v>59.506399999999999</v>
      </c>
      <c r="BN412">
        <v>10.6935</v>
      </c>
      <c r="BO412">
        <v>1.15913</v>
      </c>
      <c r="BP412">
        <v>1.0441100000000001</v>
      </c>
      <c r="BQ412">
        <v>33.9238</v>
      </c>
      <c r="BR412">
        <v>89550</v>
      </c>
    </row>
    <row r="413" spans="1:70" x14ac:dyDescent="0.25">
      <c r="A413">
        <v>42</v>
      </c>
      <c r="B413" s="7">
        <v>45994.568148148152</v>
      </c>
      <c r="C413" t="s">
        <v>161</v>
      </c>
      <c r="D413" s="6" t="s">
        <v>321</v>
      </c>
      <c r="E413" s="6" t="str">
        <f>VLOOKUP(F413,Germplasm!$A$1:$B$21,2,FALSE)</f>
        <v>Helium</v>
      </c>
      <c r="F413" t="s">
        <v>76</v>
      </c>
      <c r="G413" s="6" t="s">
        <v>113</v>
      </c>
      <c r="H413">
        <v>35140</v>
      </c>
      <c r="I413">
        <v>489.28899999999999</v>
      </c>
      <c r="J413">
        <v>96240.4</v>
      </c>
      <c r="K413">
        <v>20.6251</v>
      </c>
      <c r="L413">
        <v>69.316999999999993</v>
      </c>
      <c r="M413">
        <v>1210.29</v>
      </c>
      <c r="N413">
        <v>448.94200000000001</v>
      </c>
      <c r="O413">
        <v>24509400</v>
      </c>
      <c r="P413">
        <v>0.136875</v>
      </c>
      <c r="Q413">
        <v>1.4744600000000001</v>
      </c>
      <c r="R413">
        <v>13.4156</v>
      </c>
      <c r="S413">
        <v>37.121400000000001</v>
      </c>
      <c r="T413">
        <v>36.643999999999998</v>
      </c>
      <c r="U413">
        <v>10.9628</v>
      </c>
      <c r="V413">
        <v>0.38167000000000001</v>
      </c>
      <c r="W413">
        <v>70.339500000000001</v>
      </c>
      <c r="X413">
        <v>7.5277200000000004</v>
      </c>
      <c r="Y413">
        <v>25.922499999999999</v>
      </c>
      <c r="Z413">
        <v>14.0435</v>
      </c>
      <c r="AA413">
        <v>29.135000000000002</v>
      </c>
      <c r="AB413">
        <v>15.5503</v>
      </c>
      <c r="AC413">
        <v>7.8211300000000001</v>
      </c>
      <c r="AD413">
        <v>1.7703100000000001</v>
      </c>
      <c r="AE413">
        <v>9.6909700000000001</v>
      </c>
      <c r="AF413">
        <v>0</v>
      </c>
      <c r="AG413">
        <v>98.145099999999999</v>
      </c>
      <c r="AH413">
        <v>1.8449500000000001</v>
      </c>
      <c r="AI413">
        <v>8.7025699999999998E-3</v>
      </c>
      <c r="AJ413">
        <v>1.24322E-3</v>
      </c>
      <c r="AK413">
        <v>0</v>
      </c>
      <c r="AL413">
        <v>0.27820499999999998</v>
      </c>
      <c r="AM413">
        <v>5.8717499999999996</v>
      </c>
      <c r="AN413">
        <v>23.7928</v>
      </c>
      <c r="AO413">
        <v>24.321200000000001</v>
      </c>
      <c r="AP413">
        <v>24.867000000000001</v>
      </c>
      <c r="AQ413">
        <v>16.9725</v>
      </c>
      <c r="AR413">
        <v>4.1747500000000004</v>
      </c>
      <c r="AS413">
        <v>0.25568600000000002</v>
      </c>
      <c r="AT413">
        <v>0.80560900000000002</v>
      </c>
      <c r="AU413">
        <v>6.6437900000000001</v>
      </c>
      <c r="AV413">
        <v>32.7776</v>
      </c>
      <c r="AW413">
        <v>37.930799999999998</v>
      </c>
      <c r="AX413">
        <v>18.183399999999999</v>
      </c>
      <c r="AY413">
        <v>3.6588099999999999</v>
      </c>
      <c r="AZ413">
        <v>697.48099999999999</v>
      </c>
      <c r="BA413">
        <v>768.59900000000005</v>
      </c>
      <c r="BB413">
        <v>19849.7</v>
      </c>
      <c r="BC413">
        <v>0.237682</v>
      </c>
      <c r="BD413">
        <v>8.3295999999999995E-2</v>
      </c>
      <c r="BE413">
        <v>0.218808</v>
      </c>
      <c r="BF413">
        <v>0.59550499999999995</v>
      </c>
      <c r="BG413">
        <v>6.5443300000000004</v>
      </c>
      <c r="BH413">
        <v>42.2</v>
      </c>
      <c r="BI413">
        <v>50.357999999999997</v>
      </c>
      <c r="BJ413">
        <v>35.0867</v>
      </c>
      <c r="BK413">
        <v>0</v>
      </c>
      <c r="BL413">
        <v>25.9983</v>
      </c>
      <c r="BM413">
        <v>61.686300000000003</v>
      </c>
      <c r="BN413">
        <v>9.8102800000000006</v>
      </c>
      <c r="BO413">
        <v>1.2954399999999999</v>
      </c>
      <c r="BP413">
        <v>1.20966</v>
      </c>
      <c r="BQ413">
        <v>34.423699999999997</v>
      </c>
      <c r="BR413">
        <v>80436</v>
      </c>
    </row>
    <row r="414" spans="1:70" x14ac:dyDescent="0.25">
      <c r="A414">
        <v>42</v>
      </c>
      <c r="B414" s="7">
        <v>46002.560428240744</v>
      </c>
      <c r="C414" t="s">
        <v>161</v>
      </c>
      <c r="D414" s="6" t="s">
        <v>322</v>
      </c>
      <c r="E414" s="6" t="str">
        <f>VLOOKUP(F414,Germplasm!$A$1:$B$21,2,FALSE)</f>
        <v>Helium</v>
      </c>
      <c r="F414" t="s">
        <v>76</v>
      </c>
      <c r="G414" s="6" t="s">
        <v>113</v>
      </c>
      <c r="H414">
        <v>26848.6</v>
      </c>
      <c r="I414">
        <v>545.83199999999999</v>
      </c>
      <c r="J414">
        <v>92928.4</v>
      </c>
      <c r="K414">
        <v>15.4169</v>
      </c>
      <c r="L414">
        <v>74.265600000000006</v>
      </c>
      <c r="M414">
        <v>1157.23</v>
      </c>
      <c r="N414">
        <v>428.94400000000002</v>
      </c>
      <c r="O414">
        <v>18706500</v>
      </c>
      <c r="P414">
        <v>5.7825700000000001E-2</v>
      </c>
      <c r="Q414">
        <v>1.73342</v>
      </c>
      <c r="R414">
        <v>26.856200000000001</v>
      </c>
      <c r="S414">
        <v>51.878300000000003</v>
      </c>
      <c r="T414">
        <v>15.896800000000001</v>
      </c>
      <c r="U414">
        <v>3.3834</v>
      </c>
      <c r="V414">
        <v>0.25190499999999999</v>
      </c>
      <c r="W414">
        <v>46.773099999999999</v>
      </c>
      <c r="X414">
        <v>14.528600000000001</v>
      </c>
      <c r="Y414">
        <v>46.125399999999999</v>
      </c>
      <c r="Z414">
        <v>14.9254</v>
      </c>
      <c r="AA414">
        <v>12.8786</v>
      </c>
      <c r="AB414">
        <v>4.8381499999999997</v>
      </c>
      <c r="AC414">
        <v>6.7038200000000003</v>
      </c>
      <c r="AD414">
        <v>1.8740300000000001</v>
      </c>
      <c r="AE414">
        <v>12.3401</v>
      </c>
      <c r="AF414">
        <v>0</v>
      </c>
      <c r="AG414">
        <v>94.374600000000001</v>
      </c>
      <c r="AH414">
        <v>5.62378</v>
      </c>
      <c r="AI414">
        <v>1.57441E-3</v>
      </c>
      <c r="AJ414">
        <v>0</v>
      </c>
      <c r="AK414">
        <v>0</v>
      </c>
      <c r="AL414">
        <v>0.16232099999999999</v>
      </c>
      <c r="AM414">
        <v>13.017200000000001</v>
      </c>
      <c r="AN414">
        <v>43.211199999999998</v>
      </c>
      <c r="AO414">
        <v>24.349799999999998</v>
      </c>
      <c r="AP414">
        <v>11.669499999999999</v>
      </c>
      <c r="AQ414">
        <v>5.6851799999999999</v>
      </c>
      <c r="AR414">
        <v>2.0672000000000001</v>
      </c>
      <c r="AS414">
        <v>0.28751500000000002</v>
      </c>
      <c r="AT414">
        <v>0.65652699999999997</v>
      </c>
      <c r="AU414">
        <v>3.9265699999999999</v>
      </c>
      <c r="AV414">
        <v>23.213000000000001</v>
      </c>
      <c r="AW414">
        <v>50.884799999999998</v>
      </c>
      <c r="AX414">
        <v>17.834900000000001</v>
      </c>
      <c r="AY414">
        <v>3.4841600000000001</v>
      </c>
      <c r="AZ414">
        <v>696.74099999999999</v>
      </c>
      <c r="BA414">
        <v>764.99900000000002</v>
      </c>
      <c r="BB414">
        <v>14326.7</v>
      </c>
      <c r="BC414">
        <v>0.32305099999999998</v>
      </c>
      <c r="BD414">
        <v>0.100762</v>
      </c>
      <c r="BE414">
        <v>0.26450000000000001</v>
      </c>
      <c r="BF414">
        <v>0.60929500000000003</v>
      </c>
      <c r="BG414">
        <v>3.6053899999999999</v>
      </c>
      <c r="BH414">
        <v>21.665400000000002</v>
      </c>
      <c r="BI414">
        <v>73.754599999999996</v>
      </c>
      <c r="BJ414">
        <v>32.862499999999997</v>
      </c>
      <c r="BK414">
        <v>0</v>
      </c>
      <c r="BL414">
        <v>30.190799999999999</v>
      </c>
      <c r="BM414">
        <v>61.2239</v>
      </c>
      <c r="BN414">
        <v>6.3259600000000002</v>
      </c>
      <c r="BO414">
        <v>1.15561</v>
      </c>
      <c r="BP414">
        <v>1.1036600000000001</v>
      </c>
      <c r="BQ414">
        <v>32.2652</v>
      </c>
      <c r="BR414">
        <v>63516</v>
      </c>
    </row>
    <row r="415" spans="1:70" x14ac:dyDescent="0.25">
      <c r="A415">
        <v>42</v>
      </c>
      <c r="B415" s="7">
        <v>46013.583784722221</v>
      </c>
      <c r="C415" t="s">
        <v>161</v>
      </c>
      <c r="D415" s="6" t="s">
        <v>323</v>
      </c>
      <c r="E415" s="6" t="str">
        <f>VLOOKUP(F415,Germplasm!$A$1:$B$21,2,FALSE)</f>
        <v>Helium</v>
      </c>
      <c r="F415" t="s">
        <v>76</v>
      </c>
      <c r="G415" s="6" t="s">
        <v>113</v>
      </c>
      <c r="H415">
        <v>27449.4</v>
      </c>
      <c r="I415">
        <v>550.572</v>
      </c>
      <c r="J415">
        <v>99244</v>
      </c>
      <c r="K415">
        <v>14.5093</v>
      </c>
      <c r="L415">
        <v>82.174400000000006</v>
      </c>
      <c r="M415">
        <v>1191.0999999999999</v>
      </c>
      <c r="N415">
        <v>416.85700000000003</v>
      </c>
      <c r="O415">
        <v>19217400</v>
      </c>
      <c r="P415">
        <v>2.8287400000000001E-2</v>
      </c>
      <c r="Q415">
        <v>2.0453100000000002</v>
      </c>
      <c r="R415">
        <v>31.076599999999999</v>
      </c>
      <c r="S415">
        <v>58.376600000000003</v>
      </c>
      <c r="T415">
        <v>5.7343799999999998</v>
      </c>
      <c r="U415">
        <v>2.59687</v>
      </c>
      <c r="V415">
        <v>0.17031199999999999</v>
      </c>
      <c r="W415">
        <v>39.103099999999998</v>
      </c>
      <c r="X415">
        <v>16.535900000000002</v>
      </c>
      <c r="Y415">
        <v>55.842199999999998</v>
      </c>
      <c r="Z415">
        <v>12.196899999999999</v>
      </c>
      <c r="AA415">
        <v>6.0421899999999997</v>
      </c>
      <c r="AB415">
        <v>2.2140599999999999</v>
      </c>
      <c r="AC415">
        <v>7.1687500000000002</v>
      </c>
      <c r="AD415">
        <v>1.9062600000000001</v>
      </c>
      <c r="AE415">
        <v>13.262499999999999</v>
      </c>
      <c r="AF415">
        <v>0</v>
      </c>
      <c r="AG415">
        <v>91.079700000000003</v>
      </c>
      <c r="AH415">
        <v>8.9031199999999995</v>
      </c>
      <c r="AI415">
        <v>1.7187500000000001E-2</v>
      </c>
      <c r="AJ415">
        <v>0</v>
      </c>
      <c r="AK415">
        <v>0</v>
      </c>
      <c r="AL415">
        <v>0.118989</v>
      </c>
      <c r="AM415">
        <v>17.148399999999999</v>
      </c>
      <c r="AN415">
        <v>52.015599999999999</v>
      </c>
      <c r="AO415">
        <v>19.420300000000001</v>
      </c>
      <c r="AP415">
        <v>6.7203099999999996</v>
      </c>
      <c r="AQ415">
        <v>3.1203099999999999</v>
      </c>
      <c r="AR415">
        <v>1.575</v>
      </c>
      <c r="AS415">
        <v>0.28040500000000002</v>
      </c>
      <c r="AT415">
        <v>0.74218799999999996</v>
      </c>
      <c r="AU415">
        <v>3.84375</v>
      </c>
      <c r="AV415">
        <v>22.1172</v>
      </c>
      <c r="AW415">
        <v>56.614100000000001</v>
      </c>
      <c r="AX415">
        <v>13.114100000000001</v>
      </c>
      <c r="AY415">
        <v>3.5687500000000001</v>
      </c>
      <c r="AZ415">
        <v>700.10199999999998</v>
      </c>
      <c r="BA415">
        <v>755.99900000000002</v>
      </c>
      <c r="BB415">
        <v>14399.6</v>
      </c>
      <c r="BC415">
        <v>0.33716699999999999</v>
      </c>
      <c r="BD415">
        <v>0.1125</v>
      </c>
      <c r="BE415">
        <v>0.30468800000000001</v>
      </c>
      <c r="BF415">
        <v>0.682813</v>
      </c>
      <c r="BG415">
        <v>3.4828100000000002</v>
      </c>
      <c r="BH415">
        <v>14.604699999999999</v>
      </c>
      <c r="BI415">
        <v>80.8125</v>
      </c>
      <c r="BJ415">
        <v>30.812899999999999</v>
      </c>
      <c r="BK415">
        <v>0</v>
      </c>
      <c r="BL415">
        <v>37.248399999999997</v>
      </c>
      <c r="BM415">
        <v>54.584400000000002</v>
      </c>
      <c r="BN415">
        <v>5.8062500000000004</v>
      </c>
      <c r="BO415">
        <v>1.17344</v>
      </c>
      <c r="BP415">
        <v>1.1875</v>
      </c>
      <c r="BQ415">
        <v>31.6556</v>
      </c>
      <c r="BR415">
        <v>64000</v>
      </c>
    </row>
    <row r="416" spans="1:70" x14ac:dyDescent="0.25">
      <c r="A416">
        <v>42</v>
      </c>
      <c r="B416" s="7">
        <v>46024.521956018521</v>
      </c>
      <c r="C416" t="s">
        <v>161</v>
      </c>
      <c r="D416" s="6" t="s">
        <v>324</v>
      </c>
      <c r="E416" s="6" t="str">
        <f>VLOOKUP(F416,Germplasm!$A$1:$B$21,2,FALSE)</f>
        <v>Helium</v>
      </c>
      <c r="F416" t="s">
        <v>76</v>
      </c>
      <c r="G416" s="6" t="s">
        <v>113</v>
      </c>
      <c r="H416">
        <v>31267.599999999999</v>
      </c>
      <c r="I416">
        <v>571.95299999999997</v>
      </c>
      <c r="J416">
        <v>119226</v>
      </c>
      <c r="K416">
        <v>14.142099999999999</v>
      </c>
      <c r="L416">
        <v>73.174499999999995</v>
      </c>
      <c r="M416">
        <v>1343.39</v>
      </c>
      <c r="N416">
        <v>497.76499999999999</v>
      </c>
      <c r="O416">
        <v>21472700</v>
      </c>
      <c r="P416">
        <v>9.0271699999999993E-3</v>
      </c>
      <c r="Q416">
        <v>1.5872599999999999</v>
      </c>
      <c r="R416">
        <v>35.757599999999996</v>
      </c>
      <c r="S416">
        <v>60.845300000000002</v>
      </c>
      <c r="T416">
        <v>1.57036</v>
      </c>
      <c r="U416">
        <v>0.199992</v>
      </c>
      <c r="V416">
        <v>3.9434999999999998E-2</v>
      </c>
      <c r="W416">
        <v>35.4773</v>
      </c>
      <c r="X416">
        <v>18.289400000000001</v>
      </c>
      <c r="Y416">
        <v>56.8934</v>
      </c>
      <c r="Z416">
        <v>10.926299999999999</v>
      </c>
      <c r="AA416">
        <v>3.4773200000000002</v>
      </c>
      <c r="AB416">
        <v>1.1999500000000001</v>
      </c>
      <c r="AC416">
        <v>9.2136999999999993</v>
      </c>
      <c r="AD416">
        <v>1.85443</v>
      </c>
      <c r="AE416">
        <v>16.177399999999999</v>
      </c>
      <c r="AF416">
        <v>0</v>
      </c>
      <c r="AG416">
        <v>83.520399999999995</v>
      </c>
      <c r="AH416">
        <v>16.375399999999999</v>
      </c>
      <c r="AI416">
        <v>0.10140399999999999</v>
      </c>
      <c r="AJ416">
        <v>2.8167800000000001E-3</v>
      </c>
      <c r="AK416">
        <v>0</v>
      </c>
      <c r="AL416">
        <v>8.2350000000000007E-2</v>
      </c>
      <c r="AM416">
        <v>22.422999999999998</v>
      </c>
      <c r="AN416">
        <v>54.753999999999998</v>
      </c>
      <c r="AO416">
        <v>16.790800000000001</v>
      </c>
      <c r="AP416">
        <v>4.1772900000000002</v>
      </c>
      <c r="AQ416">
        <v>1.36473</v>
      </c>
      <c r="AR416">
        <v>0.49012</v>
      </c>
      <c r="AS416">
        <v>0.246586</v>
      </c>
      <c r="AT416">
        <v>0.70982900000000004</v>
      </c>
      <c r="AU416">
        <v>4.8392299999999997</v>
      </c>
      <c r="AV416">
        <v>29.3565</v>
      </c>
      <c r="AW416">
        <v>54.282200000000003</v>
      </c>
      <c r="AX416">
        <v>8.4475300000000004</v>
      </c>
      <c r="AY416">
        <v>2.36469</v>
      </c>
      <c r="AZ416">
        <v>686.74099999999999</v>
      </c>
      <c r="BA416">
        <v>755.399</v>
      </c>
      <c r="BB416">
        <v>16861</v>
      </c>
      <c r="BC416">
        <v>0.321602</v>
      </c>
      <c r="BD416">
        <v>0.17041500000000001</v>
      </c>
      <c r="BE416">
        <v>0.32674700000000001</v>
      </c>
      <c r="BF416">
        <v>0.89855399999999996</v>
      </c>
      <c r="BG416">
        <v>4.1533499999999997</v>
      </c>
      <c r="BH416">
        <v>13.9557</v>
      </c>
      <c r="BI416">
        <v>80.495199999999997</v>
      </c>
      <c r="BJ416">
        <v>26.696899999999999</v>
      </c>
      <c r="BK416">
        <v>0</v>
      </c>
      <c r="BL416">
        <v>49.724699999999999</v>
      </c>
      <c r="BM416">
        <v>46.095199999999998</v>
      </c>
      <c r="BN416">
        <v>2.6505899999999998</v>
      </c>
      <c r="BO416">
        <v>0.92672100000000002</v>
      </c>
      <c r="BP416">
        <v>0.60279099999999997</v>
      </c>
      <c r="BQ416">
        <v>32.654400000000003</v>
      </c>
      <c r="BR416">
        <v>71003</v>
      </c>
    </row>
    <row r="417" spans="1:70" x14ac:dyDescent="0.25">
      <c r="A417">
        <v>42</v>
      </c>
      <c r="B417" s="7">
        <v>46024.522581018522</v>
      </c>
      <c r="C417" t="s">
        <v>161</v>
      </c>
      <c r="D417" s="6" t="s">
        <v>325</v>
      </c>
      <c r="E417" s="6" t="str">
        <f>VLOOKUP(F417,Germplasm!$A$1:$B$21,2,FALSE)</f>
        <v>Helium</v>
      </c>
      <c r="F417" t="s">
        <v>76</v>
      </c>
      <c r="G417" s="6" t="s">
        <v>113</v>
      </c>
      <c r="H417">
        <v>31121.8</v>
      </c>
      <c r="I417">
        <v>573.50400000000002</v>
      </c>
      <c r="J417">
        <v>119366</v>
      </c>
      <c r="K417">
        <v>14.103</v>
      </c>
      <c r="L417">
        <v>73.111800000000002</v>
      </c>
      <c r="M417">
        <v>1346.41</v>
      </c>
      <c r="N417">
        <v>498.57400000000001</v>
      </c>
      <c r="O417">
        <v>21400300</v>
      </c>
      <c r="P417">
        <v>9.0728200000000005E-3</v>
      </c>
      <c r="Q417">
        <v>1.6696</v>
      </c>
      <c r="R417">
        <v>35.4833</v>
      </c>
      <c r="S417">
        <v>60.947600000000001</v>
      </c>
      <c r="T417">
        <v>1.6526799999999999</v>
      </c>
      <c r="U417">
        <v>0.21998200000000001</v>
      </c>
      <c r="V417">
        <v>2.67926E-2</v>
      </c>
      <c r="W417">
        <v>35.529800000000002</v>
      </c>
      <c r="X417">
        <v>18.010300000000001</v>
      </c>
      <c r="Y417">
        <v>56.600200000000001</v>
      </c>
      <c r="Z417">
        <v>10.9793</v>
      </c>
      <c r="AA417">
        <v>3.5732900000000001</v>
      </c>
      <c r="AB417">
        <v>1.1422099999999999</v>
      </c>
      <c r="AC417">
        <v>9.6947100000000006</v>
      </c>
      <c r="AD417">
        <v>1.8487199999999999</v>
      </c>
      <c r="AE417">
        <v>16.129000000000001</v>
      </c>
      <c r="AF417">
        <v>0</v>
      </c>
      <c r="AG417">
        <v>83.994900000000001</v>
      </c>
      <c r="AH417">
        <v>15.9064</v>
      </c>
      <c r="AI417">
        <v>9.72996E-2</v>
      </c>
      <c r="AJ417">
        <v>1.41014E-3</v>
      </c>
      <c r="AK417">
        <v>0</v>
      </c>
      <c r="AL417">
        <v>8.1001600000000007E-2</v>
      </c>
      <c r="AM417">
        <v>22.8992</v>
      </c>
      <c r="AN417">
        <v>54.348199999999999</v>
      </c>
      <c r="AO417">
        <v>16.749600000000001</v>
      </c>
      <c r="AP417">
        <v>4.2078499999999996</v>
      </c>
      <c r="AQ417">
        <v>1.3114300000000001</v>
      </c>
      <c r="AR417">
        <v>0.483678</v>
      </c>
      <c r="AS417">
        <v>0.24401800000000001</v>
      </c>
      <c r="AT417">
        <v>0.78544700000000001</v>
      </c>
      <c r="AU417">
        <v>5.0483000000000002</v>
      </c>
      <c r="AV417">
        <v>29.6129</v>
      </c>
      <c r="AW417">
        <v>53.8673</v>
      </c>
      <c r="AX417">
        <v>8.3748100000000001</v>
      </c>
      <c r="AY417">
        <v>2.3112200000000001</v>
      </c>
      <c r="AZ417">
        <v>687.63</v>
      </c>
      <c r="BA417">
        <v>755.99900000000002</v>
      </c>
      <c r="BB417">
        <v>16834.2</v>
      </c>
      <c r="BC417">
        <v>0.31966699999999998</v>
      </c>
      <c r="BD417">
        <v>0.20588000000000001</v>
      </c>
      <c r="BE417">
        <v>0.38073800000000002</v>
      </c>
      <c r="BF417">
        <v>0.88697700000000002</v>
      </c>
      <c r="BG417">
        <v>4.3587400000000001</v>
      </c>
      <c r="BH417">
        <v>14.188800000000001</v>
      </c>
      <c r="BI417">
        <v>79.978899999999996</v>
      </c>
      <c r="BJ417">
        <v>26.582799999999999</v>
      </c>
      <c r="BK417">
        <v>0</v>
      </c>
      <c r="BL417">
        <v>49.797600000000003</v>
      </c>
      <c r="BM417">
        <v>46.029800000000002</v>
      </c>
      <c r="BN417">
        <v>2.7314400000000001</v>
      </c>
      <c r="BO417">
        <v>0.90530900000000003</v>
      </c>
      <c r="BP417">
        <v>0.53585300000000002</v>
      </c>
      <c r="BQ417">
        <v>32.767899999999997</v>
      </c>
      <c r="BR417">
        <v>70915</v>
      </c>
    </row>
    <row r="418" spans="1:70" x14ac:dyDescent="0.25">
      <c r="A418">
        <v>43</v>
      </c>
      <c r="B418" s="7">
        <v>45952.569212962961</v>
      </c>
      <c r="C418" t="s">
        <v>162</v>
      </c>
      <c r="D418" s="6" t="s">
        <v>326</v>
      </c>
      <c r="E418" s="6" t="str">
        <f>VLOOKUP(F418,Germplasm!$A$1:$B$21,2,FALSE)</f>
        <v>Edel</v>
      </c>
      <c r="F418" t="s">
        <v>67</v>
      </c>
      <c r="G418" s="6" t="s">
        <v>113</v>
      </c>
      <c r="H418">
        <v>40258.6</v>
      </c>
      <c r="I418">
        <v>242.47499999999999</v>
      </c>
      <c r="J418">
        <v>110341</v>
      </c>
      <c r="K418">
        <v>21.648099999999999</v>
      </c>
      <c r="L418">
        <v>70.407700000000006</v>
      </c>
      <c r="M418">
        <v>1256.8399999999999</v>
      </c>
      <c r="N418">
        <v>457.68799999999999</v>
      </c>
      <c r="O418">
        <v>11437800</v>
      </c>
      <c r="P418">
        <v>0.25412200000000001</v>
      </c>
      <c r="Q418">
        <v>0.40906900000000002</v>
      </c>
      <c r="R418">
        <v>5.2143899999999999</v>
      </c>
      <c r="S418">
        <v>17.1797</v>
      </c>
      <c r="T418">
        <v>35.717500000000001</v>
      </c>
      <c r="U418">
        <v>40.8658</v>
      </c>
      <c r="V418">
        <v>0.61360400000000004</v>
      </c>
      <c r="W418">
        <v>111.92100000000001</v>
      </c>
      <c r="X418">
        <v>1.7834399999999999</v>
      </c>
      <c r="Y418">
        <v>2.6364999999999998</v>
      </c>
      <c r="Z418">
        <v>4.2690400000000004</v>
      </c>
      <c r="AA418">
        <v>19.8187</v>
      </c>
      <c r="AB418">
        <v>41.562899999999999</v>
      </c>
      <c r="AC418">
        <v>29.929400000000001</v>
      </c>
      <c r="AD418">
        <v>1.6853899999999999</v>
      </c>
      <c r="AE418">
        <v>13.533200000000001</v>
      </c>
      <c r="AF418">
        <v>0</v>
      </c>
      <c r="AG418">
        <v>90.934399999999997</v>
      </c>
      <c r="AH418">
        <v>0.77199399999999996</v>
      </c>
      <c r="AI418">
        <v>1.57142</v>
      </c>
      <c r="AJ418">
        <v>6.7222099999999996</v>
      </c>
      <c r="AK418">
        <v>0</v>
      </c>
      <c r="AL418">
        <v>0.50609700000000002</v>
      </c>
      <c r="AM418">
        <v>7.7012299999999998</v>
      </c>
      <c r="AN418">
        <v>3.3211900000000001</v>
      </c>
      <c r="AO418">
        <v>2.9470499999999999</v>
      </c>
      <c r="AP418">
        <v>9.3736800000000002</v>
      </c>
      <c r="AQ418">
        <v>36.188899999999997</v>
      </c>
      <c r="AR418">
        <v>40.4679</v>
      </c>
      <c r="AS418">
        <v>6.6503499999999993E-2</v>
      </c>
      <c r="AT418">
        <v>5.8990799999999997</v>
      </c>
      <c r="AU418">
        <v>29.5091</v>
      </c>
      <c r="AV418">
        <v>44.304200000000002</v>
      </c>
      <c r="AW418">
        <v>15.651899999999999</v>
      </c>
      <c r="AX418">
        <v>3.1253899999999999</v>
      </c>
      <c r="AY418">
        <v>1.51031</v>
      </c>
      <c r="AZ418">
        <v>284.10899999999998</v>
      </c>
      <c r="BA418">
        <v>295.2</v>
      </c>
      <c r="BB418">
        <v>23886.799999999999</v>
      </c>
      <c r="BC418">
        <v>1.8900900000000002E-2</v>
      </c>
      <c r="BD418">
        <v>0.599885</v>
      </c>
      <c r="BE418">
        <v>0.61734599999999995</v>
      </c>
      <c r="BF418">
        <v>2.1663199999999998</v>
      </c>
      <c r="BG418">
        <v>32.0246</v>
      </c>
      <c r="BH418">
        <v>59.952399999999997</v>
      </c>
      <c r="BI418">
        <v>4.6394500000000001</v>
      </c>
      <c r="BJ418">
        <v>36.416899999999998</v>
      </c>
      <c r="BK418">
        <v>0</v>
      </c>
      <c r="BL418">
        <v>23.645</v>
      </c>
      <c r="BM418">
        <v>59.9998</v>
      </c>
      <c r="BN418">
        <v>13.5504</v>
      </c>
      <c r="BO418">
        <v>1.6437600000000001</v>
      </c>
      <c r="BP418">
        <v>1.1611100000000001</v>
      </c>
      <c r="BQ418">
        <v>36.430999999999997</v>
      </c>
      <c r="BR418">
        <v>80182</v>
      </c>
    </row>
    <row r="419" spans="1:70" x14ac:dyDescent="0.25">
      <c r="A419">
        <v>43</v>
      </c>
      <c r="B419" s="7">
        <v>45959.534814814811</v>
      </c>
      <c r="C419" t="s">
        <v>162</v>
      </c>
      <c r="D419" s="6" t="s">
        <v>327</v>
      </c>
      <c r="E419" s="6" t="str">
        <f>VLOOKUP(F419,Germplasm!$A$1:$B$21,2,FALSE)</f>
        <v>Edel</v>
      </c>
      <c r="F419" t="s">
        <v>67</v>
      </c>
      <c r="G419" s="6" t="s">
        <v>113</v>
      </c>
      <c r="H419">
        <v>57009.4</v>
      </c>
      <c r="I419">
        <v>266.85000000000002</v>
      </c>
      <c r="J419">
        <v>160482</v>
      </c>
      <c r="K419">
        <v>20.935300000000002</v>
      </c>
      <c r="L419">
        <v>82.772800000000004</v>
      </c>
      <c r="M419">
        <v>1497.51</v>
      </c>
      <c r="N419">
        <v>536.87699999999995</v>
      </c>
      <c r="O419">
        <v>18584600</v>
      </c>
      <c r="P419">
        <v>0.247308</v>
      </c>
      <c r="Q419">
        <v>0.458343</v>
      </c>
      <c r="R419">
        <v>4.6964699999999997</v>
      </c>
      <c r="S419">
        <v>17.586600000000001</v>
      </c>
      <c r="T419">
        <v>39.480200000000004</v>
      </c>
      <c r="U419">
        <v>36.794600000000003</v>
      </c>
      <c r="V419">
        <v>0.98380299999999998</v>
      </c>
      <c r="W419">
        <v>117.536</v>
      </c>
      <c r="X419">
        <v>1.6028800000000001</v>
      </c>
      <c r="Y419">
        <v>2.2899500000000002</v>
      </c>
      <c r="Z419">
        <v>3.5077799999999999</v>
      </c>
      <c r="AA419">
        <v>14.8551</v>
      </c>
      <c r="AB419">
        <v>39.639200000000002</v>
      </c>
      <c r="AC419">
        <v>38.105200000000004</v>
      </c>
      <c r="AD419">
        <v>1.6968300000000001</v>
      </c>
      <c r="AE419">
        <v>11.3186</v>
      </c>
      <c r="AF419">
        <v>0</v>
      </c>
      <c r="AG419">
        <v>93.501099999999994</v>
      </c>
      <c r="AH419">
        <v>0.89460799999999996</v>
      </c>
      <c r="AI419">
        <v>0.99704999999999999</v>
      </c>
      <c r="AJ419">
        <v>4.6072699999999998</v>
      </c>
      <c r="AK419">
        <v>0</v>
      </c>
      <c r="AL419">
        <v>0.51744100000000004</v>
      </c>
      <c r="AM419">
        <v>5.7880099999999999</v>
      </c>
      <c r="AN419">
        <v>3.2207599999999998</v>
      </c>
      <c r="AO419">
        <v>3.5077799999999999</v>
      </c>
      <c r="AP419">
        <v>9.7099799999999998</v>
      </c>
      <c r="AQ419">
        <v>37.0383</v>
      </c>
      <c r="AR419">
        <v>40.735100000000003</v>
      </c>
      <c r="AS419">
        <v>3.1356700000000001E-2</v>
      </c>
      <c r="AT419">
        <v>8.1724599999999992</v>
      </c>
      <c r="AU419">
        <v>36.269100000000002</v>
      </c>
      <c r="AV419">
        <v>40.891399999999997</v>
      </c>
      <c r="AW419">
        <v>10.783899999999999</v>
      </c>
      <c r="AX419">
        <v>2.25021</v>
      </c>
      <c r="AY419">
        <v>1.6329</v>
      </c>
      <c r="AZ419">
        <v>325.99200000000002</v>
      </c>
      <c r="BA419">
        <v>374.99900000000002</v>
      </c>
      <c r="BB419">
        <v>33597.5</v>
      </c>
      <c r="BC419">
        <v>3.1452799999999999E-3</v>
      </c>
      <c r="BD419">
        <v>0.49985000000000002</v>
      </c>
      <c r="BE419">
        <v>0.67205999999999999</v>
      </c>
      <c r="BF419">
        <v>2.9540600000000001</v>
      </c>
      <c r="BG419">
        <v>40.314700000000002</v>
      </c>
      <c r="BH419">
        <v>50.930799999999998</v>
      </c>
      <c r="BI419">
        <v>4.6284700000000001</v>
      </c>
      <c r="BJ419">
        <v>34.764899999999997</v>
      </c>
      <c r="BK419">
        <v>0</v>
      </c>
      <c r="BL419">
        <v>26.825900000000001</v>
      </c>
      <c r="BM419">
        <v>60.250500000000002</v>
      </c>
      <c r="BN419">
        <v>10.0032</v>
      </c>
      <c r="BO419">
        <v>1.58521</v>
      </c>
      <c r="BP419">
        <v>1.3352900000000001</v>
      </c>
      <c r="BQ419">
        <v>36.155200000000001</v>
      </c>
      <c r="BR419">
        <v>113234</v>
      </c>
    </row>
    <row r="420" spans="1:70" x14ac:dyDescent="0.25">
      <c r="A420">
        <v>43</v>
      </c>
      <c r="B420" s="7">
        <v>45966.544398148151</v>
      </c>
      <c r="C420" t="s">
        <v>162</v>
      </c>
      <c r="D420" s="6" t="s">
        <v>328</v>
      </c>
      <c r="E420" s="6" t="str">
        <f>VLOOKUP(F420,Germplasm!$A$1:$B$21,2,FALSE)</f>
        <v>Edel</v>
      </c>
      <c r="F420" t="s">
        <v>67</v>
      </c>
      <c r="G420" s="6" t="s">
        <v>113</v>
      </c>
      <c r="H420">
        <v>69010.3</v>
      </c>
      <c r="I420">
        <v>390.42700000000002</v>
      </c>
      <c r="J420">
        <v>156777</v>
      </c>
      <c r="K420">
        <v>25.8794</v>
      </c>
      <c r="L420">
        <v>82.264700000000005</v>
      </c>
      <c r="M420">
        <v>1478.51</v>
      </c>
      <c r="N420">
        <v>520.80600000000004</v>
      </c>
      <c r="O420">
        <v>31875800</v>
      </c>
      <c r="P420">
        <v>0.27684599999999998</v>
      </c>
      <c r="Q420">
        <v>0.303813</v>
      </c>
      <c r="R420">
        <v>2.9619900000000001</v>
      </c>
      <c r="S420">
        <v>12.9856</v>
      </c>
      <c r="T420">
        <v>36.582900000000002</v>
      </c>
      <c r="U420">
        <v>46.402799999999999</v>
      </c>
      <c r="V420">
        <v>0.76279399999999997</v>
      </c>
      <c r="W420">
        <v>115.85299999999999</v>
      </c>
      <c r="X420">
        <v>0.969445</v>
      </c>
      <c r="Y420">
        <v>1.6865600000000001</v>
      </c>
      <c r="Z420">
        <v>2.74736</v>
      </c>
      <c r="AA420">
        <v>15.0152</v>
      </c>
      <c r="AB420">
        <v>47.795000000000002</v>
      </c>
      <c r="AC420">
        <v>31.7865</v>
      </c>
      <c r="AD420">
        <v>1.70089</v>
      </c>
      <c r="AE420">
        <v>9.9464699999999997</v>
      </c>
      <c r="AF420">
        <v>0</v>
      </c>
      <c r="AG420">
        <v>95.321700000000007</v>
      </c>
      <c r="AH420">
        <v>0.50901300000000005</v>
      </c>
      <c r="AI420">
        <v>0.75844400000000001</v>
      </c>
      <c r="AJ420">
        <v>3.4108200000000002</v>
      </c>
      <c r="AK420">
        <v>0</v>
      </c>
      <c r="AL420">
        <v>0.54010499999999995</v>
      </c>
      <c r="AM420">
        <v>3.9597099999999998</v>
      </c>
      <c r="AN420">
        <v>2.43485</v>
      </c>
      <c r="AO420">
        <v>3.2868300000000001</v>
      </c>
      <c r="AP420">
        <v>9.2209599999999998</v>
      </c>
      <c r="AQ420">
        <v>34.976100000000002</v>
      </c>
      <c r="AR420">
        <v>46.121499999999997</v>
      </c>
      <c r="AS420">
        <v>5.0548200000000001E-2</v>
      </c>
      <c r="AT420">
        <v>5.6346699999999998</v>
      </c>
      <c r="AU420">
        <v>33.509300000000003</v>
      </c>
      <c r="AV420">
        <v>44.508899999999997</v>
      </c>
      <c r="AW420">
        <v>12.604200000000001</v>
      </c>
      <c r="AX420">
        <v>2.3855400000000002</v>
      </c>
      <c r="AY420">
        <v>1.35737</v>
      </c>
      <c r="AZ420">
        <v>461.899</v>
      </c>
      <c r="BA420">
        <v>505.79899999999998</v>
      </c>
      <c r="BB420">
        <v>40573</v>
      </c>
      <c r="BC420">
        <v>1.31003E-2</v>
      </c>
      <c r="BD420">
        <v>0.33354099999999998</v>
      </c>
      <c r="BE420">
        <v>0.47275800000000001</v>
      </c>
      <c r="BF420">
        <v>2.2282000000000002</v>
      </c>
      <c r="BG420">
        <v>36.108699999999999</v>
      </c>
      <c r="BH420">
        <v>57.045000000000002</v>
      </c>
      <c r="BI420">
        <v>3.8117999999999999</v>
      </c>
      <c r="BJ420">
        <v>36.490400000000001</v>
      </c>
      <c r="BK420">
        <v>0</v>
      </c>
      <c r="BL420">
        <v>20.505500000000001</v>
      </c>
      <c r="BM420">
        <v>65.340699999999998</v>
      </c>
      <c r="BN420">
        <v>11.8596</v>
      </c>
      <c r="BO420">
        <v>1.23193</v>
      </c>
      <c r="BP420">
        <v>1.06226</v>
      </c>
      <c r="BQ420">
        <v>36.061</v>
      </c>
      <c r="BR420">
        <v>137914</v>
      </c>
    </row>
    <row r="421" spans="1:70" x14ac:dyDescent="0.25">
      <c r="A421">
        <v>43</v>
      </c>
      <c r="B421" s="7">
        <v>45973.563472222224</v>
      </c>
      <c r="C421" t="s">
        <v>162</v>
      </c>
      <c r="D421" s="6" t="s">
        <v>329</v>
      </c>
      <c r="E421" s="6" t="str">
        <f>VLOOKUP(F421,Germplasm!$A$1:$B$21,2,FALSE)</f>
        <v>Edel</v>
      </c>
      <c r="F421" t="s">
        <v>67</v>
      </c>
      <c r="G421" s="6" t="s">
        <v>113</v>
      </c>
      <c r="H421">
        <v>77934.100000000006</v>
      </c>
      <c r="I421">
        <v>494.04199999999997</v>
      </c>
      <c r="J421">
        <v>164667</v>
      </c>
      <c r="K421">
        <v>27.551600000000001</v>
      </c>
      <c r="L421">
        <v>73.267200000000003</v>
      </c>
      <c r="M421">
        <v>1533.33</v>
      </c>
      <c r="N421">
        <v>544.88199999999995</v>
      </c>
      <c r="O421">
        <v>43805100</v>
      </c>
      <c r="P421">
        <v>0.25709900000000002</v>
      </c>
      <c r="Q421">
        <v>0.37801099999999999</v>
      </c>
      <c r="R421">
        <v>3.39371</v>
      </c>
      <c r="S421">
        <v>16.359000000000002</v>
      </c>
      <c r="T421">
        <v>40.849699999999999</v>
      </c>
      <c r="U421">
        <v>38.0075</v>
      </c>
      <c r="V421">
        <v>1.0121100000000001</v>
      </c>
      <c r="W421">
        <v>117.569</v>
      </c>
      <c r="X421">
        <v>1.1675800000000001</v>
      </c>
      <c r="Y421">
        <v>2.1371199999999999</v>
      </c>
      <c r="Z421">
        <v>3.1769699999999998</v>
      </c>
      <c r="AA421">
        <v>14.2315</v>
      </c>
      <c r="AB421">
        <v>41.9831</v>
      </c>
      <c r="AC421">
        <v>37.303699999999999</v>
      </c>
      <c r="AD421">
        <v>1.7178100000000001</v>
      </c>
      <c r="AE421">
        <v>9.9672699999999992</v>
      </c>
      <c r="AF421">
        <v>0</v>
      </c>
      <c r="AG421">
        <v>95.152900000000002</v>
      </c>
      <c r="AH421">
        <v>0.626363</v>
      </c>
      <c r="AI421">
        <v>0.80633699999999997</v>
      </c>
      <c r="AJ421">
        <v>3.4143500000000002</v>
      </c>
      <c r="AK421">
        <v>0</v>
      </c>
      <c r="AL421">
        <v>0.52042500000000003</v>
      </c>
      <c r="AM421">
        <v>4.4574299999999996</v>
      </c>
      <c r="AN421">
        <v>2.8525</v>
      </c>
      <c r="AO421">
        <v>4.2419799999999999</v>
      </c>
      <c r="AP421">
        <v>11.381600000000001</v>
      </c>
      <c r="AQ421">
        <v>37.396599999999999</v>
      </c>
      <c r="AR421">
        <v>39.669899999999998</v>
      </c>
      <c r="AS421">
        <v>4.1696299999999999E-2</v>
      </c>
      <c r="AT421">
        <v>5.7514399999999997</v>
      </c>
      <c r="AU421">
        <v>38.664200000000001</v>
      </c>
      <c r="AV421">
        <v>40.176200000000001</v>
      </c>
      <c r="AW421">
        <v>10.7204</v>
      </c>
      <c r="AX421">
        <v>2.8389500000000001</v>
      </c>
      <c r="AY421">
        <v>1.84877</v>
      </c>
      <c r="AZ421">
        <v>562.07799999999997</v>
      </c>
      <c r="BA421">
        <v>606</v>
      </c>
      <c r="BB421">
        <v>45368.3</v>
      </c>
      <c r="BC421">
        <v>1.01852E-2</v>
      </c>
      <c r="BD421">
        <v>0.32705000000000001</v>
      </c>
      <c r="BE421">
        <v>0.41800500000000002</v>
      </c>
      <c r="BF421">
        <v>2.2880600000000002</v>
      </c>
      <c r="BG421">
        <v>41.3825</v>
      </c>
      <c r="BH421">
        <v>50.419899999999998</v>
      </c>
      <c r="BI421">
        <v>5.1644300000000003</v>
      </c>
      <c r="BJ421">
        <v>34.772799999999997</v>
      </c>
      <c r="BK421">
        <v>0</v>
      </c>
      <c r="BL421">
        <v>26.480799999999999</v>
      </c>
      <c r="BM421">
        <v>60.253999999999998</v>
      </c>
      <c r="BN421">
        <v>10.4488</v>
      </c>
      <c r="BO421">
        <v>1.5629999999999999</v>
      </c>
      <c r="BP421">
        <v>1.2533700000000001</v>
      </c>
      <c r="BQ421">
        <v>35.652999999999999</v>
      </c>
      <c r="BR421">
        <v>155022</v>
      </c>
    </row>
    <row r="422" spans="1:70" x14ac:dyDescent="0.25">
      <c r="A422">
        <v>43</v>
      </c>
      <c r="B422" s="7">
        <v>45988.559907407405</v>
      </c>
      <c r="C422" t="s">
        <v>162</v>
      </c>
      <c r="D422" s="6" t="s">
        <v>330</v>
      </c>
      <c r="E422" s="6" t="str">
        <f>VLOOKUP(F422,Germplasm!$A$1:$B$21,2,FALSE)</f>
        <v>Edel</v>
      </c>
      <c r="F422" t="s">
        <v>67</v>
      </c>
      <c r="G422" s="6" t="s">
        <v>113</v>
      </c>
      <c r="H422">
        <v>58438.1</v>
      </c>
      <c r="I422">
        <v>471.339</v>
      </c>
      <c r="J422">
        <v>162251</v>
      </c>
      <c r="K422">
        <v>20.9085</v>
      </c>
      <c r="L422">
        <v>82.0501</v>
      </c>
      <c r="M422">
        <v>1511.11</v>
      </c>
      <c r="N422">
        <v>523.20600000000002</v>
      </c>
      <c r="O422">
        <v>32339200</v>
      </c>
      <c r="P422">
        <v>0.20349300000000001</v>
      </c>
      <c r="Q422">
        <v>0.87988</v>
      </c>
      <c r="R422">
        <v>9.63809</v>
      </c>
      <c r="S422">
        <v>21.7742</v>
      </c>
      <c r="T422">
        <v>40.417000000000002</v>
      </c>
      <c r="U422">
        <v>26.45</v>
      </c>
      <c r="V422">
        <v>0.84082500000000004</v>
      </c>
      <c r="W422">
        <v>105.2</v>
      </c>
      <c r="X422">
        <v>5.8306399999999998</v>
      </c>
      <c r="Y422">
        <v>6.95404</v>
      </c>
      <c r="Z422">
        <v>5.09626</v>
      </c>
      <c r="AA422">
        <v>17.990400000000001</v>
      </c>
      <c r="AB422">
        <v>34.29</v>
      </c>
      <c r="AC422">
        <v>29.8386</v>
      </c>
      <c r="AD422">
        <v>1.72261</v>
      </c>
      <c r="AE422">
        <v>12.3559</v>
      </c>
      <c r="AF422">
        <v>0</v>
      </c>
      <c r="AG422">
        <v>92.544399999999996</v>
      </c>
      <c r="AH422">
        <v>1.6663300000000001</v>
      </c>
      <c r="AI422">
        <v>0.89213200000000004</v>
      </c>
      <c r="AJ422">
        <v>4.8971600000000004</v>
      </c>
      <c r="AK422">
        <v>0</v>
      </c>
      <c r="AL422">
        <v>0.429896</v>
      </c>
      <c r="AM422">
        <v>6.4463299999999997</v>
      </c>
      <c r="AN422">
        <v>10.4192</v>
      </c>
      <c r="AO422">
        <v>9.67408</v>
      </c>
      <c r="AP422">
        <v>14.6486</v>
      </c>
      <c r="AQ422">
        <v>33.329000000000001</v>
      </c>
      <c r="AR422">
        <v>25.482800000000001</v>
      </c>
      <c r="AS422">
        <v>9.4228500000000007E-2</v>
      </c>
      <c r="AT422">
        <v>3.3556400000000002</v>
      </c>
      <c r="AU422">
        <v>31.285900000000002</v>
      </c>
      <c r="AV422">
        <v>40.075499999999998</v>
      </c>
      <c r="AW422">
        <v>18.201000000000001</v>
      </c>
      <c r="AX422">
        <v>4.4162499999999998</v>
      </c>
      <c r="AY422">
        <v>2.66568</v>
      </c>
      <c r="AZ422">
        <v>553.39200000000005</v>
      </c>
      <c r="BA422">
        <v>629.399</v>
      </c>
      <c r="BB422">
        <v>33924.199999999997</v>
      </c>
      <c r="BC422">
        <v>6.8024600000000005E-2</v>
      </c>
      <c r="BD422">
        <v>0.14396600000000001</v>
      </c>
      <c r="BE422">
        <v>0.36527700000000002</v>
      </c>
      <c r="BF422">
        <v>1.7344900000000001</v>
      </c>
      <c r="BG422">
        <v>32.395499999999998</v>
      </c>
      <c r="BH422">
        <v>48.564900000000002</v>
      </c>
      <c r="BI422">
        <v>16.7958</v>
      </c>
      <c r="BJ422">
        <v>33.080399999999997</v>
      </c>
      <c r="BK422">
        <v>0</v>
      </c>
      <c r="BL422">
        <v>31.173300000000001</v>
      </c>
      <c r="BM422">
        <v>57.871400000000001</v>
      </c>
      <c r="BN422">
        <v>7.70756</v>
      </c>
      <c r="BO422">
        <v>1.7681800000000001</v>
      </c>
      <c r="BP422">
        <v>1.4794799999999999</v>
      </c>
      <c r="BQ422">
        <v>35.530999999999999</v>
      </c>
      <c r="BR422">
        <v>130586</v>
      </c>
    </row>
    <row r="423" spans="1:70" x14ac:dyDescent="0.25">
      <c r="A423">
        <v>43</v>
      </c>
      <c r="B423" s="7">
        <v>45994.569444444445</v>
      </c>
      <c r="C423" t="s">
        <v>162</v>
      </c>
      <c r="D423" s="6" t="s">
        <v>331</v>
      </c>
      <c r="E423" s="6" t="str">
        <f>VLOOKUP(F423,Germplasm!$A$1:$B$21,2,FALSE)</f>
        <v>Edel</v>
      </c>
      <c r="F423" t="s">
        <v>67</v>
      </c>
      <c r="G423" s="6" t="s">
        <v>113</v>
      </c>
      <c r="H423">
        <v>47836.3</v>
      </c>
      <c r="I423">
        <v>482.34300000000002</v>
      </c>
      <c r="J423">
        <v>130078</v>
      </c>
      <c r="K423">
        <v>20.9206</v>
      </c>
      <c r="L423">
        <v>62.858199999999997</v>
      </c>
      <c r="M423">
        <v>1396.41</v>
      </c>
      <c r="N423">
        <v>496.24400000000003</v>
      </c>
      <c r="O423">
        <v>26582400</v>
      </c>
      <c r="P423">
        <v>0.173093</v>
      </c>
      <c r="Q423">
        <v>0.56805099999999997</v>
      </c>
      <c r="R423">
        <v>11.6258</v>
      </c>
      <c r="S423">
        <v>30.350300000000001</v>
      </c>
      <c r="T423">
        <v>37.723399999999998</v>
      </c>
      <c r="U423">
        <v>19.152899999999999</v>
      </c>
      <c r="V423">
        <v>0.57960400000000001</v>
      </c>
      <c r="W423">
        <v>90.760499999999993</v>
      </c>
      <c r="X423">
        <v>7.0900400000000001</v>
      </c>
      <c r="Y423">
        <v>12.402799999999999</v>
      </c>
      <c r="Z423">
        <v>10.8315</v>
      </c>
      <c r="AA423">
        <v>22.100999999999999</v>
      </c>
      <c r="AB423">
        <v>27.993300000000001</v>
      </c>
      <c r="AC423">
        <v>19.581399999999999</v>
      </c>
      <c r="AD423">
        <v>1.7578400000000001</v>
      </c>
      <c r="AE423">
        <v>14.860300000000001</v>
      </c>
      <c r="AF423">
        <v>0</v>
      </c>
      <c r="AG423">
        <v>89.647999999999996</v>
      </c>
      <c r="AH423">
        <v>3.8396400000000002</v>
      </c>
      <c r="AI423">
        <v>1.26223</v>
      </c>
      <c r="AJ423">
        <v>5.2501300000000004</v>
      </c>
      <c r="AK423">
        <v>0</v>
      </c>
      <c r="AL423">
        <v>0.33191199999999998</v>
      </c>
      <c r="AM423">
        <v>9.1619799999999998</v>
      </c>
      <c r="AN423">
        <v>19.427299999999999</v>
      </c>
      <c r="AO423">
        <v>14.417899999999999</v>
      </c>
      <c r="AP423">
        <v>17.327500000000001</v>
      </c>
      <c r="AQ423">
        <v>28.2196</v>
      </c>
      <c r="AR423">
        <v>11.4457</v>
      </c>
      <c r="AS423">
        <v>0.15779299999999999</v>
      </c>
      <c r="AT423">
        <v>1.77155</v>
      </c>
      <c r="AU423">
        <v>20.2361</v>
      </c>
      <c r="AV423">
        <v>39.411200000000001</v>
      </c>
      <c r="AW423">
        <v>27.044</v>
      </c>
      <c r="AX423">
        <v>9.0628100000000007</v>
      </c>
      <c r="AY423">
        <v>2.4743900000000001</v>
      </c>
      <c r="AZ423">
        <v>555.69399999999996</v>
      </c>
      <c r="BA423">
        <v>621.59900000000005</v>
      </c>
      <c r="BB423">
        <v>27213.200000000001</v>
      </c>
      <c r="BC423">
        <v>0.13367299999999999</v>
      </c>
      <c r="BD423">
        <v>0.396673</v>
      </c>
      <c r="BE423">
        <v>0.37452800000000003</v>
      </c>
      <c r="BF423">
        <v>1.54914</v>
      </c>
      <c r="BG423">
        <v>19.6873</v>
      </c>
      <c r="BH423">
        <v>47.226199999999999</v>
      </c>
      <c r="BI423">
        <v>30.766200000000001</v>
      </c>
      <c r="BJ423">
        <v>33.024299999999997</v>
      </c>
      <c r="BK423">
        <v>0</v>
      </c>
      <c r="BL423">
        <v>31.720300000000002</v>
      </c>
      <c r="BM423">
        <v>56.863799999999998</v>
      </c>
      <c r="BN423">
        <v>8.5804500000000008</v>
      </c>
      <c r="BO423">
        <v>1.5722499999999999</v>
      </c>
      <c r="BP423">
        <v>1.26319</v>
      </c>
      <c r="BQ423">
        <v>34.7121</v>
      </c>
      <c r="BR423">
        <v>103864</v>
      </c>
    </row>
    <row r="424" spans="1:70" x14ac:dyDescent="0.25">
      <c r="A424">
        <v>43</v>
      </c>
      <c r="B424" s="7">
        <v>46002.561620370368</v>
      </c>
      <c r="C424" t="s">
        <v>162</v>
      </c>
      <c r="D424" s="6" t="s">
        <v>332</v>
      </c>
      <c r="E424" s="6" t="str">
        <f>VLOOKUP(F424,Germplasm!$A$1:$B$21,2,FALSE)</f>
        <v>Edel</v>
      </c>
      <c r="F424" t="s">
        <v>67</v>
      </c>
      <c r="G424" s="6" t="s">
        <v>113</v>
      </c>
      <c r="H424">
        <v>43516.4</v>
      </c>
      <c r="I424">
        <v>479.41800000000001</v>
      </c>
      <c r="J424">
        <v>110611</v>
      </c>
      <c r="K424">
        <v>21.150500000000001</v>
      </c>
      <c r="L424">
        <v>44.9544</v>
      </c>
      <c r="M424">
        <v>1369.64</v>
      </c>
      <c r="N424">
        <v>563.327</v>
      </c>
      <c r="O424">
        <v>24187600</v>
      </c>
      <c r="P424">
        <v>0.13899500000000001</v>
      </c>
      <c r="Q424">
        <v>0.64297599999999999</v>
      </c>
      <c r="R424">
        <v>16.802800000000001</v>
      </c>
      <c r="S424">
        <v>34.6676</v>
      </c>
      <c r="T424">
        <v>34.518599999999999</v>
      </c>
      <c r="U424">
        <v>13.0085</v>
      </c>
      <c r="V424">
        <v>0.35952499999999998</v>
      </c>
      <c r="W424">
        <v>77.366500000000002</v>
      </c>
      <c r="X424">
        <v>9.9416399999999996</v>
      </c>
      <c r="Y424">
        <v>17.5594</v>
      </c>
      <c r="Z424">
        <v>15.511699999999999</v>
      </c>
      <c r="AA424">
        <v>22.912700000000001</v>
      </c>
      <c r="AB424">
        <v>18.404499999999999</v>
      </c>
      <c r="AC424">
        <v>15.6701</v>
      </c>
      <c r="AD424">
        <v>1.86009</v>
      </c>
      <c r="AE424">
        <v>16.809699999999999</v>
      </c>
      <c r="AF424">
        <v>0</v>
      </c>
      <c r="AG424">
        <v>87.866799999999998</v>
      </c>
      <c r="AH424">
        <v>5.3094999999999999</v>
      </c>
      <c r="AI424">
        <v>1.27762</v>
      </c>
      <c r="AJ424">
        <v>5.5460599999999998</v>
      </c>
      <c r="AK424">
        <v>0</v>
      </c>
      <c r="AL424">
        <v>0.24288799999999999</v>
      </c>
      <c r="AM424">
        <v>13.605700000000001</v>
      </c>
      <c r="AN424">
        <v>26.1661</v>
      </c>
      <c r="AO424">
        <v>20.4221</v>
      </c>
      <c r="AP424">
        <v>17.778199999999998</v>
      </c>
      <c r="AQ424">
        <v>17.3291</v>
      </c>
      <c r="AR424">
        <v>4.6988300000000001</v>
      </c>
      <c r="AS424">
        <v>0.19634099999999999</v>
      </c>
      <c r="AT424">
        <v>1.82368</v>
      </c>
      <c r="AU424">
        <v>14.505000000000001</v>
      </c>
      <c r="AV424">
        <v>33.905799999999999</v>
      </c>
      <c r="AW424">
        <v>36.064</v>
      </c>
      <c r="AX424">
        <v>11.2088</v>
      </c>
      <c r="AY424">
        <v>2.4927100000000002</v>
      </c>
      <c r="AZ424">
        <v>555.827</v>
      </c>
      <c r="BA424">
        <v>608.99900000000002</v>
      </c>
      <c r="BB424">
        <v>23394.799999999999</v>
      </c>
      <c r="BC424">
        <v>0.18382299999999999</v>
      </c>
      <c r="BD424">
        <v>0.77740699999999996</v>
      </c>
      <c r="BE424">
        <v>0.61067099999999996</v>
      </c>
      <c r="BF424">
        <v>1.5120899999999999</v>
      </c>
      <c r="BG424">
        <v>13.4285</v>
      </c>
      <c r="BH424">
        <v>37.514600000000002</v>
      </c>
      <c r="BI424">
        <v>46.156700000000001</v>
      </c>
      <c r="BJ424">
        <v>32.817100000000003</v>
      </c>
      <c r="BK424">
        <v>0</v>
      </c>
      <c r="BL424">
        <v>31.851800000000001</v>
      </c>
      <c r="BM424">
        <v>57.953299999999999</v>
      </c>
      <c r="BN424">
        <v>7.4395600000000002</v>
      </c>
      <c r="BO424">
        <v>1.6204700000000001</v>
      </c>
      <c r="BP424">
        <v>1.1348499999999999</v>
      </c>
      <c r="BQ424">
        <v>32.5505</v>
      </c>
      <c r="BR424">
        <v>95960</v>
      </c>
    </row>
    <row r="425" spans="1:70" x14ac:dyDescent="0.25">
      <c r="A425">
        <v>43</v>
      </c>
      <c r="B425" s="7">
        <v>46013.585833333331</v>
      </c>
      <c r="C425" t="s">
        <v>162</v>
      </c>
      <c r="D425" s="6" t="s">
        <v>333</v>
      </c>
      <c r="E425" s="6" t="str">
        <f>VLOOKUP(F425,Germplasm!$A$1:$B$21,2,FALSE)</f>
        <v>Edel</v>
      </c>
      <c r="F425" t="s">
        <v>67</v>
      </c>
      <c r="G425" s="6" t="s">
        <v>113</v>
      </c>
      <c r="H425">
        <v>34090.300000000003</v>
      </c>
      <c r="I425">
        <v>468.22899999999998</v>
      </c>
      <c r="J425">
        <v>85582.1</v>
      </c>
      <c r="K425">
        <v>21.857199999999999</v>
      </c>
      <c r="L425">
        <v>51.9846</v>
      </c>
      <c r="M425">
        <v>1166.44</v>
      </c>
      <c r="N425">
        <v>472.005</v>
      </c>
      <c r="O425">
        <v>17851700</v>
      </c>
      <c r="P425">
        <v>3.1510299999999998E-2</v>
      </c>
      <c r="Q425">
        <v>0.706673</v>
      </c>
      <c r="R425">
        <v>30.739599999999999</v>
      </c>
      <c r="S425">
        <v>60.763500000000001</v>
      </c>
      <c r="T425">
        <v>6.6543900000000002</v>
      </c>
      <c r="U425">
        <v>1.11771</v>
      </c>
      <c r="V425">
        <v>1.8153099999999998E-2</v>
      </c>
      <c r="W425">
        <v>41.858800000000002</v>
      </c>
      <c r="X425">
        <v>17.013300000000001</v>
      </c>
      <c r="Y425">
        <v>50.060899999999997</v>
      </c>
      <c r="Z425">
        <v>15.855399999999999</v>
      </c>
      <c r="AA425">
        <v>6.4028400000000003</v>
      </c>
      <c r="AB425">
        <v>2.10446</v>
      </c>
      <c r="AC425">
        <v>8.5630600000000001</v>
      </c>
      <c r="AD425">
        <v>1.8224400000000001</v>
      </c>
      <c r="AE425">
        <v>23.418500000000002</v>
      </c>
      <c r="AF425">
        <v>0</v>
      </c>
      <c r="AG425">
        <v>71.322100000000006</v>
      </c>
      <c r="AH425">
        <v>19.600100000000001</v>
      </c>
      <c r="AI425">
        <v>1.90737</v>
      </c>
      <c r="AJ425">
        <v>7.1704600000000003</v>
      </c>
      <c r="AK425">
        <v>0</v>
      </c>
      <c r="AL425">
        <v>6.4657999999999993E-2</v>
      </c>
      <c r="AM425">
        <v>26.577400000000001</v>
      </c>
      <c r="AN425">
        <v>55.644300000000001</v>
      </c>
      <c r="AO425">
        <v>13.020899999999999</v>
      </c>
      <c r="AP425">
        <v>3.7369400000000002</v>
      </c>
      <c r="AQ425">
        <v>0.85448999999999997</v>
      </c>
      <c r="AR425">
        <v>0.16597100000000001</v>
      </c>
      <c r="AS425">
        <v>0.24971499999999999</v>
      </c>
      <c r="AT425">
        <v>0.99971500000000002</v>
      </c>
      <c r="AU425">
        <v>5.6819100000000002</v>
      </c>
      <c r="AV425">
        <v>28.3629</v>
      </c>
      <c r="AW425">
        <v>49.831400000000002</v>
      </c>
      <c r="AX425">
        <v>12.0938</v>
      </c>
      <c r="AY425">
        <v>3.0302600000000002</v>
      </c>
      <c r="AZ425">
        <v>523.66099999999994</v>
      </c>
      <c r="BA425">
        <v>587.399</v>
      </c>
      <c r="BB425">
        <v>18705.900000000001</v>
      </c>
      <c r="BC425">
        <v>0.31496600000000002</v>
      </c>
      <c r="BD425">
        <v>0.58349099999999998</v>
      </c>
      <c r="BE425">
        <v>0.51087899999999997</v>
      </c>
      <c r="BF425">
        <v>1.2668200000000001</v>
      </c>
      <c r="BG425">
        <v>4.32043</v>
      </c>
      <c r="BH425">
        <v>15.668699999999999</v>
      </c>
      <c r="BI425">
        <v>77.649699999999996</v>
      </c>
      <c r="BJ425">
        <v>29.622399999999999</v>
      </c>
      <c r="BK425">
        <v>0</v>
      </c>
      <c r="BL425">
        <v>42.9099</v>
      </c>
      <c r="BM425">
        <v>48.075800000000001</v>
      </c>
      <c r="BN425">
        <v>6.2303899999999999</v>
      </c>
      <c r="BO425">
        <v>1.61822</v>
      </c>
      <c r="BP425">
        <v>1.1656899999999999</v>
      </c>
      <c r="BQ425">
        <v>33.305700000000002</v>
      </c>
      <c r="BR425">
        <v>77122</v>
      </c>
    </row>
    <row r="426" spans="1:70" x14ac:dyDescent="0.25">
      <c r="A426">
        <v>43</v>
      </c>
      <c r="B426" s="7">
        <v>46024.524027777778</v>
      </c>
      <c r="C426" t="s">
        <v>162</v>
      </c>
      <c r="D426" s="6" t="s">
        <v>334</v>
      </c>
      <c r="E426" s="6" t="str">
        <f>VLOOKUP(F426,Germplasm!$A$1:$B$21,2,FALSE)</f>
        <v>Edel</v>
      </c>
      <c r="F426" t="s">
        <v>67</v>
      </c>
      <c r="G426" s="6" t="s">
        <v>113</v>
      </c>
      <c r="H426">
        <v>36164.699999999997</v>
      </c>
      <c r="I426">
        <v>398.19900000000001</v>
      </c>
      <c r="J426">
        <v>140409</v>
      </c>
      <c r="K426">
        <v>13.89</v>
      </c>
      <c r="L426">
        <v>66.235299999999995</v>
      </c>
      <c r="M426">
        <v>1463.93</v>
      </c>
      <c r="N426">
        <v>551.16499999999996</v>
      </c>
      <c r="O426">
        <v>16012100</v>
      </c>
      <c r="P426">
        <v>4.1645600000000003E-3</v>
      </c>
      <c r="Q426">
        <v>0.78649500000000006</v>
      </c>
      <c r="R426">
        <v>40.291800000000002</v>
      </c>
      <c r="S426">
        <v>57.949399999999997</v>
      </c>
      <c r="T426">
        <v>0.86239600000000005</v>
      </c>
      <c r="U426">
        <v>9.4222299999999995E-2</v>
      </c>
      <c r="V426">
        <v>1.5703700000000001E-2</v>
      </c>
      <c r="W426">
        <v>36.186100000000003</v>
      </c>
      <c r="X426">
        <v>21.935500000000001</v>
      </c>
      <c r="Y426">
        <v>54.290399999999998</v>
      </c>
      <c r="Z426">
        <v>9.1055399999999995</v>
      </c>
      <c r="AA426">
        <v>3.7505700000000002</v>
      </c>
      <c r="AB426">
        <v>1.91062</v>
      </c>
      <c r="AC426">
        <v>9.0073899999999991</v>
      </c>
      <c r="AD426">
        <v>1.85433</v>
      </c>
      <c r="AE426">
        <v>27.896599999999999</v>
      </c>
      <c r="AF426">
        <v>0</v>
      </c>
      <c r="AG426">
        <v>56.509799999999998</v>
      </c>
      <c r="AH426">
        <v>34.426499999999997</v>
      </c>
      <c r="AI426">
        <v>2.0061499999999999</v>
      </c>
      <c r="AJ426">
        <v>7.0575099999999997</v>
      </c>
      <c r="AK426">
        <v>0</v>
      </c>
      <c r="AL426">
        <v>4.9051600000000001E-2</v>
      </c>
      <c r="AM426">
        <v>26.923999999999999</v>
      </c>
      <c r="AN426">
        <v>61.635800000000003</v>
      </c>
      <c r="AO426">
        <v>8.77576</v>
      </c>
      <c r="AP426">
        <v>2.0297100000000001</v>
      </c>
      <c r="AQ426">
        <v>0.51953099999999997</v>
      </c>
      <c r="AR426">
        <v>0.115161</v>
      </c>
      <c r="AS426">
        <v>0.21004700000000001</v>
      </c>
      <c r="AT426">
        <v>0.91997600000000002</v>
      </c>
      <c r="AU426">
        <v>5.8116899999999996</v>
      </c>
      <c r="AV426">
        <v>40.954000000000001</v>
      </c>
      <c r="AW426">
        <v>44.772599999999997</v>
      </c>
      <c r="AX426">
        <v>5.62324</v>
      </c>
      <c r="AY426">
        <v>1.9184699999999999</v>
      </c>
      <c r="AZ426">
        <v>442.75599999999997</v>
      </c>
      <c r="BA426">
        <v>469.80099999999999</v>
      </c>
      <c r="BB426">
        <v>19502.8</v>
      </c>
      <c r="BC426">
        <v>0.284078</v>
      </c>
      <c r="BD426">
        <v>0.45540799999999998</v>
      </c>
      <c r="BE426">
        <v>0.55093899999999996</v>
      </c>
      <c r="BF426">
        <v>1.20133</v>
      </c>
      <c r="BG426">
        <v>4.5239799999999999</v>
      </c>
      <c r="BH426">
        <v>18.272600000000001</v>
      </c>
      <c r="BI426">
        <v>74.995800000000003</v>
      </c>
      <c r="BJ426">
        <v>25.2363</v>
      </c>
      <c r="BK426">
        <v>0</v>
      </c>
      <c r="BL426">
        <v>57.819800000000001</v>
      </c>
      <c r="BM426">
        <v>36.757199999999997</v>
      </c>
      <c r="BN426">
        <v>2.9051900000000002</v>
      </c>
      <c r="BO426">
        <v>1.2563</v>
      </c>
      <c r="BP426">
        <v>1.26153</v>
      </c>
      <c r="BQ426">
        <v>32.659999999999997</v>
      </c>
      <c r="BR426">
        <v>76415</v>
      </c>
    </row>
    <row r="427" spans="1:70" x14ac:dyDescent="0.25">
      <c r="A427">
        <v>32</v>
      </c>
      <c r="B427" s="7">
        <v>45952.554155092592</v>
      </c>
      <c r="C427" t="s">
        <v>129</v>
      </c>
      <c r="D427" s="6" t="s">
        <v>221</v>
      </c>
      <c r="E427" s="6" t="str">
        <f>VLOOKUP(F427,Germplasm!$A$1:$B$21,2,FALSE)</f>
        <v>Annika</v>
      </c>
      <c r="F427" t="s">
        <v>66</v>
      </c>
      <c r="G427" s="6" t="s">
        <v>113</v>
      </c>
      <c r="H427">
        <v>37493.699999999997</v>
      </c>
      <c r="I427">
        <v>239.94399999999999</v>
      </c>
      <c r="J427">
        <v>123834</v>
      </c>
      <c r="K427">
        <v>18.700099999999999</v>
      </c>
      <c r="L427">
        <v>72.743600000000001</v>
      </c>
      <c r="M427">
        <v>1425.82</v>
      </c>
      <c r="N427">
        <v>515.04100000000005</v>
      </c>
      <c r="O427">
        <v>10995000</v>
      </c>
      <c r="P427">
        <v>0.22620199999999999</v>
      </c>
      <c r="Q427">
        <v>0.43544699999999997</v>
      </c>
      <c r="R427">
        <v>5.8457800000000004</v>
      </c>
      <c r="S427">
        <v>21.227699999999999</v>
      </c>
      <c r="T427">
        <v>39.869799999999998</v>
      </c>
      <c r="U427">
        <v>32.387500000000003</v>
      </c>
      <c r="V427">
        <v>0.23377999999999999</v>
      </c>
      <c r="W427">
        <v>114.372</v>
      </c>
      <c r="X427">
        <v>1.8830800000000001</v>
      </c>
      <c r="Y427">
        <v>3.34999</v>
      </c>
      <c r="Z427">
        <v>4.9055200000000001</v>
      </c>
      <c r="AA427">
        <v>16.638200000000001</v>
      </c>
      <c r="AB427">
        <v>38.025199999999998</v>
      </c>
      <c r="AC427">
        <v>35.198</v>
      </c>
      <c r="AD427">
        <v>1.6191</v>
      </c>
      <c r="AE427">
        <v>13.868399999999999</v>
      </c>
      <c r="AF427">
        <v>0</v>
      </c>
      <c r="AG427">
        <v>90.878699999999995</v>
      </c>
      <c r="AH427">
        <v>0.74886600000000003</v>
      </c>
      <c r="AI427">
        <v>1.5812299999999999</v>
      </c>
      <c r="AJ427">
        <v>6.7911799999999998</v>
      </c>
      <c r="AK427">
        <v>0</v>
      </c>
      <c r="AL427">
        <v>0.482354</v>
      </c>
      <c r="AM427">
        <v>8.0551300000000001</v>
      </c>
      <c r="AN427">
        <v>3.7225000000000001</v>
      </c>
      <c r="AO427">
        <v>4.2696899999999998</v>
      </c>
      <c r="AP427">
        <v>12.482799999999999</v>
      </c>
      <c r="AQ427">
        <v>37.439500000000002</v>
      </c>
      <c r="AR427">
        <v>34.0304</v>
      </c>
      <c r="AS427">
        <v>4.3820699999999997E-2</v>
      </c>
      <c r="AT427">
        <v>6.5227199999999996</v>
      </c>
      <c r="AU427">
        <v>34.338700000000003</v>
      </c>
      <c r="AV427">
        <v>42.920499999999997</v>
      </c>
      <c r="AW427">
        <v>12.4597</v>
      </c>
      <c r="AX427">
        <v>2.5253399999999999</v>
      </c>
      <c r="AY427">
        <v>1.23312</v>
      </c>
      <c r="AZ427">
        <v>293.25</v>
      </c>
      <c r="BA427">
        <v>398.399</v>
      </c>
      <c r="BB427">
        <v>23157.1</v>
      </c>
      <c r="BC427">
        <v>1.14348E-2</v>
      </c>
      <c r="BD427">
        <v>0.66023600000000005</v>
      </c>
      <c r="BE427">
        <v>0.65381299999999998</v>
      </c>
      <c r="BF427">
        <v>2.9068299999999998</v>
      </c>
      <c r="BG427">
        <v>36.640500000000003</v>
      </c>
      <c r="BH427">
        <v>53.100200000000001</v>
      </c>
      <c r="BI427">
        <v>6.0384599999999997</v>
      </c>
      <c r="BJ427">
        <v>33.514099999999999</v>
      </c>
      <c r="BK427">
        <v>0</v>
      </c>
      <c r="BL427">
        <v>29.207100000000001</v>
      </c>
      <c r="BM427">
        <v>60.090400000000002</v>
      </c>
      <c r="BN427">
        <v>8.2837700000000005</v>
      </c>
      <c r="BO427">
        <v>1.3102</v>
      </c>
      <c r="BP427">
        <v>1.10853</v>
      </c>
      <c r="BQ427">
        <v>38.181699999999999</v>
      </c>
      <c r="BR427">
        <v>77851</v>
      </c>
    </row>
    <row r="428" spans="1:70" x14ac:dyDescent="0.25">
      <c r="A428">
        <v>32</v>
      </c>
      <c r="B428" s="7">
        <v>45959.511377314811</v>
      </c>
      <c r="C428" t="s">
        <v>129</v>
      </c>
      <c r="D428" s="6" t="s">
        <v>222</v>
      </c>
      <c r="E428" s="6" t="str">
        <f>VLOOKUP(F428,Germplasm!$A$1:$B$21,2,FALSE)</f>
        <v>Annika</v>
      </c>
      <c r="F428" t="s">
        <v>66</v>
      </c>
      <c r="G428" s="6" t="s">
        <v>113</v>
      </c>
      <c r="H428">
        <v>32929.1</v>
      </c>
      <c r="I428">
        <v>379.46899999999999</v>
      </c>
      <c r="J428">
        <v>203423</v>
      </c>
      <c r="K428">
        <v>10.748699999999999</v>
      </c>
      <c r="L428">
        <v>82.761799999999994</v>
      </c>
      <c r="M428">
        <v>1753.79</v>
      </c>
      <c r="N428">
        <v>603</v>
      </c>
      <c r="O428">
        <v>14965500</v>
      </c>
      <c r="P428">
        <v>0.20086999999999999</v>
      </c>
      <c r="Q428">
        <v>0.91674999999999995</v>
      </c>
      <c r="R428">
        <v>7.6694599999999999</v>
      </c>
      <c r="S428">
        <v>26.624199999999998</v>
      </c>
      <c r="T428">
        <v>38.468899999999998</v>
      </c>
      <c r="U428">
        <v>25.6844</v>
      </c>
      <c r="V428">
        <v>0.636347</v>
      </c>
      <c r="W428">
        <v>121.572</v>
      </c>
      <c r="X428">
        <v>2.4071099999999999</v>
      </c>
      <c r="Y428">
        <v>4.3507199999999999</v>
      </c>
      <c r="Z428">
        <v>4.32639</v>
      </c>
      <c r="AA428">
        <v>12.008699999999999</v>
      </c>
      <c r="AB428">
        <v>28.9404</v>
      </c>
      <c r="AC428">
        <v>47.966799999999999</v>
      </c>
      <c r="AD428">
        <v>1.506</v>
      </c>
      <c r="AE428">
        <v>12.468999999999999</v>
      </c>
      <c r="AF428">
        <v>0</v>
      </c>
      <c r="AG428">
        <v>91.343400000000003</v>
      </c>
      <c r="AH428">
        <v>1.2458100000000001</v>
      </c>
      <c r="AI428">
        <v>1.5262100000000001</v>
      </c>
      <c r="AJ428">
        <v>5.8846100000000003</v>
      </c>
      <c r="AK428">
        <v>0</v>
      </c>
      <c r="AL428">
        <v>0.46853800000000001</v>
      </c>
      <c r="AM428">
        <v>6.8999499999999996</v>
      </c>
      <c r="AN428">
        <v>5.8500399999999999</v>
      </c>
      <c r="AO428">
        <v>6.3276199999999996</v>
      </c>
      <c r="AP428">
        <v>14.432399999999999</v>
      </c>
      <c r="AQ428">
        <v>34.685400000000001</v>
      </c>
      <c r="AR428">
        <v>31.804600000000001</v>
      </c>
      <c r="AS428">
        <v>8.2585699999999998E-3</v>
      </c>
      <c r="AT428">
        <v>11.351800000000001</v>
      </c>
      <c r="AU428">
        <v>41.257599999999996</v>
      </c>
      <c r="AV428">
        <v>33.311599999999999</v>
      </c>
      <c r="AW428">
        <v>9.5656999999999996</v>
      </c>
      <c r="AX428">
        <v>2.7835399999999999</v>
      </c>
      <c r="AY428">
        <v>1.7297899999999999</v>
      </c>
      <c r="AZ428">
        <v>454.47699999999998</v>
      </c>
      <c r="BA428">
        <v>536.99900000000002</v>
      </c>
      <c r="BB428">
        <v>21865.3</v>
      </c>
      <c r="BC428">
        <v>-1.19046E-2</v>
      </c>
      <c r="BD428">
        <v>0.664516</v>
      </c>
      <c r="BE428">
        <v>1.1702600000000001</v>
      </c>
      <c r="BF428">
        <v>5.0178000000000003</v>
      </c>
      <c r="BG428">
        <v>45.756799999999998</v>
      </c>
      <c r="BH428">
        <v>40.580300000000001</v>
      </c>
      <c r="BI428">
        <v>6.8103300000000004</v>
      </c>
      <c r="BJ428">
        <v>31.967199999999998</v>
      </c>
      <c r="BK428">
        <v>0</v>
      </c>
      <c r="BL428">
        <v>36.334499999999998</v>
      </c>
      <c r="BM428">
        <v>52.661900000000003</v>
      </c>
      <c r="BN428">
        <v>8.2929999999999993</v>
      </c>
      <c r="BO428">
        <v>1.3239099999999999</v>
      </c>
      <c r="BP428">
        <v>1.3866499999999999</v>
      </c>
      <c r="BQ428">
        <v>41.650700000000001</v>
      </c>
      <c r="BR428">
        <v>78102</v>
      </c>
    </row>
    <row r="429" spans="1:70" x14ac:dyDescent="0.25">
      <c r="A429">
        <v>32</v>
      </c>
      <c r="B429" s="7">
        <v>45966.56695601852</v>
      </c>
      <c r="C429" t="s">
        <v>129</v>
      </c>
      <c r="D429" s="6" t="s">
        <v>223</v>
      </c>
      <c r="E429" s="6" t="str">
        <f>VLOOKUP(F429,Germplasm!$A$1:$B$21,2,FALSE)</f>
        <v>Annika</v>
      </c>
      <c r="F429" t="s">
        <v>66</v>
      </c>
      <c r="G429" s="6" t="s">
        <v>113</v>
      </c>
      <c r="H429">
        <v>53866.2</v>
      </c>
      <c r="I429">
        <v>500.91800000000001</v>
      </c>
      <c r="J429">
        <v>153186</v>
      </c>
      <c r="K429">
        <v>20.199300000000001</v>
      </c>
      <c r="L429">
        <v>79.456100000000006</v>
      </c>
      <c r="M429">
        <v>1456.9</v>
      </c>
      <c r="N429">
        <v>511.79199999999997</v>
      </c>
      <c r="O429">
        <v>31405200</v>
      </c>
      <c r="P429">
        <v>0.196995</v>
      </c>
      <c r="Q429">
        <v>0.61515600000000004</v>
      </c>
      <c r="R429">
        <v>6.86198</v>
      </c>
      <c r="S429">
        <v>26.674900000000001</v>
      </c>
      <c r="T429">
        <v>42.660800000000002</v>
      </c>
      <c r="U429">
        <v>22.758900000000001</v>
      </c>
      <c r="V429">
        <v>0.42825000000000002</v>
      </c>
      <c r="W429">
        <v>114.137</v>
      </c>
      <c r="X429">
        <v>2.3708</v>
      </c>
      <c r="Y429">
        <v>5.3141100000000003</v>
      </c>
      <c r="Z429">
        <v>4.4884599999999999</v>
      </c>
      <c r="AA429">
        <v>15.0405</v>
      </c>
      <c r="AB429">
        <v>35.554699999999997</v>
      </c>
      <c r="AC429">
        <v>37.231400000000001</v>
      </c>
      <c r="AD429">
        <v>1.7408399999999999</v>
      </c>
      <c r="AE429">
        <v>12.497999999999999</v>
      </c>
      <c r="AF429">
        <v>0</v>
      </c>
      <c r="AG429">
        <v>91.749799999999993</v>
      </c>
      <c r="AH429">
        <v>1.93075</v>
      </c>
      <c r="AI429">
        <v>1.31741</v>
      </c>
      <c r="AJ429">
        <v>5.0019999999999998</v>
      </c>
      <c r="AK429">
        <v>0</v>
      </c>
      <c r="AL429">
        <v>0.44105699999999998</v>
      </c>
      <c r="AM429">
        <v>7.2793400000000004</v>
      </c>
      <c r="AN429">
        <v>6.8538100000000002</v>
      </c>
      <c r="AO429">
        <v>7.8318899999999996</v>
      </c>
      <c r="AP429">
        <v>15.3154</v>
      </c>
      <c r="AQ429">
        <v>38.762999999999998</v>
      </c>
      <c r="AR429">
        <v>23.956600000000002</v>
      </c>
      <c r="AS429">
        <v>4.1770399999999999E-2</v>
      </c>
      <c r="AT429">
        <v>5.0101599999999999</v>
      </c>
      <c r="AU429">
        <v>37.284100000000002</v>
      </c>
      <c r="AV429">
        <v>42.730600000000003</v>
      </c>
      <c r="AW429">
        <v>11.3123</v>
      </c>
      <c r="AX429">
        <v>2.2827899999999999</v>
      </c>
      <c r="AY429">
        <v>1.38002</v>
      </c>
      <c r="AZ429">
        <v>583.02300000000002</v>
      </c>
      <c r="BA429">
        <v>728.4</v>
      </c>
      <c r="BB429">
        <v>30942.6</v>
      </c>
      <c r="BC429">
        <v>1.9374200000000001E-2</v>
      </c>
      <c r="BD429">
        <v>0.44185999999999998</v>
      </c>
      <c r="BE429">
        <v>0.62332100000000001</v>
      </c>
      <c r="BF429">
        <v>2.8525800000000001</v>
      </c>
      <c r="BG429">
        <v>38.3765</v>
      </c>
      <c r="BH429">
        <v>49.220599999999997</v>
      </c>
      <c r="BI429">
        <v>8.4851600000000005</v>
      </c>
      <c r="BJ429">
        <v>29.9908</v>
      </c>
      <c r="BK429">
        <v>0</v>
      </c>
      <c r="BL429">
        <v>39.693899999999999</v>
      </c>
      <c r="BM429">
        <v>52.507800000000003</v>
      </c>
      <c r="BN429">
        <v>5.5209799999999998</v>
      </c>
      <c r="BO429">
        <v>1.0869599999999999</v>
      </c>
      <c r="BP429">
        <v>1.1903900000000001</v>
      </c>
      <c r="BQ429">
        <v>35.102699999999999</v>
      </c>
      <c r="BR429">
        <v>110216</v>
      </c>
    </row>
    <row r="430" spans="1:70" x14ac:dyDescent="0.25">
      <c r="A430">
        <v>32</v>
      </c>
      <c r="B430" s="7">
        <v>45973.545034722221</v>
      </c>
      <c r="C430" t="s">
        <v>129</v>
      </c>
      <c r="D430" s="6" t="s">
        <v>224</v>
      </c>
      <c r="E430" s="6" t="str">
        <f>VLOOKUP(F430,Germplasm!$A$1:$B$21,2,FALSE)</f>
        <v>Annika</v>
      </c>
      <c r="F430" t="s">
        <v>66</v>
      </c>
      <c r="G430" s="6" t="s">
        <v>113</v>
      </c>
      <c r="H430">
        <v>54191.199999999997</v>
      </c>
      <c r="I430">
        <v>616.17499999999995</v>
      </c>
      <c r="J430">
        <v>174575</v>
      </c>
      <c r="K430">
        <v>16.974299999999999</v>
      </c>
      <c r="L430">
        <v>79.934799999999996</v>
      </c>
      <c r="M430">
        <v>1543.96</v>
      </c>
      <c r="N430">
        <v>547.73800000000006</v>
      </c>
      <c r="O430">
        <v>37825700</v>
      </c>
      <c r="P430">
        <v>0.18878700000000001</v>
      </c>
      <c r="Q430">
        <v>0.50783999999999996</v>
      </c>
      <c r="R430">
        <v>6.9941399999999998</v>
      </c>
      <c r="S430">
        <v>29.1203</v>
      </c>
      <c r="T430">
        <v>43.692</v>
      </c>
      <c r="U430">
        <v>19.203600000000002</v>
      </c>
      <c r="V430">
        <v>0.48204799999999998</v>
      </c>
      <c r="W430">
        <v>105.509</v>
      </c>
      <c r="X430">
        <v>3.09951</v>
      </c>
      <c r="Y430">
        <v>7.2227100000000002</v>
      </c>
      <c r="Z430">
        <v>8.1201000000000008</v>
      </c>
      <c r="AA430">
        <v>20.538599999999999</v>
      </c>
      <c r="AB430">
        <v>30.491700000000002</v>
      </c>
      <c r="AC430">
        <v>30.5273</v>
      </c>
      <c r="AD430">
        <v>1.8287500000000001</v>
      </c>
      <c r="AE430">
        <v>12.335900000000001</v>
      </c>
      <c r="AF430">
        <v>0</v>
      </c>
      <c r="AG430">
        <v>92.714100000000002</v>
      </c>
      <c r="AH430">
        <v>1.1553100000000001</v>
      </c>
      <c r="AI430">
        <v>1.3625400000000001</v>
      </c>
      <c r="AJ430">
        <v>4.7679999999999998</v>
      </c>
      <c r="AK430">
        <v>0</v>
      </c>
      <c r="AL430">
        <v>0.39130599999999999</v>
      </c>
      <c r="AM430">
        <v>7.0839699999999999</v>
      </c>
      <c r="AN430">
        <v>9.8517399999999995</v>
      </c>
      <c r="AO430">
        <v>12.287800000000001</v>
      </c>
      <c r="AP430">
        <v>21.252800000000001</v>
      </c>
      <c r="AQ430">
        <v>36.062899999999999</v>
      </c>
      <c r="AR430">
        <v>13.460900000000001</v>
      </c>
      <c r="AS430">
        <v>9.3568299999999993E-2</v>
      </c>
      <c r="AT430">
        <v>3.2960699999999998</v>
      </c>
      <c r="AU430">
        <v>30.9604</v>
      </c>
      <c r="AV430">
        <v>40.726799999999997</v>
      </c>
      <c r="AW430">
        <v>16.682200000000002</v>
      </c>
      <c r="AX430">
        <v>6.2701799999999999</v>
      </c>
      <c r="AY430">
        <v>2.06427</v>
      </c>
      <c r="AZ430">
        <v>698.005</v>
      </c>
      <c r="BA430">
        <v>772.19899999999996</v>
      </c>
      <c r="BB430">
        <v>29632.9</v>
      </c>
      <c r="BC430">
        <v>6.6198300000000002E-2</v>
      </c>
      <c r="BD430">
        <v>0.36198000000000002</v>
      </c>
      <c r="BE430">
        <v>0.50072499999999998</v>
      </c>
      <c r="BF430">
        <v>2.31507</v>
      </c>
      <c r="BG430">
        <v>31.0778</v>
      </c>
      <c r="BH430">
        <v>48.704599999999999</v>
      </c>
      <c r="BI430">
        <v>17.0398</v>
      </c>
      <c r="BJ430">
        <v>31.009599999999999</v>
      </c>
      <c r="BK430">
        <v>0</v>
      </c>
      <c r="BL430">
        <v>38.896500000000003</v>
      </c>
      <c r="BM430">
        <v>50.790199999999999</v>
      </c>
      <c r="BN430">
        <v>7.8826400000000003</v>
      </c>
      <c r="BO430">
        <v>1.2415799999999999</v>
      </c>
      <c r="BP430">
        <v>1.1891099999999999</v>
      </c>
      <c r="BQ430">
        <v>33.188600000000001</v>
      </c>
      <c r="BR430">
        <v>112437</v>
      </c>
    </row>
    <row r="431" spans="1:70" x14ac:dyDescent="0.25">
      <c r="A431">
        <v>32</v>
      </c>
      <c r="B431" s="7">
        <v>45988.519780092596</v>
      </c>
      <c r="C431" t="s">
        <v>129</v>
      </c>
      <c r="D431" s="6" t="s">
        <v>225</v>
      </c>
      <c r="E431" s="6" t="str">
        <f>VLOOKUP(F431,Germplasm!$A$1:$B$21,2,FALSE)</f>
        <v>Annika</v>
      </c>
      <c r="F431" t="s">
        <v>66</v>
      </c>
      <c r="G431" s="6" t="s">
        <v>113</v>
      </c>
      <c r="H431">
        <v>49583.9</v>
      </c>
      <c r="I431">
        <v>601.85</v>
      </c>
      <c r="J431">
        <v>183213</v>
      </c>
      <c r="K431">
        <v>15.5189</v>
      </c>
      <c r="L431">
        <v>68.709000000000003</v>
      </c>
      <c r="M431">
        <v>1673.65</v>
      </c>
      <c r="N431">
        <v>586.51800000000003</v>
      </c>
      <c r="O431">
        <v>34016200</v>
      </c>
      <c r="P431">
        <v>0.15218100000000001</v>
      </c>
      <c r="Q431">
        <v>0.55293000000000003</v>
      </c>
      <c r="R431">
        <v>10.3797</v>
      </c>
      <c r="S431">
        <v>38.2029</v>
      </c>
      <c r="T431">
        <v>38.569000000000003</v>
      </c>
      <c r="U431">
        <v>12.0402</v>
      </c>
      <c r="V431">
        <v>0.25532899999999997</v>
      </c>
      <c r="W431">
        <v>82.403899999999993</v>
      </c>
      <c r="X431">
        <v>5.1649099999999999</v>
      </c>
      <c r="Y431">
        <v>15.953799999999999</v>
      </c>
      <c r="Z431">
        <v>14.5402</v>
      </c>
      <c r="AA431">
        <v>30.111000000000001</v>
      </c>
      <c r="AB431">
        <v>20.4542</v>
      </c>
      <c r="AC431">
        <v>13.7759</v>
      </c>
      <c r="AD431">
        <v>1.7439100000000001</v>
      </c>
      <c r="AE431">
        <v>14.707800000000001</v>
      </c>
      <c r="AF431">
        <v>0</v>
      </c>
      <c r="AG431">
        <v>89.811400000000006</v>
      </c>
      <c r="AH431">
        <v>4.10893</v>
      </c>
      <c r="AI431">
        <v>1.1887099999999999</v>
      </c>
      <c r="AJ431">
        <v>4.8909799999999999</v>
      </c>
      <c r="AK431">
        <v>0</v>
      </c>
      <c r="AL431">
        <v>0.26766600000000002</v>
      </c>
      <c r="AM431">
        <v>11.296200000000001</v>
      </c>
      <c r="AN431">
        <v>21.3428</v>
      </c>
      <c r="AO431">
        <v>21.726600000000001</v>
      </c>
      <c r="AP431">
        <v>22.784300000000002</v>
      </c>
      <c r="AQ431">
        <v>18.287299999999998</v>
      </c>
      <c r="AR431">
        <v>4.5629400000000002</v>
      </c>
      <c r="AS431">
        <v>0.18377199999999999</v>
      </c>
      <c r="AT431">
        <v>1.2707200000000001</v>
      </c>
      <c r="AU431">
        <v>13.0962</v>
      </c>
      <c r="AV431">
        <v>41.14</v>
      </c>
      <c r="AW431">
        <v>32.459699999999998</v>
      </c>
      <c r="AX431">
        <v>10.0677</v>
      </c>
      <c r="AY431">
        <v>1.9656899999999999</v>
      </c>
      <c r="AZ431">
        <v>686.03399999999999</v>
      </c>
      <c r="BA431">
        <v>767.399</v>
      </c>
      <c r="BB431">
        <v>28432.5</v>
      </c>
      <c r="BC431">
        <v>0.16933599999999999</v>
      </c>
      <c r="BD431">
        <v>0.41004699999999999</v>
      </c>
      <c r="BE431">
        <v>0.48782999999999999</v>
      </c>
      <c r="BF431">
        <v>1.2293000000000001</v>
      </c>
      <c r="BG431">
        <v>12.232900000000001</v>
      </c>
      <c r="BH431">
        <v>48.232599999999998</v>
      </c>
      <c r="BI431">
        <v>37.407299999999999</v>
      </c>
      <c r="BJ431">
        <v>31.566800000000001</v>
      </c>
      <c r="BK431">
        <v>0</v>
      </c>
      <c r="BL431">
        <v>36.687800000000003</v>
      </c>
      <c r="BM431">
        <v>53.191200000000002</v>
      </c>
      <c r="BN431">
        <v>7.8272599999999999</v>
      </c>
      <c r="BO431">
        <v>1.2293000000000001</v>
      </c>
      <c r="BP431">
        <v>1.06443</v>
      </c>
      <c r="BQ431">
        <v>35.028599999999997</v>
      </c>
      <c r="BR431">
        <v>118279</v>
      </c>
    </row>
    <row r="432" spans="1:70" x14ac:dyDescent="0.25">
      <c r="A432">
        <v>32</v>
      </c>
      <c r="B432" s="7">
        <v>45994.531909722224</v>
      </c>
      <c r="C432" t="s">
        <v>129</v>
      </c>
      <c r="D432" s="6" t="s">
        <v>226</v>
      </c>
      <c r="E432" s="6" t="str">
        <f>VLOOKUP(F432,Germplasm!$A$1:$B$21,2,FALSE)</f>
        <v>Annika</v>
      </c>
      <c r="F432" t="s">
        <v>66</v>
      </c>
      <c r="G432" s="6" t="s">
        <v>113</v>
      </c>
      <c r="H432">
        <v>43883.6</v>
      </c>
      <c r="I432">
        <v>614.96699999999998</v>
      </c>
      <c r="J432">
        <v>131910</v>
      </c>
      <c r="K432">
        <v>19.96</v>
      </c>
      <c r="L432">
        <v>63.249200000000002</v>
      </c>
      <c r="M432">
        <v>1402.73</v>
      </c>
      <c r="N432">
        <v>556.346</v>
      </c>
      <c r="O432">
        <v>30593300</v>
      </c>
      <c r="P432">
        <v>0.120475</v>
      </c>
      <c r="Q432">
        <v>0.63084600000000002</v>
      </c>
      <c r="R432">
        <v>13.6981</v>
      </c>
      <c r="S432">
        <v>48.171300000000002</v>
      </c>
      <c r="T432">
        <v>28.09</v>
      </c>
      <c r="U432">
        <v>9.0670400000000004</v>
      </c>
      <c r="V432">
        <v>0.34277200000000002</v>
      </c>
      <c r="W432">
        <v>66.181600000000003</v>
      </c>
      <c r="X432">
        <v>6.7679200000000002</v>
      </c>
      <c r="Y432">
        <v>30.474799999999998</v>
      </c>
      <c r="Z432">
        <v>17.5625</v>
      </c>
      <c r="AA432">
        <v>23.966699999999999</v>
      </c>
      <c r="AB432">
        <v>11.8375</v>
      </c>
      <c r="AC432">
        <v>9.3906700000000001</v>
      </c>
      <c r="AD432">
        <v>1.66672</v>
      </c>
      <c r="AE432">
        <v>17.832799999999999</v>
      </c>
      <c r="AF432">
        <v>0</v>
      </c>
      <c r="AG432">
        <v>83.583399999999997</v>
      </c>
      <c r="AH432">
        <v>8.9968500000000002</v>
      </c>
      <c r="AI432">
        <v>1.6773899999999999</v>
      </c>
      <c r="AJ432">
        <v>5.7423400000000004</v>
      </c>
      <c r="AK432">
        <v>0</v>
      </c>
      <c r="AL432">
        <v>0.192718</v>
      </c>
      <c r="AM432">
        <v>15.5214</v>
      </c>
      <c r="AN432">
        <v>34.901600000000002</v>
      </c>
      <c r="AO432">
        <v>19.587199999999999</v>
      </c>
      <c r="AP432">
        <v>16.481300000000001</v>
      </c>
      <c r="AQ432">
        <v>10.594900000000001</v>
      </c>
      <c r="AR432">
        <v>2.9135599999999999</v>
      </c>
      <c r="AS432">
        <v>0.24302000000000001</v>
      </c>
      <c r="AT432">
        <v>1.0985100000000001</v>
      </c>
      <c r="AU432">
        <v>7.8536700000000002</v>
      </c>
      <c r="AV432">
        <v>31.509499999999999</v>
      </c>
      <c r="AW432">
        <v>38.743200000000002</v>
      </c>
      <c r="AX432">
        <v>18.675599999999999</v>
      </c>
      <c r="AY432">
        <v>2.1195300000000001</v>
      </c>
      <c r="AZ432">
        <v>697.14700000000005</v>
      </c>
      <c r="BA432">
        <v>765.6</v>
      </c>
      <c r="BB432">
        <v>26329.3</v>
      </c>
      <c r="BC432">
        <v>0.25364500000000001</v>
      </c>
      <c r="BD432">
        <v>0.418437</v>
      </c>
      <c r="BE432">
        <v>0.45399</v>
      </c>
      <c r="BF432">
        <v>1.1632400000000001</v>
      </c>
      <c r="BG432">
        <v>6.9110399999999998</v>
      </c>
      <c r="BH432">
        <v>34.873399999999997</v>
      </c>
      <c r="BI432">
        <v>56.179900000000004</v>
      </c>
      <c r="BJ432">
        <v>33.930399999999999</v>
      </c>
      <c r="BK432">
        <v>0</v>
      </c>
      <c r="BL432">
        <v>30.752800000000001</v>
      </c>
      <c r="BM432">
        <v>55.3476</v>
      </c>
      <c r="BN432">
        <v>11.379799999999999</v>
      </c>
      <c r="BO432">
        <v>1.28084</v>
      </c>
      <c r="BP432">
        <v>1.2388999999999999</v>
      </c>
      <c r="BQ432">
        <v>36.909700000000001</v>
      </c>
      <c r="BR432">
        <v>109694</v>
      </c>
    </row>
    <row r="433" spans="1:70" x14ac:dyDescent="0.25">
      <c r="A433">
        <v>32</v>
      </c>
      <c r="B433" s="7">
        <v>45994.532407407409</v>
      </c>
      <c r="C433" t="s">
        <v>129</v>
      </c>
      <c r="D433" s="6" t="s">
        <v>227</v>
      </c>
      <c r="E433" s="6" t="str">
        <f>VLOOKUP(F433,Germplasm!$A$1:$B$21,2,FALSE)</f>
        <v>Annika</v>
      </c>
      <c r="F433" t="s">
        <v>66</v>
      </c>
      <c r="G433" s="6" t="s">
        <v>113</v>
      </c>
      <c r="H433">
        <v>43677.7</v>
      </c>
      <c r="I433">
        <v>612.38</v>
      </c>
      <c r="J433">
        <v>132961</v>
      </c>
      <c r="K433">
        <v>19.484400000000001</v>
      </c>
      <c r="L433">
        <v>63.483800000000002</v>
      </c>
      <c r="M433">
        <v>1407.73</v>
      </c>
      <c r="N433">
        <v>557.25</v>
      </c>
      <c r="O433">
        <v>30336000</v>
      </c>
      <c r="P433">
        <v>0.120381</v>
      </c>
      <c r="Q433">
        <v>0.64069900000000002</v>
      </c>
      <c r="R433">
        <v>13.676</v>
      </c>
      <c r="S433">
        <v>48.256100000000004</v>
      </c>
      <c r="T433">
        <v>28.076000000000001</v>
      </c>
      <c r="U433">
        <v>9.0003399999999996</v>
      </c>
      <c r="V433">
        <v>0.35090300000000002</v>
      </c>
      <c r="W433">
        <v>66.343900000000005</v>
      </c>
      <c r="X433">
        <v>6.8476999999999997</v>
      </c>
      <c r="Y433">
        <v>30.2258</v>
      </c>
      <c r="Z433">
        <v>17.494199999999999</v>
      </c>
      <c r="AA433">
        <v>23.8781</v>
      </c>
      <c r="AB433">
        <v>11.879799999999999</v>
      </c>
      <c r="AC433">
        <v>9.6743699999999997</v>
      </c>
      <c r="AD433">
        <v>1.6859599999999999</v>
      </c>
      <c r="AE433">
        <v>17.8507</v>
      </c>
      <c r="AF433">
        <v>0</v>
      </c>
      <c r="AG433">
        <v>83.518699999999995</v>
      </c>
      <c r="AH433">
        <v>9.1105199999999993</v>
      </c>
      <c r="AI433">
        <v>1.5730500000000001</v>
      </c>
      <c r="AJ433">
        <v>5.7977699999999999</v>
      </c>
      <c r="AK433">
        <v>0</v>
      </c>
      <c r="AL433">
        <v>0.19208900000000001</v>
      </c>
      <c r="AM433">
        <v>15.7018</v>
      </c>
      <c r="AN433">
        <v>34.864400000000003</v>
      </c>
      <c r="AO433">
        <v>19.611699999999999</v>
      </c>
      <c r="AP433">
        <v>16.386900000000001</v>
      </c>
      <c r="AQ433">
        <v>10.548400000000001</v>
      </c>
      <c r="AR433">
        <v>2.8868499999999999</v>
      </c>
      <c r="AS433">
        <v>0.24223800000000001</v>
      </c>
      <c r="AT433">
        <v>1.09067</v>
      </c>
      <c r="AU433">
        <v>8.0920699999999997</v>
      </c>
      <c r="AV433">
        <v>31.464600000000001</v>
      </c>
      <c r="AW433">
        <v>38.5595</v>
      </c>
      <c r="AX433">
        <v>18.684000000000001</v>
      </c>
      <c r="AY433">
        <v>2.1091199999999999</v>
      </c>
      <c r="AZ433">
        <v>694.54300000000001</v>
      </c>
      <c r="BA433">
        <v>765.59900000000005</v>
      </c>
      <c r="BB433">
        <v>25906.7</v>
      </c>
      <c r="BC433">
        <v>0.25325799999999998</v>
      </c>
      <c r="BD433">
        <v>0.39071499999999998</v>
      </c>
      <c r="BE433">
        <v>0.43423099999999998</v>
      </c>
      <c r="BF433">
        <v>1.18974</v>
      </c>
      <c r="BG433">
        <v>7.1624999999999996</v>
      </c>
      <c r="BH433">
        <v>34.710700000000003</v>
      </c>
      <c r="BI433">
        <v>56.112099999999998</v>
      </c>
      <c r="BJ433">
        <v>33.862099999999998</v>
      </c>
      <c r="BK433">
        <v>0</v>
      </c>
      <c r="BL433">
        <v>30.9193</v>
      </c>
      <c r="BM433">
        <v>55.259399999999999</v>
      </c>
      <c r="BN433">
        <v>11.298299999999999</v>
      </c>
      <c r="BO433">
        <v>1.23325</v>
      </c>
      <c r="BP433">
        <v>1.28973</v>
      </c>
      <c r="BQ433">
        <v>36.419499999999999</v>
      </c>
      <c r="BR433">
        <v>108007</v>
      </c>
    </row>
    <row r="434" spans="1:70" x14ac:dyDescent="0.25">
      <c r="A434">
        <v>32</v>
      </c>
      <c r="B434" s="7">
        <v>46002.577800925923</v>
      </c>
      <c r="C434" t="s">
        <v>129</v>
      </c>
      <c r="D434" s="6" t="s">
        <v>228</v>
      </c>
      <c r="E434" s="6" t="str">
        <f>VLOOKUP(F434,Germplasm!$A$1:$B$21,2,FALSE)</f>
        <v>Annika</v>
      </c>
      <c r="F434" t="s">
        <v>66</v>
      </c>
      <c r="G434" s="6" t="s">
        <v>113</v>
      </c>
      <c r="H434">
        <v>38266.300000000003</v>
      </c>
      <c r="I434">
        <v>586.779</v>
      </c>
      <c r="J434">
        <v>161020</v>
      </c>
      <c r="K434">
        <v>13.214499999999999</v>
      </c>
      <c r="L434">
        <v>61.3369</v>
      </c>
      <c r="M434">
        <v>1549.26</v>
      </c>
      <c r="N434">
        <v>616.92899999999997</v>
      </c>
      <c r="O434">
        <v>25422400</v>
      </c>
      <c r="P434">
        <v>7.1368200000000007E-2</v>
      </c>
      <c r="Q434">
        <v>0.78312000000000004</v>
      </c>
      <c r="R434">
        <v>21.139800000000001</v>
      </c>
      <c r="S434">
        <v>58.302199999999999</v>
      </c>
      <c r="T434">
        <v>14.711499999999999</v>
      </c>
      <c r="U434">
        <v>4.8855500000000003</v>
      </c>
      <c r="V434">
        <v>0.17788000000000001</v>
      </c>
      <c r="W434">
        <v>52.436999999999998</v>
      </c>
      <c r="X434">
        <v>10.3842</v>
      </c>
      <c r="Y434">
        <v>43.690300000000001</v>
      </c>
      <c r="Z434">
        <v>16.860600000000002</v>
      </c>
      <c r="AA434">
        <v>15.3055</v>
      </c>
      <c r="AB434">
        <v>5.5109300000000001</v>
      </c>
      <c r="AC434">
        <v>8.2484999999999999</v>
      </c>
      <c r="AD434">
        <v>1.7983899999999999</v>
      </c>
      <c r="AE434">
        <v>21.046199999999999</v>
      </c>
      <c r="AF434">
        <v>0</v>
      </c>
      <c r="AG434">
        <v>74.536299999999997</v>
      </c>
      <c r="AH434">
        <v>17.791399999999999</v>
      </c>
      <c r="AI434">
        <v>1.47227</v>
      </c>
      <c r="AJ434">
        <v>6.2000799999999998</v>
      </c>
      <c r="AK434">
        <v>0</v>
      </c>
      <c r="AL434">
        <v>0.131552</v>
      </c>
      <c r="AM434">
        <v>19.740200000000002</v>
      </c>
      <c r="AN434">
        <v>45.463500000000003</v>
      </c>
      <c r="AO434">
        <v>17.607900000000001</v>
      </c>
      <c r="AP434">
        <v>10.7232</v>
      </c>
      <c r="AQ434">
        <v>4.9235899999999999</v>
      </c>
      <c r="AR434">
        <v>1.5416300000000001</v>
      </c>
      <c r="AS434">
        <v>0.24876400000000001</v>
      </c>
      <c r="AT434">
        <v>1.0303599999999999</v>
      </c>
      <c r="AU434">
        <v>5.9908700000000001</v>
      </c>
      <c r="AV434">
        <v>28.099499999999999</v>
      </c>
      <c r="AW434">
        <v>49.620699999999999</v>
      </c>
      <c r="AX434">
        <v>12.7235</v>
      </c>
      <c r="AY434">
        <v>2.5350700000000002</v>
      </c>
      <c r="AZ434">
        <v>664.35599999999999</v>
      </c>
      <c r="BA434">
        <v>754.79899999999998</v>
      </c>
      <c r="BB434">
        <v>21278.1</v>
      </c>
      <c r="BC434">
        <v>0.28255200000000003</v>
      </c>
      <c r="BD434">
        <v>0.52804700000000004</v>
      </c>
      <c r="BE434">
        <v>0.49896000000000001</v>
      </c>
      <c r="BF434">
        <v>1.05498</v>
      </c>
      <c r="BG434">
        <v>4.9392500000000004</v>
      </c>
      <c r="BH434">
        <v>25.413399999999999</v>
      </c>
      <c r="BI434">
        <v>67.565399999999997</v>
      </c>
      <c r="BJ434">
        <v>31.494299999999999</v>
      </c>
      <c r="BK434">
        <v>0</v>
      </c>
      <c r="BL434">
        <v>35.665500000000002</v>
      </c>
      <c r="BM434">
        <v>54.871000000000002</v>
      </c>
      <c r="BN434">
        <v>6.7191700000000001</v>
      </c>
      <c r="BO434">
        <v>1.4308700000000001</v>
      </c>
      <c r="BP434">
        <v>1.3133999999999999</v>
      </c>
      <c r="BQ434">
        <v>33.814</v>
      </c>
      <c r="BR434">
        <v>89386</v>
      </c>
    </row>
    <row r="435" spans="1:70" x14ac:dyDescent="0.25">
      <c r="A435">
        <v>32</v>
      </c>
      <c r="B435" s="7">
        <v>46013.592499999999</v>
      </c>
      <c r="C435" t="s">
        <v>129</v>
      </c>
      <c r="D435" s="6" t="s">
        <v>229</v>
      </c>
      <c r="E435" s="6" t="str">
        <f>VLOOKUP(F435,Germplasm!$A$1:$B$21,2,FALSE)</f>
        <v>Annika</v>
      </c>
      <c r="F435" t="s">
        <v>66</v>
      </c>
      <c r="G435" s="6" t="s">
        <v>113</v>
      </c>
      <c r="H435">
        <v>36108.5</v>
      </c>
      <c r="I435">
        <v>581.94899999999996</v>
      </c>
      <c r="J435">
        <v>133799</v>
      </c>
      <c r="K435">
        <v>15.795400000000001</v>
      </c>
      <c r="L435">
        <v>61.748600000000003</v>
      </c>
      <c r="M435">
        <v>1444.95</v>
      </c>
      <c r="N435">
        <v>570.13300000000004</v>
      </c>
      <c r="O435">
        <v>23692800</v>
      </c>
      <c r="P435">
        <v>1.4770699999999999E-2</v>
      </c>
      <c r="Q435">
        <v>1.23424</v>
      </c>
      <c r="R435">
        <v>30.475999999999999</v>
      </c>
      <c r="S435">
        <v>66.489500000000007</v>
      </c>
      <c r="T435">
        <v>1.5904100000000001</v>
      </c>
      <c r="U435">
        <v>0.17754900000000001</v>
      </c>
      <c r="V435">
        <v>3.2281700000000003E-2</v>
      </c>
      <c r="W435">
        <v>40.071800000000003</v>
      </c>
      <c r="X435">
        <v>14.635400000000001</v>
      </c>
      <c r="Y435">
        <v>54.704500000000003</v>
      </c>
      <c r="Z435">
        <v>11.205</v>
      </c>
      <c r="AA435">
        <v>4.6227400000000003</v>
      </c>
      <c r="AB435">
        <v>2.3156699999999999</v>
      </c>
      <c r="AC435">
        <v>12.5167</v>
      </c>
      <c r="AD435">
        <v>1.7085300000000001</v>
      </c>
      <c r="AE435">
        <v>24.710999999999999</v>
      </c>
      <c r="AF435">
        <v>0</v>
      </c>
      <c r="AG435">
        <v>66.033199999999994</v>
      </c>
      <c r="AH435">
        <v>24.318899999999999</v>
      </c>
      <c r="AI435">
        <v>2.3780800000000002</v>
      </c>
      <c r="AJ435">
        <v>7.2698299999999998</v>
      </c>
      <c r="AK435">
        <v>0</v>
      </c>
      <c r="AL435">
        <v>5.2713799999999998E-2</v>
      </c>
      <c r="AM435">
        <v>31.793099999999999</v>
      </c>
      <c r="AN435">
        <v>52.394199999999998</v>
      </c>
      <c r="AO435">
        <v>11.007999999999999</v>
      </c>
      <c r="AP435">
        <v>3.5154700000000001</v>
      </c>
      <c r="AQ435">
        <v>1.0158</v>
      </c>
      <c r="AR435">
        <v>0.27331800000000001</v>
      </c>
      <c r="AS435">
        <v>0.21151900000000001</v>
      </c>
      <c r="AT435">
        <v>1.6969399999999999</v>
      </c>
      <c r="AU435">
        <v>8.1134599999999999</v>
      </c>
      <c r="AV435">
        <v>32.603400000000001</v>
      </c>
      <c r="AW435">
        <v>49.384500000000003</v>
      </c>
      <c r="AX435">
        <v>6.2109899999999998</v>
      </c>
      <c r="AY435">
        <v>1.9906999999999999</v>
      </c>
      <c r="AZ435">
        <v>656.15700000000004</v>
      </c>
      <c r="BA435">
        <v>713.99900000000002</v>
      </c>
      <c r="BB435">
        <v>21134.2</v>
      </c>
      <c r="BC435">
        <v>0.28225699999999998</v>
      </c>
      <c r="BD435">
        <v>0.82856300000000005</v>
      </c>
      <c r="BE435">
        <v>0.84255199999999997</v>
      </c>
      <c r="BF435">
        <v>1.76366</v>
      </c>
      <c r="BG435">
        <v>6.3756300000000001</v>
      </c>
      <c r="BH435">
        <v>18.354299999999999</v>
      </c>
      <c r="BI435">
        <v>71.835300000000004</v>
      </c>
      <c r="BJ435">
        <v>26.016999999999999</v>
      </c>
      <c r="BK435">
        <v>0</v>
      </c>
      <c r="BL435">
        <v>52.543799999999997</v>
      </c>
      <c r="BM435">
        <v>42.668799999999997</v>
      </c>
      <c r="BN435">
        <v>2.63849</v>
      </c>
      <c r="BO435">
        <v>1.0147200000000001</v>
      </c>
      <c r="BP435">
        <v>1.1341600000000001</v>
      </c>
      <c r="BQ435">
        <v>35.854799999999997</v>
      </c>
      <c r="BR435">
        <v>92932</v>
      </c>
    </row>
    <row r="436" spans="1:70" x14ac:dyDescent="0.25">
      <c r="A436">
        <v>32</v>
      </c>
      <c r="B436" s="7">
        <v>46024.540335648147</v>
      </c>
      <c r="C436" t="s">
        <v>129</v>
      </c>
      <c r="D436" s="6" t="s">
        <v>230</v>
      </c>
      <c r="E436" s="6" t="str">
        <f>VLOOKUP(F436,Germplasm!$A$1:$B$21,2,FALSE)</f>
        <v>Annika</v>
      </c>
      <c r="F436" t="s">
        <v>66</v>
      </c>
      <c r="G436" s="6" t="s">
        <v>113</v>
      </c>
      <c r="H436">
        <v>41312.6</v>
      </c>
      <c r="I436">
        <v>504.89400000000001</v>
      </c>
      <c r="J436">
        <v>229865</v>
      </c>
      <c r="K436">
        <v>9.8498699999999992</v>
      </c>
      <c r="L436">
        <v>76.3874</v>
      </c>
      <c r="M436">
        <v>1840.63</v>
      </c>
      <c r="N436">
        <v>663.072</v>
      </c>
      <c r="O436">
        <v>23866600</v>
      </c>
      <c r="P436">
        <v>1.4222500000000001E-2</v>
      </c>
      <c r="Q436">
        <v>1.0865499999999999</v>
      </c>
      <c r="R436">
        <v>30.219899999999999</v>
      </c>
      <c r="S436">
        <v>67.274500000000003</v>
      </c>
      <c r="T436">
        <v>1.22936</v>
      </c>
      <c r="U436">
        <v>0.16566700000000001</v>
      </c>
      <c r="V436">
        <v>2.39931E-2</v>
      </c>
      <c r="W436">
        <v>39.689300000000003</v>
      </c>
      <c r="X436">
        <v>14.835800000000001</v>
      </c>
      <c r="Y436">
        <v>57.431600000000003</v>
      </c>
      <c r="Z436">
        <v>10.8666</v>
      </c>
      <c r="AA436">
        <v>4.1393899999999997</v>
      </c>
      <c r="AB436">
        <v>2.0382699999999998</v>
      </c>
      <c r="AC436">
        <v>10.6884</v>
      </c>
      <c r="AD436">
        <v>1.8246500000000001</v>
      </c>
      <c r="AE436">
        <v>27.140599999999999</v>
      </c>
      <c r="AF436">
        <v>0</v>
      </c>
      <c r="AG436">
        <v>56.375900000000001</v>
      </c>
      <c r="AH436">
        <v>35.520099999999999</v>
      </c>
      <c r="AI436">
        <v>1.86575</v>
      </c>
      <c r="AJ436">
        <v>6.2382200000000001</v>
      </c>
      <c r="AK436">
        <v>0</v>
      </c>
      <c r="AL436">
        <v>4.8221199999999999E-2</v>
      </c>
      <c r="AM436">
        <v>31.599</v>
      </c>
      <c r="AN436">
        <v>54.4816</v>
      </c>
      <c r="AO436">
        <v>9.8965999999999994</v>
      </c>
      <c r="AP436">
        <v>2.8963199999999998</v>
      </c>
      <c r="AQ436">
        <v>0.907169</v>
      </c>
      <c r="AR436">
        <v>0.21936600000000001</v>
      </c>
      <c r="AS436">
        <v>0.207736</v>
      </c>
      <c r="AT436">
        <v>1.49786</v>
      </c>
      <c r="AU436">
        <v>6.9077400000000004</v>
      </c>
      <c r="AV436">
        <v>37.476199999999999</v>
      </c>
      <c r="AW436">
        <v>46.5456</v>
      </c>
      <c r="AX436">
        <v>5.3390500000000003</v>
      </c>
      <c r="AY436">
        <v>2.2336499999999999</v>
      </c>
      <c r="AZ436">
        <v>577.70799999999997</v>
      </c>
      <c r="BA436">
        <v>674.399</v>
      </c>
      <c r="BB436">
        <v>22641.4</v>
      </c>
      <c r="BC436">
        <v>0.27983000000000002</v>
      </c>
      <c r="BD436">
        <v>0.73236199999999996</v>
      </c>
      <c r="BE436">
        <v>0.87403600000000004</v>
      </c>
      <c r="BF436">
        <v>1.4464399999999999</v>
      </c>
      <c r="BG436">
        <v>5.35276</v>
      </c>
      <c r="BH436">
        <v>18.037099999999999</v>
      </c>
      <c r="BI436">
        <v>73.557299999999998</v>
      </c>
      <c r="BJ436">
        <v>25.460899999999999</v>
      </c>
      <c r="BK436">
        <v>0</v>
      </c>
      <c r="BL436">
        <v>57.652099999999997</v>
      </c>
      <c r="BM436">
        <v>36.841999999999999</v>
      </c>
      <c r="BN436">
        <v>2.8734600000000001</v>
      </c>
      <c r="BO436">
        <v>1.3459000000000001</v>
      </c>
      <c r="BP436">
        <v>1.2864899999999999</v>
      </c>
      <c r="BQ436">
        <v>33.265000000000001</v>
      </c>
      <c r="BR436">
        <v>87525</v>
      </c>
    </row>
    <row r="437" spans="1:70" x14ac:dyDescent="0.25">
      <c r="A437">
        <v>43</v>
      </c>
      <c r="B437" s="7">
        <v>45952.569212962961</v>
      </c>
      <c r="C437" t="s">
        <v>164</v>
      </c>
      <c r="D437" s="6" t="s">
        <v>326</v>
      </c>
      <c r="E437" s="6" t="str">
        <f>VLOOKUP(F437,Germplasm!$A$1:$B$21,2,FALSE)</f>
        <v>Olve</v>
      </c>
      <c r="F437" t="s">
        <v>62</v>
      </c>
      <c r="G437" s="6" t="s">
        <v>113</v>
      </c>
      <c r="H437">
        <v>34504.699999999997</v>
      </c>
      <c r="I437">
        <v>249.566</v>
      </c>
      <c r="J437">
        <v>144264</v>
      </c>
      <c r="K437">
        <v>13.422700000000001</v>
      </c>
      <c r="L437">
        <v>69.564400000000006</v>
      </c>
      <c r="M437">
        <v>1457.63</v>
      </c>
      <c r="N437">
        <v>567.81399999999996</v>
      </c>
      <c r="O437">
        <v>11292500</v>
      </c>
      <c r="P437">
        <v>0.25323200000000001</v>
      </c>
      <c r="Q437">
        <v>0.44788299999999998</v>
      </c>
      <c r="R437">
        <v>3.90578</v>
      </c>
      <c r="S437">
        <v>17.218599999999999</v>
      </c>
      <c r="T437">
        <v>39.929400000000001</v>
      </c>
      <c r="U437">
        <v>38.018799999999999</v>
      </c>
      <c r="V437">
        <v>0.47955100000000001</v>
      </c>
      <c r="W437">
        <v>115.768</v>
      </c>
      <c r="X437">
        <v>0.82488799999999995</v>
      </c>
      <c r="Y437">
        <v>1.8352599999999999</v>
      </c>
      <c r="Z437">
        <v>3.90578</v>
      </c>
      <c r="AA437">
        <v>17.723800000000001</v>
      </c>
      <c r="AB437">
        <v>40.730200000000004</v>
      </c>
      <c r="AC437">
        <v>34.9801</v>
      </c>
      <c r="AD437">
        <v>1.78189</v>
      </c>
      <c r="AE437">
        <v>6.51586</v>
      </c>
      <c r="AF437">
        <v>0</v>
      </c>
      <c r="AG437">
        <v>99.981899999999996</v>
      </c>
      <c r="AH437">
        <v>1.65883E-2</v>
      </c>
      <c r="AI437">
        <v>1.5080200000000001E-3</v>
      </c>
      <c r="AJ437">
        <v>0</v>
      </c>
      <c r="AK437">
        <v>0</v>
      </c>
      <c r="AL437">
        <v>0.54342599999999996</v>
      </c>
      <c r="AM437">
        <v>0.55042800000000003</v>
      </c>
      <c r="AN437">
        <v>2.5983200000000002</v>
      </c>
      <c r="AO437">
        <v>5.0488600000000003</v>
      </c>
      <c r="AP437">
        <v>12.776</v>
      </c>
      <c r="AQ437">
        <v>37.049100000000003</v>
      </c>
      <c r="AR437">
        <v>41.9773</v>
      </c>
      <c r="AS437">
        <v>4.3271799999999999E-2</v>
      </c>
      <c r="AT437">
        <v>7.3380400000000003</v>
      </c>
      <c r="AU437">
        <v>33.536900000000003</v>
      </c>
      <c r="AV437">
        <v>42.630299999999998</v>
      </c>
      <c r="AW437">
        <v>12.9268</v>
      </c>
      <c r="AX437">
        <v>2.43546</v>
      </c>
      <c r="AY437">
        <v>1.13253</v>
      </c>
      <c r="AZ437">
        <v>327.27600000000001</v>
      </c>
      <c r="BA437">
        <v>357.6</v>
      </c>
      <c r="BB437">
        <v>19364.099999999999</v>
      </c>
      <c r="BC437">
        <v>1.5868699999999999E-2</v>
      </c>
      <c r="BD437">
        <v>4.5240700000000002E-2</v>
      </c>
      <c r="BE437">
        <v>0.40415000000000001</v>
      </c>
      <c r="BF437">
        <v>2.7023799999999998</v>
      </c>
      <c r="BG437">
        <v>37.723199999999999</v>
      </c>
      <c r="BH437">
        <v>55.130299999999998</v>
      </c>
      <c r="BI437">
        <v>3.9947499999999998</v>
      </c>
      <c r="BJ437">
        <v>33.580500000000001</v>
      </c>
      <c r="BK437">
        <v>0</v>
      </c>
      <c r="BL437">
        <v>29.140999999999998</v>
      </c>
      <c r="BM437">
        <v>58.680199999999999</v>
      </c>
      <c r="BN437">
        <v>11.073399999999999</v>
      </c>
      <c r="BO437">
        <v>0.90481400000000001</v>
      </c>
      <c r="BP437">
        <v>0.200567</v>
      </c>
      <c r="BQ437">
        <v>34.167999999999999</v>
      </c>
      <c r="BR437">
        <v>66312</v>
      </c>
    </row>
    <row r="438" spans="1:70" x14ac:dyDescent="0.25">
      <c r="A438">
        <v>43</v>
      </c>
      <c r="B438" s="7">
        <v>45959.534814814811</v>
      </c>
      <c r="C438" t="s">
        <v>164</v>
      </c>
      <c r="D438" s="6" t="s">
        <v>327</v>
      </c>
      <c r="E438" s="6" t="str">
        <f>VLOOKUP(F438,Germplasm!$A$1:$B$21,2,FALSE)</f>
        <v>Olve</v>
      </c>
      <c r="F438" t="s">
        <v>62</v>
      </c>
      <c r="G438" s="6" t="s">
        <v>113</v>
      </c>
      <c r="H438">
        <v>44825.2</v>
      </c>
      <c r="I438">
        <v>329.00400000000002</v>
      </c>
      <c r="J438">
        <v>187638</v>
      </c>
      <c r="K438">
        <v>13.8881</v>
      </c>
      <c r="L438">
        <v>70.973299999999995</v>
      </c>
      <c r="M438">
        <v>1656.44</v>
      </c>
      <c r="N438">
        <v>602.90499999999997</v>
      </c>
      <c r="O438">
        <v>18820500</v>
      </c>
      <c r="P438">
        <v>0.235094</v>
      </c>
      <c r="Q438">
        <v>0.73602299999999998</v>
      </c>
      <c r="R438">
        <v>3.9740799999999998</v>
      </c>
      <c r="S438">
        <v>20.275700000000001</v>
      </c>
      <c r="T438">
        <v>42.767299999999999</v>
      </c>
      <c r="U438">
        <v>31.488600000000002</v>
      </c>
      <c r="V438">
        <v>0.75829299999999999</v>
      </c>
      <c r="W438">
        <v>120.863</v>
      </c>
      <c r="X438">
        <v>0.94536100000000001</v>
      </c>
      <c r="Y438">
        <v>1.79162</v>
      </c>
      <c r="Z438">
        <v>3.36388</v>
      </c>
      <c r="AA438">
        <v>14.6637</v>
      </c>
      <c r="AB438">
        <v>35.868000000000002</v>
      </c>
      <c r="AC438">
        <v>43.367400000000004</v>
      </c>
      <c r="AD438">
        <v>1.7201200000000001</v>
      </c>
      <c r="AE438">
        <v>6.3647799999999997</v>
      </c>
      <c r="AF438">
        <v>0</v>
      </c>
      <c r="AG438">
        <v>99.883099999999999</v>
      </c>
      <c r="AH438">
        <v>0.11246299999999999</v>
      </c>
      <c r="AI438">
        <v>4.4539999999999996E-3</v>
      </c>
      <c r="AJ438">
        <v>0</v>
      </c>
      <c r="AK438">
        <v>0</v>
      </c>
      <c r="AL438">
        <v>0.53722300000000001</v>
      </c>
      <c r="AM438">
        <v>0.77276800000000001</v>
      </c>
      <c r="AN438">
        <v>3.1500900000000001</v>
      </c>
      <c r="AO438">
        <v>5.4817600000000004</v>
      </c>
      <c r="AP438">
        <v>12.94</v>
      </c>
      <c r="AQ438">
        <v>37.705300000000001</v>
      </c>
      <c r="AR438">
        <v>39.950099999999999</v>
      </c>
      <c r="AS438">
        <v>1.6042000000000001E-2</v>
      </c>
      <c r="AT438">
        <v>9.8845299999999998</v>
      </c>
      <c r="AU438">
        <v>39.197400000000002</v>
      </c>
      <c r="AV438">
        <v>37.413600000000002</v>
      </c>
      <c r="AW438">
        <v>9.9157100000000007</v>
      </c>
      <c r="AX438">
        <v>2.1212200000000001</v>
      </c>
      <c r="AY438">
        <v>1.46759</v>
      </c>
      <c r="AZ438">
        <v>419.86500000000001</v>
      </c>
      <c r="BA438">
        <v>490.19900000000001</v>
      </c>
      <c r="BB438">
        <v>26059.4</v>
      </c>
      <c r="BC438">
        <v>-1.06646E-3</v>
      </c>
      <c r="BD438">
        <v>7.6831399999999994E-2</v>
      </c>
      <c r="BE438">
        <v>0.72043400000000002</v>
      </c>
      <c r="BF438">
        <v>3.7948</v>
      </c>
      <c r="BG438">
        <v>44.489800000000002</v>
      </c>
      <c r="BH438">
        <v>46.635599999999997</v>
      </c>
      <c r="BI438">
        <v>4.2825199999999999</v>
      </c>
      <c r="BJ438">
        <v>32.284399999999998</v>
      </c>
      <c r="BK438">
        <v>0</v>
      </c>
      <c r="BL438">
        <v>33.554200000000002</v>
      </c>
      <c r="BM438">
        <v>55.797400000000003</v>
      </c>
      <c r="BN438">
        <v>8.8890600000000006</v>
      </c>
      <c r="BO438">
        <v>1.0489200000000001</v>
      </c>
      <c r="BP438">
        <v>0.71041200000000004</v>
      </c>
      <c r="BQ438">
        <v>35.585999999999999</v>
      </c>
      <c r="BR438">
        <v>89807</v>
      </c>
    </row>
    <row r="439" spans="1:70" x14ac:dyDescent="0.25">
      <c r="A439">
        <v>43</v>
      </c>
      <c r="B439" s="7">
        <v>45966.544398148151</v>
      </c>
      <c r="C439" t="s">
        <v>164</v>
      </c>
      <c r="D439" s="6" t="s">
        <v>328</v>
      </c>
      <c r="E439" s="6" t="str">
        <f>VLOOKUP(F439,Germplasm!$A$1:$B$21,2,FALSE)</f>
        <v>Olve</v>
      </c>
      <c r="F439" t="s">
        <v>62</v>
      </c>
      <c r="G439" s="6" t="s">
        <v>113</v>
      </c>
      <c r="H439">
        <v>59828.5</v>
      </c>
      <c r="I439">
        <v>356.88200000000001</v>
      </c>
      <c r="J439">
        <v>193801</v>
      </c>
      <c r="K439">
        <v>17.981000000000002</v>
      </c>
      <c r="L439">
        <v>84.387699999999995</v>
      </c>
      <c r="M439">
        <v>1629.15</v>
      </c>
      <c r="N439">
        <v>555.80999999999995</v>
      </c>
      <c r="O439">
        <v>28080800</v>
      </c>
      <c r="P439">
        <v>0.235041</v>
      </c>
      <c r="Q439">
        <v>0.52752600000000005</v>
      </c>
      <c r="R439">
        <v>3.7170700000000001</v>
      </c>
      <c r="S439">
        <v>20.4727</v>
      </c>
      <c r="T439">
        <v>44.139899999999997</v>
      </c>
      <c r="U439">
        <v>30.494900000000001</v>
      </c>
      <c r="V439">
        <v>0.64782499999999998</v>
      </c>
      <c r="W439">
        <v>116.212</v>
      </c>
      <c r="X439">
        <v>1.0111600000000001</v>
      </c>
      <c r="Y439">
        <v>2.5352199999999998</v>
      </c>
      <c r="Z439">
        <v>5.1013200000000003</v>
      </c>
      <c r="AA439">
        <v>17.685500000000001</v>
      </c>
      <c r="AB439">
        <v>35.455599999999997</v>
      </c>
      <c r="AC439">
        <v>38.211100000000002</v>
      </c>
      <c r="AD439">
        <v>1.7168699999999999</v>
      </c>
      <c r="AE439">
        <v>6.3180800000000001</v>
      </c>
      <c r="AF439">
        <v>0</v>
      </c>
      <c r="AG439">
        <v>99.909800000000004</v>
      </c>
      <c r="AH439">
        <v>8.8598399999999994E-2</v>
      </c>
      <c r="AI439">
        <v>1.6256599999999999E-3</v>
      </c>
      <c r="AJ439">
        <v>0</v>
      </c>
      <c r="AK439">
        <v>0</v>
      </c>
      <c r="AL439">
        <v>0.529142</v>
      </c>
      <c r="AM439">
        <v>0.63888400000000001</v>
      </c>
      <c r="AN439">
        <v>3.30497</v>
      </c>
      <c r="AO439">
        <v>6.8367100000000001</v>
      </c>
      <c r="AP439">
        <v>14.1936</v>
      </c>
      <c r="AQ439">
        <v>36.087200000000003</v>
      </c>
      <c r="AR439">
        <v>38.938600000000001</v>
      </c>
      <c r="AS439">
        <v>4.4675899999999998E-2</v>
      </c>
      <c r="AT439">
        <v>7.9096500000000001</v>
      </c>
      <c r="AU439">
        <v>35.766100000000002</v>
      </c>
      <c r="AV439">
        <v>38.336300000000001</v>
      </c>
      <c r="AW439">
        <v>12.609400000000001</v>
      </c>
      <c r="AX439">
        <v>3.7016300000000002</v>
      </c>
      <c r="AY439">
        <v>1.6768700000000001</v>
      </c>
      <c r="AZ439">
        <v>469.35500000000002</v>
      </c>
      <c r="BA439">
        <v>578.99900000000002</v>
      </c>
      <c r="BB439">
        <v>34847.4</v>
      </c>
      <c r="BC439">
        <v>1.82738E-2</v>
      </c>
      <c r="BD439">
        <v>6.4213500000000007E-2</v>
      </c>
      <c r="BE439">
        <v>0.47631800000000002</v>
      </c>
      <c r="BF439">
        <v>2.94082</v>
      </c>
      <c r="BG439">
        <v>40.194400000000002</v>
      </c>
      <c r="BH439">
        <v>49.496499999999997</v>
      </c>
      <c r="BI439">
        <v>6.8277700000000001</v>
      </c>
      <c r="BJ439">
        <v>32.5381</v>
      </c>
      <c r="BK439">
        <v>0</v>
      </c>
      <c r="BL439">
        <v>33.323599999999999</v>
      </c>
      <c r="BM439">
        <v>55.162700000000001</v>
      </c>
      <c r="BN439">
        <v>9.9222099999999998</v>
      </c>
      <c r="BO439">
        <v>1.05505</v>
      </c>
      <c r="BP439">
        <v>0.53646799999999994</v>
      </c>
      <c r="BQ439">
        <v>35.670299999999997</v>
      </c>
      <c r="BR439">
        <v>123027</v>
      </c>
    </row>
    <row r="440" spans="1:70" x14ac:dyDescent="0.25">
      <c r="A440">
        <v>43</v>
      </c>
      <c r="B440" s="7">
        <v>45973.563472222224</v>
      </c>
      <c r="C440" t="s">
        <v>164</v>
      </c>
      <c r="D440" s="6" t="s">
        <v>329</v>
      </c>
      <c r="E440" s="6" t="str">
        <f>VLOOKUP(F440,Germplasm!$A$1:$B$21,2,FALSE)</f>
        <v>Olve</v>
      </c>
      <c r="F440" t="s">
        <v>62</v>
      </c>
      <c r="G440" s="6" t="s">
        <v>113</v>
      </c>
      <c r="H440">
        <v>71929.899999999994</v>
      </c>
      <c r="I440">
        <v>404.44499999999999</v>
      </c>
      <c r="J440">
        <v>233426</v>
      </c>
      <c r="K440">
        <v>17.922799999999999</v>
      </c>
      <c r="L440">
        <v>64.299400000000006</v>
      </c>
      <c r="M440">
        <v>1832.54</v>
      </c>
      <c r="N440">
        <v>713.202</v>
      </c>
      <c r="O440">
        <v>38125500</v>
      </c>
      <c r="P440">
        <v>0.21096500000000001</v>
      </c>
      <c r="Q440">
        <v>0.80232499999999995</v>
      </c>
      <c r="R440">
        <v>6.0678700000000001</v>
      </c>
      <c r="S440">
        <v>24.210699999999999</v>
      </c>
      <c r="T440">
        <v>42.853900000000003</v>
      </c>
      <c r="U440">
        <v>25.367100000000001</v>
      </c>
      <c r="V440">
        <v>0.69810899999999998</v>
      </c>
      <c r="W440">
        <v>113.399</v>
      </c>
      <c r="X440">
        <v>2.4864700000000002</v>
      </c>
      <c r="Y440">
        <v>5.7806100000000002</v>
      </c>
      <c r="Z440">
        <v>5.6349799999999997</v>
      </c>
      <c r="AA440">
        <v>16.180099999999999</v>
      </c>
      <c r="AB440">
        <v>30.901900000000001</v>
      </c>
      <c r="AC440">
        <v>39.015999999999998</v>
      </c>
      <c r="AD440">
        <v>1.7193099999999999</v>
      </c>
      <c r="AE440">
        <v>6.5593500000000002</v>
      </c>
      <c r="AF440">
        <v>0</v>
      </c>
      <c r="AG440">
        <v>99.715400000000002</v>
      </c>
      <c r="AH440">
        <v>0.281248</v>
      </c>
      <c r="AI440">
        <v>3.34024E-3</v>
      </c>
      <c r="AJ440">
        <v>0</v>
      </c>
      <c r="AK440">
        <v>0</v>
      </c>
      <c r="AL440">
        <v>0.49821900000000002</v>
      </c>
      <c r="AM440">
        <v>0.96599599999999997</v>
      </c>
      <c r="AN440">
        <v>5.4893400000000003</v>
      </c>
      <c r="AO440">
        <v>9.8042599999999993</v>
      </c>
      <c r="AP440">
        <v>15.315</v>
      </c>
      <c r="AQ440">
        <v>34.107199999999999</v>
      </c>
      <c r="AR440">
        <v>34.318300000000001</v>
      </c>
      <c r="AS440">
        <v>6.2800099999999998E-2</v>
      </c>
      <c r="AT440">
        <v>6.8140799999999997</v>
      </c>
      <c r="AU440">
        <v>36.756</v>
      </c>
      <c r="AV440">
        <v>34.580800000000004</v>
      </c>
      <c r="AW440">
        <v>13.978899999999999</v>
      </c>
      <c r="AX440">
        <v>5.5862100000000003</v>
      </c>
      <c r="AY440">
        <v>2.2840500000000001</v>
      </c>
      <c r="AZ440">
        <v>530.03700000000003</v>
      </c>
      <c r="BA440">
        <v>590.54999999999995</v>
      </c>
      <c r="BB440">
        <v>41836.400000000001</v>
      </c>
      <c r="BC440">
        <v>3.9461000000000003E-2</v>
      </c>
      <c r="BD440">
        <v>5.5447900000000001E-2</v>
      </c>
      <c r="BE440">
        <v>0.41084900000000002</v>
      </c>
      <c r="BF440">
        <v>2.4577499999999999</v>
      </c>
      <c r="BG440">
        <v>40.645299999999999</v>
      </c>
      <c r="BH440">
        <v>43.956200000000003</v>
      </c>
      <c r="BI440">
        <v>12.474399999999999</v>
      </c>
      <c r="BJ440">
        <v>32.058</v>
      </c>
      <c r="BK440">
        <v>0</v>
      </c>
      <c r="BL440">
        <v>34.884099999999997</v>
      </c>
      <c r="BM440">
        <v>54.283499999999997</v>
      </c>
      <c r="BN440">
        <v>8.8770100000000003</v>
      </c>
      <c r="BO440">
        <v>1.19313</v>
      </c>
      <c r="BP440">
        <v>0.76224199999999998</v>
      </c>
      <c r="BQ440">
        <v>35.616799999999998</v>
      </c>
      <c r="BR440">
        <v>149690</v>
      </c>
    </row>
    <row r="441" spans="1:70" x14ac:dyDescent="0.25">
      <c r="A441">
        <v>43</v>
      </c>
      <c r="B441" s="7">
        <v>45988.559907407405</v>
      </c>
      <c r="C441" t="s">
        <v>164</v>
      </c>
      <c r="D441" s="6" t="s">
        <v>330</v>
      </c>
      <c r="E441" s="6" t="str">
        <f>VLOOKUP(F441,Germplasm!$A$1:$B$21,2,FALSE)</f>
        <v>Olve</v>
      </c>
      <c r="F441" t="s">
        <v>62</v>
      </c>
      <c r="G441" s="6" t="s">
        <v>113</v>
      </c>
      <c r="H441">
        <v>54672.5</v>
      </c>
      <c r="I441">
        <v>429.858</v>
      </c>
      <c r="J441">
        <v>165439</v>
      </c>
      <c r="K441">
        <v>20.185400000000001</v>
      </c>
      <c r="L441">
        <v>80.666499999999999</v>
      </c>
      <c r="M441">
        <v>1544.58</v>
      </c>
      <c r="N441">
        <v>549.91200000000003</v>
      </c>
      <c r="O441">
        <v>30907600</v>
      </c>
      <c r="P441">
        <v>0.17621999999999999</v>
      </c>
      <c r="Q441">
        <v>0.95689000000000002</v>
      </c>
      <c r="R441">
        <v>11.1036</v>
      </c>
      <c r="S441">
        <v>27.315100000000001</v>
      </c>
      <c r="T441">
        <v>42.272199999999998</v>
      </c>
      <c r="U441">
        <v>17.594000000000001</v>
      </c>
      <c r="V441">
        <v>0.75820399999999999</v>
      </c>
      <c r="W441">
        <v>89.870900000000006</v>
      </c>
      <c r="X441">
        <v>6.1714500000000001</v>
      </c>
      <c r="Y441">
        <v>13.222899999999999</v>
      </c>
      <c r="Z441">
        <v>11.6829</v>
      </c>
      <c r="AA441">
        <v>24.128599999999999</v>
      </c>
      <c r="AB441">
        <v>23.8324</v>
      </c>
      <c r="AC441">
        <v>20.9618</v>
      </c>
      <c r="AD441">
        <v>1.63717</v>
      </c>
      <c r="AE441">
        <v>8.4107400000000005</v>
      </c>
      <c r="AF441">
        <v>0</v>
      </c>
      <c r="AG441">
        <v>98.2697</v>
      </c>
      <c r="AH441">
        <v>1.7272700000000001</v>
      </c>
      <c r="AI441">
        <v>3.045E-3</v>
      </c>
      <c r="AJ441">
        <v>0</v>
      </c>
      <c r="AK441">
        <v>0</v>
      </c>
      <c r="AL441">
        <v>0.39195999999999998</v>
      </c>
      <c r="AM441">
        <v>2.7450700000000001</v>
      </c>
      <c r="AN441">
        <v>13.825799999999999</v>
      </c>
      <c r="AO441">
        <v>17.6709</v>
      </c>
      <c r="AP441">
        <v>20.575800000000001</v>
      </c>
      <c r="AQ441">
        <v>27.344100000000001</v>
      </c>
      <c r="AR441">
        <v>17.8384</v>
      </c>
      <c r="AS441">
        <v>0.17272899999999999</v>
      </c>
      <c r="AT441">
        <v>2.74735</v>
      </c>
      <c r="AU441">
        <v>19.96</v>
      </c>
      <c r="AV441">
        <v>34.3887</v>
      </c>
      <c r="AW441">
        <v>28.249199999999998</v>
      </c>
      <c r="AX441">
        <v>11.374599999999999</v>
      </c>
      <c r="AY441">
        <v>3.2802199999999999</v>
      </c>
      <c r="AZ441">
        <v>565.32399999999996</v>
      </c>
      <c r="BA441">
        <v>646.79899999999998</v>
      </c>
      <c r="BB441">
        <v>33394.5</v>
      </c>
      <c r="BC441">
        <v>0.14119799999999999</v>
      </c>
      <c r="BD441">
        <v>4.3391199999999998E-2</v>
      </c>
      <c r="BE441">
        <v>0.20325399999999999</v>
      </c>
      <c r="BF441">
        <v>1.1746099999999999</v>
      </c>
      <c r="BG441">
        <v>21.2807</v>
      </c>
      <c r="BH441">
        <v>45.139000000000003</v>
      </c>
      <c r="BI441">
        <v>32.158999999999999</v>
      </c>
      <c r="BJ441">
        <v>33.630699999999997</v>
      </c>
      <c r="BK441">
        <v>0</v>
      </c>
      <c r="BL441">
        <v>30.297699999999999</v>
      </c>
      <c r="BM441">
        <v>57.580100000000002</v>
      </c>
      <c r="BN441">
        <v>9.5224700000000002</v>
      </c>
      <c r="BO441">
        <v>1.46997</v>
      </c>
      <c r="BP441">
        <v>1.1296900000000001</v>
      </c>
      <c r="BQ441">
        <v>37.6965</v>
      </c>
      <c r="BR441">
        <v>131363</v>
      </c>
    </row>
    <row r="442" spans="1:70" x14ac:dyDescent="0.25">
      <c r="A442">
        <v>43</v>
      </c>
      <c r="B442" s="7">
        <v>45994.569444444445</v>
      </c>
      <c r="C442" t="s">
        <v>164</v>
      </c>
      <c r="D442" s="6" t="s">
        <v>331</v>
      </c>
      <c r="E442" s="6" t="str">
        <f>VLOOKUP(F442,Germplasm!$A$1:$B$21,2,FALSE)</f>
        <v>Olve</v>
      </c>
      <c r="F442" t="s">
        <v>62</v>
      </c>
      <c r="G442" s="6" t="s">
        <v>113</v>
      </c>
      <c r="H442">
        <v>47262.5</v>
      </c>
      <c r="I442">
        <v>448.97</v>
      </c>
      <c r="J442">
        <v>142599</v>
      </c>
      <c r="K442">
        <v>18.837599999999998</v>
      </c>
      <c r="L442">
        <v>92.188500000000005</v>
      </c>
      <c r="M442">
        <v>1416.03</v>
      </c>
      <c r="N442">
        <v>475.45600000000002</v>
      </c>
      <c r="O442">
        <v>27403400</v>
      </c>
      <c r="P442">
        <v>0.14474600000000001</v>
      </c>
      <c r="Q442">
        <v>0.89776299999999998</v>
      </c>
      <c r="R442">
        <v>12.201499999999999</v>
      </c>
      <c r="S442">
        <v>39.246699999999997</v>
      </c>
      <c r="T442">
        <v>34.386899999999997</v>
      </c>
      <c r="U442">
        <v>12.951000000000001</v>
      </c>
      <c r="V442">
        <v>0.316247</v>
      </c>
      <c r="W442">
        <v>70.104399999999998</v>
      </c>
      <c r="X442">
        <v>6.75068</v>
      </c>
      <c r="Y442">
        <v>26.8139</v>
      </c>
      <c r="Z442">
        <v>18.5547</v>
      </c>
      <c r="AA442">
        <v>23.813800000000001</v>
      </c>
      <c r="AB442">
        <v>13.4589</v>
      </c>
      <c r="AC442">
        <v>10.607900000000001</v>
      </c>
      <c r="AD442">
        <v>1.7594399999999999</v>
      </c>
      <c r="AE442">
        <v>10.8628</v>
      </c>
      <c r="AF442">
        <v>0</v>
      </c>
      <c r="AG442">
        <v>96.176699999999997</v>
      </c>
      <c r="AH442">
        <v>3.7420900000000001</v>
      </c>
      <c r="AI442">
        <v>8.0241699999999999E-2</v>
      </c>
      <c r="AJ442">
        <v>9.4401999999999995E-4</v>
      </c>
      <c r="AK442">
        <v>0</v>
      </c>
      <c r="AL442">
        <v>0.269951</v>
      </c>
      <c r="AM442">
        <v>5.8000600000000002</v>
      </c>
      <c r="AN442">
        <v>29.882000000000001</v>
      </c>
      <c r="AO442">
        <v>21.674700000000001</v>
      </c>
      <c r="AP442">
        <v>19.5214</v>
      </c>
      <c r="AQ442">
        <v>17.116</v>
      </c>
      <c r="AR442">
        <v>6.0058499999999997</v>
      </c>
      <c r="AS442">
        <v>0.26578099999999999</v>
      </c>
      <c r="AT442">
        <v>1.00349</v>
      </c>
      <c r="AU442">
        <v>9.6563800000000004</v>
      </c>
      <c r="AV442">
        <v>25.850100000000001</v>
      </c>
      <c r="AW442">
        <v>36.813899999999997</v>
      </c>
      <c r="AX442">
        <v>22.9925</v>
      </c>
      <c r="AY442">
        <v>3.6835599999999999</v>
      </c>
      <c r="AZ442">
        <v>579.81200000000001</v>
      </c>
      <c r="BA442">
        <v>646.79899999999998</v>
      </c>
      <c r="BB442">
        <v>26862.2</v>
      </c>
      <c r="BC442">
        <v>0.25819399999999998</v>
      </c>
      <c r="BD442">
        <v>4.2480900000000002E-2</v>
      </c>
      <c r="BE442">
        <v>0.16331499999999999</v>
      </c>
      <c r="BF442">
        <v>0.68158200000000002</v>
      </c>
      <c r="BG442">
        <v>9.7706</v>
      </c>
      <c r="BH442">
        <v>33.410699999999999</v>
      </c>
      <c r="BI442">
        <v>55.9313</v>
      </c>
      <c r="BJ442">
        <v>36.060299999999998</v>
      </c>
      <c r="BK442">
        <v>0</v>
      </c>
      <c r="BL442">
        <v>24.643599999999999</v>
      </c>
      <c r="BM442">
        <v>58.778399999999998</v>
      </c>
      <c r="BN442">
        <v>14.773899999999999</v>
      </c>
      <c r="BO442">
        <v>1.13849</v>
      </c>
      <c r="BP442">
        <v>0.66553399999999996</v>
      </c>
      <c r="BQ442">
        <v>34.675600000000003</v>
      </c>
      <c r="BR442">
        <v>105930</v>
      </c>
    </row>
    <row r="443" spans="1:70" x14ac:dyDescent="0.25">
      <c r="A443">
        <v>43</v>
      </c>
      <c r="B443" s="7">
        <v>46002.561620370368</v>
      </c>
      <c r="C443" t="s">
        <v>164</v>
      </c>
      <c r="D443" s="6" t="s">
        <v>332</v>
      </c>
      <c r="E443" s="6" t="str">
        <f>VLOOKUP(F443,Germplasm!$A$1:$B$21,2,FALSE)</f>
        <v>Olve</v>
      </c>
      <c r="F443" t="s">
        <v>62</v>
      </c>
      <c r="G443" s="6" t="s">
        <v>113</v>
      </c>
      <c r="H443">
        <v>37290.5</v>
      </c>
      <c r="I443">
        <v>441.00200000000001</v>
      </c>
      <c r="J443">
        <v>91964.5</v>
      </c>
      <c r="K443">
        <v>20.700399999999998</v>
      </c>
      <c r="L443">
        <v>72.403400000000005</v>
      </c>
      <c r="M443">
        <v>1154.24</v>
      </c>
      <c r="N443">
        <v>430.58800000000002</v>
      </c>
      <c r="O443">
        <v>21859900</v>
      </c>
      <c r="P443">
        <v>8.8838100000000003E-2</v>
      </c>
      <c r="Q443">
        <v>1.2700400000000001</v>
      </c>
      <c r="R443">
        <v>22.661899999999999</v>
      </c>
      <c r="S443">
        <v>45.7577</v>
      </c>
      <c r="T443">
        <v>23.909600000000001</v>
      </c>
      <c r="U443">
        <v>6.1008699999999996</v>
      </c>
      <c r="V443">
        <v>0.299869</v>
      </c>
      <c r="W443">
        <v>57.564799999999998</v>
      </c>
      <c r="X443">
        <v>12.760300000000001</v>
      </c>
      <c r="Y443">
        <v>34.296799999999998</v>
      </c>
      <c r="Z443">
        <v>16.2623</v>
      </c>
      <c r="AA443">
        <v>17.129000000000001</v>
      </c>
      <c r="AB443">
        <v>9.7804500000000001</v>
      </c>
      <c r="AC443">
        <v>9.7710399999999993</v>
      </c>
      <c r="AD443">
        <v>1.9588399999999999</v>
      </c>
      <c r="AE443">
        <v>12.260300000000001</v>
      </c>
      <c r="AF443">
        <v>0</v>
      </c>
      <c r="AG443">
        <v>93.097099999999998</v>
      </c>
      <c r="AH443">
        <v>6.6947299999999998</v>
      </c>
      <c r="AI443">
        <v>0.208145</v>
      </c>
      <c r="AJ443">
        <v>0</v>
      </c>
      <c r="AK443">
        <v>0</v>
      </c>
      <c r="AL443">
        <v>0.201345</v>
      </c>
      <c r="AM443">
        <v>10.7189</v>
      </c>
      <c r="AN443">
        <v>38.844299999999997</v>
      </c>
      <c r="AO443">
        <v>22.2926</v>
      </c>
      <c r="AP443">
        <v>14.8653</v>
      </c>
      <c r="AQ443">
        <v>9.25244</v>
      </c>
      <c r="AR443">
        <v>4.0264800000000003</v>
      </c>
      <c r="AS443">
        <v>0.24990000000000001</v>
      </c>
      <c r="AT443">
        <v>0.966638</v>
      </c>
      <c r="AU443">
        <v>7.5696500000000002</v>
      </c>
      <c r="AV443">
        <v>29.631799999999998</v>
      </c>
      <c r="AW443">
        <v>44.038499999999999</v>
      </c>
      <c r="AX443">
        <v>14.584199999999999</v>
      </c>
      <c r="AY443">
        <v>3.20919</v>
      </c>
      <c r="AZ443">
        <v>586.20399999999995</v>
      </c>
      <c r="BA443">
        <v>631.79899999999998</v>
      </c>
      <c r="BB443">
        <v>19037</v>
      </c>
      <c r="BC443">
        <v>0.27500799999999997</v>
      </c>
      <c r="BD443">
        <v>7.7613299999999996E-2</v>
      </c>
      <c r="BE443">
        <v>0.24812699999999999</v>
      </c>
      <c r="BF443">
        <v>0.77966100000000005</v>
      </c>
      <c r="BG443">
        <v>7.4285300000000003</v>
      </c>
      <c r="BH443">
        <v>28.179500000000001</v>
      </c>
      <c r="BI443">
        <v>63.2866</v>
      </c>
      <c r="BJ443">
        <v>31.751100000000001</v>
      </c>
      <c r="BK443">
        <v>0</v>
      </c>
      <c r="BL443">
        <v>34.831899999999997</v>
      </c>
      <c r="BM443">
        <v>55.626399999999997</v>
      </c>
      <c r="BN443">
        <v>7.4626299999999999</v>
      </c>
      <c r="BO443">
        <v>1.18184</v>
      </c>
      <c r="BP443">
        <v>0.89725600000000005</v>
      </c>
      <c r="BQ443">
        <v>30.721599999999999</v>
      </c>
      <c r="BR443">
        <v>85037</v>
      </c>
    </row>
    <row r="444" spans="1:70" x14ac:dyDescent="0.25">
      <c r="A444">
        <v>43</v>
      </c>
      <c r="B444" s="7">
        <v>46013.585833333331</v>
      </c>
      <c r="C444" t="s">
        <v>164</v>
      </c>
      <c r="D444" s="6" t="s">
        <v>333</v>
      </c>
      <c r="E444" s="6" t="str">
        <f>VLOOKUP(F444,Germplasm!$A$1:$B$21,2,FALSE)</f>
        <v>Olve</v>
      </c>
      <c r="F444" t="s">
        <v>62</v>
      </c>
      <c r="G444" s="6" t="s">
        <v>113</v>
      </c>
      <c r="H444">
        <v>33637.9</v>
      </c>
      <c r="I444">
        <v>468.291</v>
      </c>
      <c r="J444">
        <v>114760</v>
      </c>
      <c r="K444">
        <v>15.304</v>
      </c>
      <c r="L444">
        <v>90.806399999999996</v>
      </c>
      <c r="M444">
        <v>1258.83</v>
      </c>
      <c r="N444">
        <v>426.87700000000001</v>
      </c>
      <c r="O444">
        <v>19610200</v>
      </c>
      <c r="P444">
        <v>2.9731899999999999E-2</v>
      </c>
      <c r="Q444">
        <v>1.43788</v>
      </c>
      <c r="R444">
        <v>31.926200000000001</v>
      </c>
      <c r="S444">
        <v>58.211599999999997</v>
      </c>
      <c r="T444">
        <v>6.9252700000000003</v>
      </c>
      <c r="U444">
        <v>1.4560999999999999</v>
      </c>
      <c r="V444">
        <v>4.2941399999999998E-2</v>
      </c>
      <c r="W444">
        <v>39.752899999999997</v>
      </c>
      <c r="X444">
        <v>16.8096</v>
      </c>
      <c r="Y444">
        <v>53.490600000000001</v>
      </c>
      <c r="Z444">
        <v>13.6046</v>
      </c>
      <c r="AA444">
        <v>5.63443</v>
      </c>
      <c r="AB444">
        <v>2.2524700000000002</v>
      </c>
      <c r="AC444">
        <v>8.2082999999999995</v>
      </c>
      <c r="AD444">
        <v>1.9152800000000001</v>
      </c>
      <c r="AE444">
        <v>16.3371</v>
      </c>
      <c r="AF444">
        <v>0</v>
      </c>
      <c r="AG444">
        <v>82.991299999999995</v>
      </c>
      <c r="AH444">
        <v>16.611799999999999</v>
      </c>
      <c r="AI444">
        <v>0.39428000000000002</v>
      </c>
      <c r="AJ444">
        <v>2.6025100000000002E-3</v>
      </c>
      <c r="AK444">
        <v>0</v>
      </c>
      <c r="AL444">
        <v>8.8000400000000006E-2</v>
      </c>
      <c r="AM444">
        <v>22.6236</v>
      </c>
      <c r="AN444">
        <v>53.106699999999996</v>
      </c>
      <c r="AO444">
        <v>15.838900000000001</v>
      </c>
      <c r="AP444">
        <v>5.4847799999999998</v>
      </c>
      <c r="AQ444">
        <v>2.3734899999999999</v>
      </c>
      <c r="AR444">
        <v>0.57255100000000003</v>
      </c>
      <c r="AS444">
        <v>0.26544099999999998</v>
      </c>
      <c r="AT444">
        <v>1.02929</v>
      </c>
      <c r="AU444">
        <v>4.6116400000000004</v>
      </c>
      <c r="AV444">
        <v>25.547499999999999</v>
      </c>
      <c r="AW444">
        <v>52.488599999999998</v>
      </c>
      <c r="AX444">
        <v>13.7699</v>
      </c>
      <c r="AY444">
        <v>2.5530599999999999</v>
      </c>
      <c r="AZ444">
        <v>582.97799999999995</v>
      </c>
      <c r="BA444">
        <v>632.99900000000002</v>
      </c>
      <c r="BB444">
        <v>17562.900000000001</v>
      </c>
      <c r="BC444">
        <v>0.34335500000000002</v>
      </c>
      <c r="BD444">
        <v>0.11190799999999999</v>
      </c>
      <c r="BE444">
        <v>0.49577700000000002</v>
      </c>
      <c r="BF444">
        <v>1.0969599999999999</v>
      </c>
      <c r="BG444">
        <v>3.9336899999999999</v>
      </c>
      <c r="BH444">
        <v>13.642300000000001</v>
      </c>
      <c r="BI444">
        <v>80.719300000000004</v>
      </c>
      <c r="BJ444">
        <v>29.460799999999999</v>
      </c>
      <c r="BK444">
        <v>0</v>
      </c>
      <c r="BL444">
        <v>40.183999999999997</v>
      </c>
      <c r="BM444">
        <v>53.1601</v>
      </c>
      <c r="BN444">
        <v>5.3611599999999999</v>
      </c>
      <c r="BO444">
        <v>0.82239200000000001</v>
      </c>
      <c r="BP444">
        <v>0.47235500000000002</v>
      </c>
      <c r="BQ444">
        <v>31.497</v>
      </c>
      <c r="BR444">
        <v>76849</v>
      </c>
    </row>
    <row r="445" spans="1:70" x14ac:dyDescent="0.25">
      <c r="A445">
        <v>43</v>
      </c>
      <c r="B445" s="7">
        <v>46024.524027777778</v>
      </c>
      <c r="C445" t="s">
        <v>164</v>
      </c>
      <c r="D445" s="6" t="s">
        <v>334</v>
      </c>
      <c r="E445" s="6" t="str">
        <f>VLOOKUP(F445,Germplasm!$A$1:$B$21,2,FALSE)</f>
        <v>Olve</v>
      </c>
      <c r="F445" t="s">
        <v>62</v>
      </c>
      <c r="G445" s="6" t="s">
        <v>113</v>
      </c>
      <c r="H445">
        <v>43670.1</v>
      </c>
      <c r="I445">
        <v>403.81700000000001</v>
      </c>
      <c r="J445">
        <v>201844</v>
      </c>
      <c r="K445">
        <v>11.4808</v>
      </c>
      <c r="L445">
        <v>72.468100000000007</v>
      </c>
      <c r="M445">
        <v>1720.28</v>
      </c>
      <c r="N445">
        <v>640.47199999999998</v>
      </c>
      <c r="O445">
        <v>23104000</v>
      </c>
      <c r="P445">
        <v>8.6207899999999997E-3</v>
      </c>
      <c r="Q445">
        <v>1.23045</v>
      </c>
      <c r="R445">
        <v>37.826999999999998</v>
      </c>
      <c r="S445">
        <v>58.953499999999998</v>
      </c>
      <c r="T445">
        <v>1.77189</v>
      </c>
      <c r="U445">
        <v>0.19017899999999999</v>
      </c>
      <c r="V445">
        <v>2.7019999999999999E-2</v>
      </c>
      <c r="W445">
        <v>35.060499999999998</v>
      </c>
      <c r="X445">
        <v>19.364999999999998</v>
      </c>
      <c r="Y445">
        <v>58.311199999999999</v>
      </c>
      <c r="Z445">
        <v>9.3187800000000003</v>
      </c>
      <c r="AA445">
        <v>2.8589199999999999</v>
      </c>
      <c r="AB445">
        <v>1.25227</v>
      </c>
      <c r="AC445">
        <v>8.8937399999999993</v>
      </c>
      <c r="AD445">
        <v>1.8845099999999999</v>
      </c>
      <c r="AE445">
        <v>20.965499999999999</v>
      </c>
      <c r="AF445">
        <v>0</v>
      </c>
      <c r="AG445">
        <v>67.31</v>
      </c>
      <c r="AH445">
        <v>31.4575</v>
      </c>
      <c r="AI445">
        <v>1.22214</v>
      </c>
      <c r="AJ445">
        <v>1.03923E-2</v>
      </c>
      <c r="AK445">
        <v>0</v>
      </c>
      <c r="AL445">
        <v>6.0690800000000003E-2</v>
      </c>
      <c r="AM445">
        <v>26.789300000000001</v>
      </c>
      <c r="AN445">
        <v>55.975099999999998</v>
      </c>
      <c r="AO445">
        <v>12.4095</v>
      </c>
      <c r="AP445">
        <v>3.70174</v>
      </c>
      <c r="AQ445">
        <v>0.90620900000000004</v>
      </c>
      <c r="AR445">
        <v>0.21823899999999999</v>
      </c>
      <c r="AS445">
        <v>0.238175</v>
      </c>
      <c r="AT445">
        <v>1.06105</v>
      </c>
      <c r="AU445">
        <v>4.8293100000000004</v>
      </c>
      <c r="AV445">
        <v>32.192300000000003</v>
      </c>
      <c r="AW445">
        <v>51.542700000000004</v>
      </c>
      <c r="AX445">
        <v>8.4863599999999995</v>
      </c>
      <c r="AY445">
        <v>1.88828</v>
      </c>
      <c r="AZ445">
        <v>529.05700000000002</v>
      </c>
      <c r="BA445">
        <v>569.40099999999995</v>
      </c>
      <c r="BB445">
        <v>23173.200000000001</v>
      </c>
      <c r="BC445">
        <v>0.32586399999999999</v>
      </c>
      <c r="BD445">
        <v>0.21408199999999999</v>
      </c>
      <c r="BE445">
        <v>0.68173600000000001</v>
      </c>
      <c r="BF445">
        <v>1.2668200000000001</v>
      </c>
      <c r="BG445">
        <v>3.7277200000000001</v>
      </c>
      <c r="BH445">
        <v>13.6441</v>
      </c>
      <c r="BI445">
        <v>80.465599999999995</v>
      </c>
      <c r="BJ445">
        <v>26.007000000000001</v>
      </c>
      <c r="BK445">
        <v>0</v>
      </c>
      <c r="BL445">
        <v>51.747500000000002</v>
      </c>
      <c r="BM445">
        <v>44.404299999999999</v>
      </c>
      <c r="BN445">
        <v>2.7466900000000001</v>
      </c>
      <c r="BO445">
        <v>0.70148100000000002</v>
      </c>
      <c r="BP445">
        <v>0.40010400000000002</v>
      </c>
      <c r="BQ445">
        <v>32.080599999999997</v>
      </c>
      <c r="BR445">
        <v>96225</v>
      </c>
    </row>
    <row r="446" spans="1:70" x14ac:dyDescent="0.25">
      <c r="A446">
        <v>43</v>
      </c>
      <c r="B446" s="7">
        <v>45952.569212962961</v>
      </c>
      <c r="C446" t="s">
        <v>165</v>
      </c>
      <c r="D446" s="6" t="s">
        <v>326</v>
      </c>
      <c r="E446" s="6" t="str">
        <f>VLOOKUP(F446,Germplasm!$A$1:$B$21,2,FALSE)</f>
        <v>Annika</v>
      </c>
      <c r="F446" t="s">
        <v>66</v>
      </c>
      <c r="G446" s="6" t="s">
        <v>113</v>
      </c>
      <c r="H446">
        <v>24608.7</v>
      </c>
      <c r="I446">
        <v>283.64600000000002</v>
      </c>
      <c r="J446">
        <v>62134.3</v>
      </c>
      <c r="K446">
        <v>21.9529</v>
      </c>
      <c r="L446">
        <v>46.651600000000002</v>
      </c>
      <c r="M446">
        <v>1037.03</v>
      </c>
      <c r="N446">
        <v>410.78100000000001</v>
      </c>
      <c r="O446">
        <v>8072340</v>
      </c>
      <c r="P446">
        <v>0.228821</v>
      </c>
      <c r="Q446">
        <v>0.62254500000000002</v>
      </c>
      <c r="R446">
        <v>3.8748</v>
      </c>
      <c r="S446">
        <v>18.9983</v>
      </c>
      <c r="T446">
        <v>47.455100000000002</v>
      </c>
      <c r="U446">
        <v>28.853899999999999</v>
      </c>
      <c r="V446">
        <v>0.19535</v>
      </c>
      <c r="W446">
        <v>120.066</v>
      </c>
      <c r="X446">
        <v>1.04759</v>
      </c>
      <c r="Y446">
        <v>1.81182</v>
      </c>
      <c r="Z446">
        <v>3.1492200000000001</v>
      </c>
      <c r="AA446">
        <v>14.7951</v>
      </c>
      <c r="AB446">
        <v>37.004899999999999</v>
      </c>
      <c r="AC446">
        <v>42.191400000000002</v>
      </c>
      <c r="AD446">
        <v>1.8041199999999999</v>
      </c>
      <c r="AE446">
        <v>6.8094700000000001</v>
      </c>
      <c r="AF446">
        <v>0</v>
      </c>
      <c r="AG446">
        <v>99.993600000000001</v>
      </c>
      <c r="AH446">
        <v>6.4401199999999997E-3</v>
      </c>
      <c r="AI446">
        <v>0</v>
      </c>
      <c r="AJ446">
        <v>0</v>
      </c>
      <c r="AK446">
        <v>0</v>
      </c>
      <c r="AL446">
        <v>0.53565099999999999</v>
      </c>
      <c r="AM446">
        <v>0.43148799999999998</v>
      </c>
      <c r="AN446">
        <v>1.50484</v>
      </c>
      <c r="AO446">
        <v>3.9392100000000001</v>
      </c>
      <c r="AP446">
        <v>14.9411</v>
      </c>
      <c r="AQ446">
        <v>44.589199999999998</v>
      </c>
      <c r="AR446">
        <v>34.594200000000001</v>
      </c>
      <c r="AS446">
        <v>1.9321399999999999E-2</v>
      </c>
      <c r="AT446">
        <v>7.8333300000000001</v>
      </c>
      <c r="AU446">
        <v>40.581299999999999</v>
      </c>
      <c r="AV446">
        <v>38.709400000000002</v>
      </c>
      <c r="AW446">
        <v>9.8018599999999996</v>
      </c>
      <c r="AX446">
        <v>1.8526100000000001</v>
      </c>
      <c r="AY446">
        <v>1.2214799999999999</v>
      </c>
      <c r="AZ446">
        <v>328.02800000000002</v>
      </c>
      <c r="BA446">
        <v>341.4</v>
      </c>
      <c r="BB446">
        <v>13640.3</v>
      </c>
      <c r="BC446">
        <v>2.8033699999999999E-3</v>
      </c>
      <c r="BD446">
        <v>2.3613800000000001E-2</v>
      </c>
      <c r="BE446">
        <v>0.37137999999999999</v>
      </c>
      <c r="BF446">
        <v>3.1234600000000001</v>
      </c>
      <c r="BG446">
        <v>44.8962</v>
      </c>
      <c r="BH446">
        <v>47.854399999999998</v>
      </c>
      <c r="BI446">
        <v>3.7309700000000001</v>
      </c>
      <c r="BJ446">
        <v>31.1188</v>
      </c>
      <c r="BK446">
        <v>0</v>
      </c>
      <c r="BL446">
        <v>33.866399999999999</v>
      </c>
      <c r="BM446">
        <v>58.587899999999998</v>
      </c>
      <c r="BN446">
        <v>6.5324299999999997</v>
      </c>
      <c r="BO446">
        <v>0.72343999999999997</v>
      </c>
      <c r="BP446">
        <v>0.28980499999999998</v>
      </c>
      <c r="BQ446">
        <v>33.676400000000001</v>
      </c>
      <c r="BR446">
        <v>46583</v>
      </c>
    </row>
    <row r="447" spans="1:70" x14ac:dyDescent="0.25">
      <c r="A447">
        <v>43</v>
      </c>
      <c r="B447" s="7">
        <v>45959.534814814811</v>
      </c>
      <c r="C447" t="s">
        <v>165</v>
      </c>
      <c r="D447" s="6" t="s">
        <v>327</v>
      </c>
      <c r="E447" s="6" t="str">
        <f>VLOOKUP(F447,Germplasm!$A$1:$B$21,2,FALSE)</f>
        <v>Annika</v>
      </c>
      <c r="F447" t="s">
        <v>66</v>
      </c>
      <c r="G447" s="6" t="s">
        <v>113</v>
      </c>
      <c r="H447">
        <v>40860.400000000001</v>
      </c>
      <c r="I447">
        <v>411.63299999999998</v>
      </c>
      <c r="J447">
        <v>181095</v>
      </c>
      <c r="K447">
        <v>12.4892</v>
      </c>
      <c r="L447">
        <v>87.858099999999993</v>
      </c>
      <c r="M447">
        <v>1632.24</v>
      </c>
      <c r="N447">
        <v>562.15099999999995</v>
      </c>
      <c r="O447">
        <v>19280800</v>
      </c>
      <c r="P447">
        <v>0.20600299999999999</v>
      </c>
      <c r="Q447">
        <v>1.4639800000000001</v>
      </c>
      <c r="R447">
        <v>4.7930099999999998</v>
      </c>
      <c r="S447">
        <v>25.087499999999999</v>
      </c>
      <c r="T447">
        <v>43.9876</v>
      </c>
      <c r="U447">
        <v>23.873100000000001</v>
      </c>
      <c r="V447">
        <v>0.79469500000000004</v>
      </c>
      <c r="W447">
        <v>123.88800000000001</v>
      </c>
      <c r="X447">
        <v>1.68004</v>
      </c>
      <c r="Y447">
        <v>2.3716699999999999</v>
      </c>
      <c r="Z447">
        <v>3.5811000000000002</v>
      </c>
      <c r="AA447">
        <v>12.8443</v>
      </c>
      <c r="AB447">
        <v>29.735299999999999</v>
      </c>
      <c r="AC447">
        <v>49.787700000000001</v>
      </c>
      <c r="AD447">
        <v>1.8065899999999999</v>
      </c>
      <c r="AE447">
        <v>6.3638700000000004</v>
      </c>
      <c r="AF447">
        <v>0</v>
      </c>
      <c r="AG447">
        <v>99.791399999999996</v>
      </c>
      <c r="AH447">
        <v>0.20860799999999999</v>
      </c>
      <c r="AI447">
        <v>0</v>
      </c>
      <c r="AJ447">
        <v>0</v>
      </c>
      <c r="AK447">
        <v>0</v>
      </c>
      <c r="AL447">
        <v>0.510042</v>
      </c>
      <c r="AM447">
        <v>0.87913200000000002</v>
      </c>
      <c r="AN447">
        <v>3.2731499999999998</v>
      </c>
      <c r="AO447">
        <v>6.6357100000000004</v>
      </c>
      <c r="AP447">
        <v>17.308199999999999</v>
      </c>
      <c r="AQ447">
        <v>41.095700000000001</v>
      </c>
      <c r="AR447">
        <v>30.8081</v>
      </c>
      <c r="AS447">
        <v>8.9598899999999999E-3</v>
      </c>
      <c r="AT447">
        <v>10.792999999999999</v>
      </c>
      <c r="AU447">
        <v>43.484699999999997</v>
      </c>
      <c r="AV447">
        <v>32.509300000000003</v>
      </c>
      <c r="AW447">
        <v>8.4697200000000006</v>
      </c>
      <c r="AX447">
        <v>2.3679399999999999</v>
      </c>
      <c r="AY447">
        <v>2.3753899999999999</v>
      </c>
      <c r="AZ447">
        <v>471.87</v>
      </c>
      <c r="BA447">
        <v>544.19899999999996</v>
      </c>
      <c r="BB447">
        <v>22617.5</v>
      </c>
      <c r="BC447">
        <v>-4.7724300000000002E-3</v>
      </c>
      <c r="BD447">
        <v>0.100579</v>
      </c>
      <c r="BE447">
        <v>0.629548</v>
      </c>
      <c r="BF447">
        <v>4.6787700000000001</v>
      </c>
      <c r="BG447">
        <v>48.867600000000003</v>
      </c>
      <c r="BH447">
        <v>39.544800000000002</v>
      </c>
      <c r="BI447">
        <v>6.1787599999999996</v>
      </c>
      <c r="BJ447">
        <v>31.060300000000002</v>
      </c>
      <c r="BK447">
        <v>0</v>
      </c>
      <c r="BL447">
        <v>39.866399999999999</v>
      </c>
      <c r="BM447">
        <v>49.994999999999997</v>
      </c>
      <c r="BN447">
        <v>7.4539900000000001</v>
      </c>
      <c r="BO447">
        <v>1.23054</v>
      </c>
      <c r="BP447">
        <v>1.45404</v>
      </c>
      <c r="BQ447">
        <v>33.643099999999997</v>
      </c>
      <c r="BR447">
        <v>80534</v>
      </c>
    </row>
    <row r="448" spans="1:70" x14ac:dyDescent="0.25">
      <c r="A448">
        <v>43</v>
      </c>
      <c r="B448" s="7">
        <v>45966.544398148151</v>
      </c>
      <c r="C448" t="s">
        <v>165</v>
      </c>
      <c r="D448" s="6" t="s">
        <v>328</v>
      </c>
      <c r="E448" s="6" t="str">
        <f>VLOOKUP(F448,Germplasm!$A$1:$B$21,2,FALSE)</f>
        <v>Annika</v>
      </c>
      <c r="F448" t="s">
        <v>66</v>
      </c>
      <c r="G448" s="6" t="s">
        <v>113</v>
      </c>
      <c r="H448">
        <v>64106.6</v>
      </c>
      <c r="I448">
        <v>511.45400000000001</v>
      </c>
      <c r="J448">
        <v>220540</v>
      </c>
      <c r="K448">
        <v>16.2956</v>
      </c>
      <c r="L448">
        <v>62.232300000000002</v>
      </c>
      <c r="M448">
        <v>1831.62</v>
      </c>
      <c r="N448">
        <v>658.48099999999999</v>
      </c>
      <c r="O448">
        <v>39094700</v>
      </c>
      <c r="P448">
        <v>0.21782099999999999</v>
      </c>
      <c r="Q448">
        <v>0.89761999999999997</v>
      </c>
      <c r="R448">
        <v>4.0958300000000003</v>
      </c>
      <c r="S448">
        <v>22.9466</v>
      </c>
      <c r="T448">
        <v>45.551699999999997</v>
      </c>
      <c r="U448">
        <v>25.789200000000001</v>
      </c>
      <c r="V448">
        <v>0.719032</v>
      </c>
      <c r="W448">
        <v>119.39100000000001</v>
      </c>
      <c r="X448">
        <v>1.4224699999999999</v>
      </c>
      <c r="Y448">
        <v>2.5696400000000001</v>
      </c>
      <c r="Z448">
        <v>3.8026</v>
      </c>
      <c r="AA448">
        <v>14.107699999999999</v>
      </c>
      <c r="AB448">
        <v>35.642800000000001</v>
      </c>
      <c r="AC448">
        <v>42.454799999999999</v>
      </c>
      <c r="AD448">
        <v>1.7838000000000001</v>
      </c>
      <c r="AE448">
        <v>6.5659200000000002</v>
      </c>
      <c r="AF448">
        <v>0</v>
      </c>
      <c r="AG448">
        <v>99.568700000000007</v>
      </c>
      <c r="AH448">
        <v>0.41956500000000002</v>
      </c>
      <c r="AI448">
        <v>1.1697900000000001E-2</v>
      </c>
      <c r="AJ448">
        <v>0</v>
      </c>
      <c r="AK448">
        <v>0</v>
      </c>
      <c r="AL448">
        <v>0.50883900000000004</v>
      </c>
      <c r="AM448">
        <v>0.95143</v>
      </c>
      <c r="AN448">
        <v>3.8306800000000001</v>
      </c>
      <c r="AO448">
        <v>7.1310500000000001</v>
      </c>
      <c r="AP448">
        <v>16.118200000000002</v>
      </c>
      <c r="AQ448">
        <v>39.437600000000003</v>
      </c>
      <c r="AR448">
        <v>32.531100000000002</v>
      </c>
      <c r="AS448">
        <v>2.57527E-2</v>
      </c>
      <c r="AT448">
        <v>7.3112000000000004</v>
      </c>
      <c r="AU448">
        <v>40.674399999999999</v>
      </c>
      <c r="AV448">
        <v>39.087400000000002</v>
      </c>
      <c r="AW448">
        <v>8.7898099999999992</v>
      </c>
      <c r="AX448">
        <v>2.2327400000000002</v>
      </c>
      <c r="AY448">
        <v>1.90442</v>
      </c>
      <c r="AZ448">
        <v>609.84</v>
      </c>
      <c r="BA448">
        <v>716.399</v>
      </c>
      <c r="BB448">
        <v>35938.199999999997</v>
      </c>
      <c r="BC448">
        <v>8.6915299999999994E-3</v>
      </c>
      <c r="BD448">
        <v>8.6564600000000005E-2</v>
      </c>
      <c r="BE448">
        <v>0.58879499999999996</v>
      </c>
      <c r="BF448">
        <v>3.0453600000000001</v>
      </c>
      <c r="BG448">
        <v>44.264099999999999</v>
      </c>
      <c r="BH448">
        <v>45.914299999999997</v>
      </c>
      <c r="BI448">
        <v>6.1008500000000003</v>
      </c>
      <c r="BJ448">
        <v>30.653300000000002</v>
      </c>
      <c r="BK448">
        <v>0</v>
      </c>
      <c r="BL448">
        <v>38.180399999999999</v>
      </c>
      <c r="BM448">
        <v>53.255099999999999</v>
      </c>
      <c r="BN448">
        <v>6.5095000000000001</v>
      </c>
      <c r="BO448">
        <v>1.11676</v>
      </c>
      <c r="BP448">
        <v>0.93817300000000003</v>
      </c>
      <c r="BQ448">
        <v>34.142099999999999</v>
      </c>
      <c r="BR448">
        <v>128228</v>
      </c>
    </row>
    <row r="449" spans="1:70" x14ac:dyDescent="0.25">
      <c r="A449">
        <v>43</v>
      </c>
      <c r="B449" s="7">
        <v>45973.563472222224</v>
      </c>
      <c r="C449" t="s">
        <v>165</v>
      </c>
      <c r="D449" s="6" t="s">
        <v>329</v>
      </c>
      <c r="E449" s="6" t="str">
        <f>VLOOKUP(F449,Germplasm!$A$1:$B$21,2,FALSE)</f>
        <v>Annika</v>
      </c>
      <c r="F449" t="s">
        <v>66</v>
      </c>
      <c r="G449" s="6" t="s">
        <v>113</v>
      </c>
      <c r="H449">
        <v>82433.399999999994</v>
      </c>
      <c r="I449">
        <v>568.34699999999998</v>
      </c>
      <c r="J449">
        <v>254091</v>
      </c>
      <c r="K449">
        <v>17.847000000000001</v>
      </c>
      <c r="L449">
        <v>68.231300000000005</v>
      </c>
      <c r="M449">
        <v>1899.14</v>
      </c>
      <c r="N449">
        <v>707.94799999999998</v>
      </c>
      <c r="O449">
        <v>56425100</v>
      </c>
      <c r="P449">
        <v>0.22827</v>
      </c>
      <c r="Q449">
        <v>0.719472</v>
      </c>
      <c r="R449">
        <v>3.4430200000000002</v>
      </c>
      <c r="S449">
        <v>20.485700000000001</v>
      </c>
      <c r="T449">
        <v>46.594499999999996</v>
      </c>
      <c r="U449">
        <v>27.961500000000001</v>
      </c>
      <c r="V449">
        <v>0.79574299999999998</v>
      </c>
      <c r="W449">
        <v>114.93600000000001</v>
      </c>
      <c r="X449">
        <v>1.2822</v>
      </c>
      <c r="Y449">
        <v>2.48272</v>
      </c>
      <c r="Z449">
        <v>4.4555600000000002</v>
      </c>
      <c r="AA449">
        <v>17.904499999999999</v>
      </c>
      <c r="AB449">
        <v>38.059899999999999</v>
      </c>
      <c r="AC449">
        <v>35.815100000000001</v>
      </c>
      <c r="AD449">
        <v>1.8178099999999999</v>
      </c>
      <c r="AE449">
        <v>6.6138700000000004</v>
      </c>
      <c r="AF449">
        <v>0</v>
      </c>
      <c r="AG449">
        <v>99.660700000000006</v>
      </c>
      <c r="AH449">
        <v>0.312892</v>
      </c>
      <c r="AI449">
        <v>2.6424699999999999E-2</v>
      </c>
      <c r="AJ449">
        <v>0</v>
      </c>
      <c r="AK449">
        <v>0</v>
      </c>
      <c r="AL449">
        <v>0.49309999999999998</v>
      </c>
      <c r="AM449">
        <v>0.987923</v>
      </c>
      <c r="AN449">
        <v>4.2045300000000001</v>
      </c>
      <c r="AO449">
        <v>8.3706200000000006</v>
      </c>
      <c r="AP449">
        <v>17.715900000000001</v>
      </c>
      <c r="AQ449">
        <v>40.898200000000003</v>
      </c>
      <c r="AR449">
        <v>27.822800000000001</v>
      </c>
      <c r="AS449">
        <v>5.2604600000000001E-2</v>
      </c>
      <c r="AT449">
        <v>4.8026900000000001</v>
      </c>
      <c r="AU449">
        <v>36.744700000000002</v>
      </c>
      <c r="AV449">
        <v>41.811100000000003</v>
      </c>
      <c r="AW449">
        <v>11.992599999999999</v>
      </c>
      <c r="AX449">
        <v>2.8058200000000002</v>
      </c>
      <c r="AY449">
        <v>1.8431200000000001</v>
      </c>
      <c r="AZ449">
        <v>684.49199999999996</v>
      </c>
      <c r="BA449">
        <v>769.2</v>
      </c>
      <c r="BB449">
        <v>45347.6</v>
      </c>
      <c r="BC449">
        <v>2.6711800000000001E-2</v>
      </c>
      <c r="BD449">
        <v>0.11771</v>
      </c>
      <c r="BE449">
        <v>0.41138400000000003</v>
      </c>
      <c r="BF449">
        <v>2.1908500000000002</v>
      </c>
      <c r="BG449">
        <v>38.825099999999999</v>
      </c>
      <c r="BH449">
        <v>50.868699999999997</v>
      </c>
      <c r="BI449">
        <v>7.58629</v>
      </c>
      <c r="BJ449">
        <v>31.4574</v>
      </c>
      <c r="BK449">
        <v>0</v>
      </c>
      <c r="BL449">
        <v>35.024099999999997</v>
      </c>
      <c r="BM449">
        <v>55.822699999999998</v>
      </c>
      <c r="BN449">
        <v>7.0571900000000003</v>
      </c>
      <c r="BO449">
        <v>1.0822099999999999</v>
      </c>
      <c r="BP449">
        <v>1.0137499999999999</v>
      </c>
      <c r="BQ449">
        <v>33.4238</v>
      </c>
      <c r="BR449">
        <v>166511</v>
      </c>
    </row>
    <row r="450" spans="1:70" x14ac:dyDescent="0.25">
      <c r="A450">
        <v>43</v>
      </c>
      <c r="B450" s="7">
        <v>45988.559907407405</v>
      </c>
      <c r="C450" t="s">
        <v>165</v>
      </c>
      <c r="D450" s="6" t="s">
        <v>330</v>
      </c>
      <c r="E450" s="6" t="str">
        <f>VLOOKUP(F450,Germplasm!$A$1:$B$21,2,FALSE)</f>
        <v>Annika</v>
      </c>
      <c r="F450" t="s">
        <v>66</v>
      </c>
      <c r="G450" s="6" t="s">
        <v>113</v>
      </c>
      <c r="H450">
        <v>74375.8</v>
      </c>
      <c r="I450">
        <v>555.49199999999996</v>
      </c>
      <c r="J450">
        <v>242526</v>
      </c>
      <c r="K450">
        <v>18.2012</v>
      </c>
      <c r="L450">
        <v>69.164500000000004</v>
      </c>
      <c r="M450">
        <v>1856.52</v>
      </c>
      <c r="N450">
        <v>694.12099999999998</v>
      </c>
      <c r="O450">
        <v>52224600</v>
      </c>
      <c r="P450">
        <v>0.19703100000000001</v>
      </c>
      <c r="Q450">
        <v>1.7527900000000001</v>
      </c>
      <c r="R450">
        <v>7.83575</v>
      </c>
      <c r="S450">
        <v>22.372499999999999</v>
      </c>
      <c r="T450">
        <v>41.630600000000001</v>
      </c>
      <c r="U450">
        <v>25.865100000000002</v>
      </c>
      <c r="V450">
        <v>0.54317199999999999</v>
      </c>
      <c r="W450">
        <v>88.547799999999995</v>
      </c>
      <c r="X450">
        <v>4.80131</v>
      </c>
      <c r="Y450">
        <v>10.285399999999999</v>
      </c>
      <c r="Z450">
        <v>10.3073</v>
      </c>
      <c r="AA450">
        <v>33.401400000000002</v>
      </c>
      <c r="AB450">
        <v>29.7349</v>
      </c>
      <c r="AC450">
        <v>11.4697</v>
      </c>
      <c r="AD450">
        <v>1.6849000000000001</v>
      </c>
      <c r="AE450">
        <v>9.1228999999999996</v>
      </c>
      <c r="AF450">
        <v>0</v>
      </c>
      <c r="AG450">
        <v>97.444000000000003</v>
      </c>
      <c r="AH450">
        <v>2.5560100000000001</v>
      </c>
      <c r="AI450">
        <v>0</v>
      </c>
      <c r="AJ450">
        <v>0</v>
      </c>
      <c r="AK450">
        <v>0</v>
      </c>
      <c r="AL450">
        <v>0.36754100000000001</v>
      </c>
      <c r="AM450">
        <v>3.1115599999999999</v>
      </c>
      <c r="AN450">
        <v>14.0572</v>
      </c>
      <c r="AO450">
        <v>18.116599999999998</v>
      </c>
      <c r="AP450">
        <v>25.464400000000001</v>
      </c>
      <c r="AQ450">
        <v>28.375499999999999</v>
      </c>
      <c r="AR450">
        <v>10.874700000000001</v>
      </c>
      <c r="AS450">
        <v>0.19733300000000001</v>
      </c>
      <c r="AT450">
        <v>1.02105</v>
      </c>
      <c r="AU450">
        <v>11.460100000000001</v>
      </c>
      <c r="AV450">
        <v>42.543100000000003</v>
      </c>
      <c r="AW450">
        <v>33.608600000000003</v>
      </c>
      <c r="AX450">
        <v>7.7034799999999999</v>
      </c>
      <c r="AY450">
        <v>3.6637400000000002</v>
      </c>
      <c r="AZ450">
        <v>702.173</v>
      </c>
      <c r="BA450">
        <v>769.19899999999996</v>
      </c>
      <c r="BB450">
        <v>44142.5</v>
      </c>
      <c r="BC450">
        <v>0.15632199999999999</v>
      </c>
      <c r="BD450">
        <v>5.9664500000000002E-2</v>
      </c>
      <c r="BE450">
        <v>0.20150799999999999</v>
      </c>
      <c r="BF450">
        <v>0.76325600000000005</v>
      </c>
      <c r="BG450">
        <v>11.449400000000001</v>
      </c>
      <c r="BH450">
        <v>55.756500000000003</v>
      </c>
      <c r="BI450">
        <v>31.7697</v>
      </c>
      <c r="BJ450">
        <v>35.483800000000002</v>
      </c>
      <c r="BK450">
        <v>0</v>
      </c>
      <c r="BL450">
        <v>24.9741</v>
      </c>
      <c r="BM450">
        <v>62.200299999999999</v>
      </c>
      <c r="BN450">
        <v>9.5423799999999996</v>
      </c>
      <c r="BO450">
        <v>1.5400199999999999</v>
      </c>
      <c r="BP450">
        <v>1.74322</v>
      </c>
      <c r="BQ450">
        <v>36.460700000000003</v>
      </c>
      <c r="BR450">
        <v>177660</v>
      </c>
    </row>
    <row r="451" spans="1:70" x14ac:dyDescent="0.25">
      <c r="A451">
        <v>43</v>
      </c>
      <c r="B451" s="7">
        <v>45994.569444444445</v>
      </c>
      <c r="C451" t="s">
        <v>165</v>
      </c>
      <c r="D451" s="6" t="s">
        <v>331</v>
      </c>
      <c r="E451" s="6" t="str">
        <f>VLOOKUP(F451,Germplasm!$A$1:$B$21,2,FALSE)</f>
        <v>Annika</v>
      </c>
      <c r="F451" t="s">
        <v>66</v>
      </c>
      <c r="G451" s="6" t="s">
        <v>113</v>
      </c>
      <c r="H451">
        <v>64570.7</v>
      </c>
      <c r="I451">
        <v>524.84299999999996</v>
      </c>
      <c r="J451">
        <v>233887</v>
      </c>
      <c r="K451">
        <v>15.864800000000001</v>
      </c>
      <c r="L451">
        <v>72.724599999999995</v>
      </c>
      <c r="M451">
        <v>1830.98</v>
      </c>
      <c r="N451">
        <v>677.36</v>
      </c>
      <c r="O451">
        <v>45308600</v>
      </c>
      <c r="P451">
        <v>0.20190900000000001</v>
      </c>
      <c r="Q451">
        <v>0.61048999999999998</v>
      </c>
      <c r="R451">
        <v>7.1158099999999997</v>
      </c>
      <c r="S451">
        <v>25.516200000000001</v>
      </c>
      <c r="T451">
        <v>41.773699999999998</v>
      </c>
      <c r="U451">
        <v>24.6371</v>
      </c>
      <c r="V451">
        <v>0.346715</v>
      </c>
      <c r="W451">
        <v>88.588899999999995</v>
      </c>
      <c r="X451">
        <v>3.4895800000000001</v>
      </c>
      <c r="Y451">
        <v>10.8848</v>
      </c>
      <c r="Z451">
        <v>11.353899999999999</v>
      </c>
      <c r="AA451">
        <v>34.646299999999997</v>
      </c>
      <c r="AB451">
        <v>28.979900000000001</v>
      </c>
      <c r="AC451">
        <v>10.6455</v>
      </c>
      <c r="AD451">
        <v>1.7401899999999999</v>
      </c>
      <c r="AE451">
        <v>8.9136000000000006</v>
      </c>
      <c r="AF451">
        <v>0</v>
      </c>
      <c r="AG451">
        <v>96.877499999999998</v>
      </c>
      <c r="AH451">
        <v>3.1197499999999998</v>
      </c>
      <c r="AI451">
        <v>2.0395000000000001E-3</v>
      </c>
      <c r="AJ451">
        <v>6.7983300000000002E-4</v>
      </c>
      <c r="AK451">
        <v>0</v>
      </c>
      <c r="AL451">
        <v>0.357657</v>
      </c>
      <c r="AM451">
        <v>3.6765400000000001</v>
      </c>
      <c r="AN451">
        <v>15.159599999999999</v>
      </c>
      <c r="AO451">
        <v>18.0183</v>
      </c>
      <c r="AP451">
        <v>25.431899999999999</v>
      </c>
      <c r="AQ451">
        <v>27.658300000000001</v>
      </c>
      <c r="AR451">
        <v>10.055400000000001</v>
      </c>
      <c r="AS451">
        <v>0.18270800000000001</v>
      </c>
      <c r="AT451">
        <v>0.92321299999999995</v>
      </c>
      <c r="AU451">
        <v>10.791</v>
      </c>
      <c r="AV451">
        <v>44.446100000000001</v>
      </c>
      <c r="AW451">
        <v>35.645000000000003</v>
      </c>
      <c r="AX451">
        <v>6.3149699999999998</v>
      </c>
      <c r="AY451">
        <v>1.87974</v>
      </c>
      <c r="AZ451">
        <v>701.69</v>
      </c>
      <c r="BA451">
        <v>768.59900000000005</v>
      </c>
      <c r="BB451">
        <v>37105.699999999997</v>
      </c>
      <c r="BC451">
        <v>0.151003</v>
      </c>
      <c r="BD451">
        <v>4.2149600000000002E-2</v>
      </c>
      <c r="BE451">
        <v>0.19443199999999999</v>
      </c>
      <c r="BF451">
        <v>0.79608400000000001</v>
      </c>
      <c r="BG451">
        <v>10.6815</v>
      </c>
      <c r="BH451">
        <v>57.731400000000001</v>
      </c>
      <c r="BI451">
        <v>30.554400000000001</v>
      </c>
      <c r="BJ451">
        <v>33.354500000000002</v>
      </c>
      <c r="BK451">
        <v>0</v>
      </c>
      <c r="BL451">
        <v>27.861599999999999</v>
      </c>
      <c r="BM451">
        <v>62.259099999999997</v>
      </c>
      <c r="BN451">
        <v>8.4102099999999993</v>
      </c>
      <c r="BO451">
        <v>0.95108599999999999</v>
      </c>
      <c r="BP451">
        <v>0.51803299999999997</v>
      </c>
      <c r="BQ451">
        <v>35.122199999999999</v>
      </c>
      <c r="BR451">
        <v>147095</v>
      </c>
    </row>
    <row r="452" spans="1:70" x14ac:dyDescent="0.25">
      <c r="A452">
        <v>43</v>
      </c>
      <c r="B452" s="7">
        <v>46002.561620370368</v>
      </c>
      <c r="C452" t="s">
        <v>165</v>
      </c>
      <c r="D452" s="6" t="s">
        <v>332</v>
      </c>
      <c r="E452" s="6" t="str">
        <f>VLOOKUP(F452,Germplasm!$A$1:$B$21,2,FALSE)</f>
        <v>Annika</v>
      </c>
      <c r="F452" t="s">
        <v>66</v>
      </c>
      <c r="G452" s="6" t="s">
        <v>113</v>
      </c>
      <c r="H452">
        <v>64827.5</v>
      </c>
      <c r="I452">
        <v>496.70699999999999</v>
      </c>
      <c r="J452">
        <v>221598</v>
      </c>
      <c r="K452">
        <v>16.056799999999999</v>
      </c>
      <c r="L452">
        <v>84.452799999999996</v>
      </c>
      <c r="M452">
        <v>1750.3</v>
      </c>
      <c r="N452">
        <v>617.75900000000001</v>
      </c>
      <c r="O452">
        <v>45537500</v>
      </c>
      <c r="P452">
        <v>0.179671</v>
      </c>
      <c r="Q452">
        <v>0.55029600000000001</v>
      </c>
      <c r="R452">
        <v>7.5319700000000003</v>
      </c>
      <c r="S452">
        <v>33.254100000000001</v>
      </c>
      <c r="T452">
        <v>39.100099999999998</v>
      </c>
      <c r="U452">
        <v>19.290099999999999</v>
      </c>
      <c r="V452">
        <v>0.27345999999999998</v>
      </c>
      <c r="W452">
        <v>77.314899999999994</v>
      </c>
      <c r="X452">
        <v>3.8075100000000002</v>
      </c>
      <c r="Y452">
        <v>18.253</v>
      </c>
      <c r="Z452">
        <v>18.2212</v>
      </c>
      <c r="AA452">
        <v>34.347299999999997</v>
      </c>
      <c r="AB452">
        <v>19.021999999999998</v>
      </c>
      <c r="AC452">
        <v>6.3490000000000002</v>
      </c>
      <c r="AD452">
        <v>1.8219399999999999</v>
      </c>
      <c r="AE452">
        <v>10.504300000000001</v>
      </c>
      <c r="AF452">
        <v>0</v>
      </c>
      <c r="AG452">
        <v>95.544300000000007</v>
      </c>
      <c r="AH452">
        <v>4.4530099999999999</v>
      </c>
      <c r="AI452">
        <v>2.7008399999999999E-3</v>
      </c>
      <c r="AJ452">
        <v>0</v>
      </c>
      <c r="AK452">
        <v>0</v>
      </c>
      <c r="AL452">
        <v>0.27995300000000001</v>
      </c>
      <c r="AM452">
        <v>7.1234700000000002</v>
      </c>
      <c r="AN452">
        <v>24.608699999999999</v>
      </c>
      <c r="AO452">
        <v>21.6067</v>
      </c>
      <c r="AP452">
        <v>21.945</v>
      </c>
      <c r="AQ452">
        <v>19.982800000000001</v>
      </c>
      <c r="AR452">
        <v>4.7332200000000002</v>
      </c>
      <c r="AS452">
        <v>0.237896</v>
      </c>
      <c r="AT452">
        <v>0.56920199999999999</v>
      </c>
      <c r="AU452">
        <v>5.7568400000000004</v>
      </c>
      <c r="AV452">
        <v>35.747</v>
      </c>
      <c r="AW452">
        <v>42.712499999999999</v>
      </c>
      <c r="AX452">
        <v>12.829700000000001</v>
      </c>
      <c r="AY452">
        <v>2.3848400000000001</v>
      </c>
      <c r="AZ452">
        <v>702.44200000000001</v>
      </c>
      <c r="BA452">
        <v>770.99900000000002</v>
      </c>
      <c r="BB452">
        <v>35581.5</v>
      </c>
      <c r="BC452">
        <v>0.226239</v>
      </c>
      <c r="BD452">
        <v>7.8324400000000002E-2</v>
      </c>
      <c r="BE452">
        <v>0.15462300000000001</v>
      </c>
      <c r="BF452">
        <v>0.51180899999999996</v>
      </c>
      <c r="BG452">
        <v>5.5812900000000001</v>
      </c>
      <c r="BH452">
        <v>45.295099999999998</v>
      </c>
      <c r="BI452">
        <v>48.378799999999998</v>
      </c>
      <c r="BJ452">
        <v>34.7483</v>
      </c>
      <c r="BK452">
        <v>0</v>
      </c>
      <c r="BL452">
        <v>25.720800000000001</v>
      </c>
      <c r="BM452">
        <v>61.958599999999997</v>
      </c>
      <c r="BN452">
        <v>10.893800000000001</v>
      </c>
      <c r="BO452">
        <v>0.88249999999999995</v>
      </c>
      <c r="BP452">
        <v>0.54422000000000004</v>
      </c>
      <c r="BQ452">
        <v>33.329900000000002</v>
      </c>
      <c r="BR452">
        <v>148102</v>
      </c>
    </row>
    <row r="453" spans="1:70" x14ac:dyDescent="0.25">
      <c r="A453">
        <v>43</v>
      </c>
      <c r="B453" s="7">
        <v>46013.585833333331</v>
      </c>
      <c r="C453" t="s">
        <v>165</v>
      </c>
      <c r="D453" s="6" t="s">
        <v>333</v>
      </c>
      <c r="E453" s="6" t="str">
        <f>VLOOKUP(F453,Germplasm!$A$1:$B$21,2,FALSE)</f>
        <v>Annika</v>
      </c>
      <c r="F453" t="s">
        <v>66</v>
      </c>
      <c r="G453" s="6" t="s">
        <v>113</v>
      </c>
      <c r="H453">
        <v>37403.9</v>
      </c>
      <c r="I453">
        <v>565.04600000000005</v>
      </c>
      <c r="J453">
        <v>114164</v>
      </c>
      <c r="K453">
        <v>17.8291</v>
      </c>
      <c r="L453">
        <v>67.319699999999997</v>
      </c>
      <c r="M453">
        <v>1258.8699999999999</v>
      </c>
      <c r="N453">
        <v>463.11399999999998</v>
      </c>
      <c r="O453">
        <v>25197700</v>
      </c>
      <c r="P453">
        <v>5.0729900000000001E-2</v>
      </c>
      <c r="Q453">
        <v>1.3358699999999999</v>
      </c>
      <c r="R453">
        <v>21.011099999999999</v>
      </c>
      <c r="S453">
        <v>66.061099999999996</v>
      </c>
      <c r="T453">
        <v>8.9836899999999993</v>
      </c>
      <c r="U453">
        <v>2.4472100000000001</v>
      </c>
      <c r="V453">
        <v>0.16103100000000001</v>
      </c>
      <c r="W453">
        <v>43.873800000000003</v>
      </c>
      <c r="X453">
        <v>10.6813</v>
      </c>
      <c r="Y453">
        <v>56.5456</v>
      </c>
      <c r="Z453">
        <v>17.293800000000001</v>
      </c>
      <c r="AA453">
        <v>7.6183300000000003</v>
      </c>
      <c r="AB453">
        <v>1.78268</v>
      </c>
      <c r="AC453">
        <v>6.0783399999999999</v>
      </c>
      <c r="AD453">
        <v>1.8376399999999999</v>
      </c>
      <c r="AE453">
        <v>16.640499999999999</v>
      </c>
      <c r="AF453">
        <v>0</v>
      </c>
      <c r="AG453">
        <v>82.117699999999999</v>
      </c>
      <c r="AH453">
        <v>17.7531</v>
      </c>
      <c r="AI453">
        <v>0.11680400000000001</v>
      </c>
      <c r="AJ453">
        <v>1.24742E-2</v>
      </c>
      <c r="AK453">
        <v>0</v>
      </c>
      <c r="AL453">
        <v>7.3644399999999999E-2</v>
      </c>
      <c r="AM453">
        <v>26.150500000000001</v>
      </c>
      <c r="AN453">
        <v>52.951900000000002</v>
      </c>
      <c r="AO453">
        <v>13.086600000000001</v>
      </c>
      <c r="AP453">
        <v>5.2527699999999999</v>
      </c>
      <c r="AQ453">
        <v>1.8529899999999999</v>
      </c>
      <c r="AR453">
        <v>0.70535899999999996</v>
      </c>
      <c r="AS453">
        <v>0.28808299999999998</v>
      </c>
      <c r="AT453">
        <v>0.72577199999999997</v>
      </c>
      <c r="AU453">
        <v>3.4258700000000002</v>
      </c>
      <c r="AV453">
        <v>22.6112</v>
      </c>
      <c r="AW453">
        <v>51.797400000000003</v>
      </c>
      <c r="AX453">
        <v>18.318899999999999</v>
      </c>
      <c r="AY453">
        <v>3.1208200000000001</v>
      </c>
      <c r="AZ453">
        <v>673.66399999999999</v>
      </c>
      <c r="BA453">
        <v>776.99900000000002</v>
      </c>
      <c r="BB453">
        <v>20354.400000000001</v>
      </c>
      <c r="BC453">
        <v>0.37454500000000002</v>
      </c>
      <c r="BD453">
        <v>0.14968999999999999</v>
      </c>
      <c r="BE453">
        <v>0.39577200000000001</v>
      </c>
      <c r="BF453">
        <v>0.77566900000000005</v>
      </c>
      <c r="BG453">
        <v>2.8214399999999999</v>
      </c>
      <c r="BH453">
        <v>12.058</v>
      </c>
      <c r="BI453">
        <v>83.799400000000006</v>
      </c>
      <c r="BJ453">
        <v>31.5075</v>
      </c>
      <c r="BK453">
        <v>0</v>
      </c>
      <c r="BL453">
        <v>36.840899999999998</v>
      </c>
      <c r="BM453">
        <v>52.883800000000001</v>
      </c>
      <c r="BN453">
        <v>8.3248300000000004</v>
      </c>
      <c r="BO453">
        <v>0.84484400000000004</v>
      </c>
      <c r="BP453">
        <v>1.1056699999999999</v>
      </c>
      <c r="BQ453">
        <v>32.997799999999998</v>
      </c>
      <c r="BR453">
        <v>88182</v>
      </c>
    </row>
    <row r="454" spans="1:70" x14ac:dyDescent="0.25">
      <c r="A454">
        <v>43</v>
      </c>
      <c r="B454" s="7">
        <v>46024.524027777778</v>
      </c>
      <c r="C454" t="s">
        <v>165</v>
      </c>
      <c r="D454" s="6" t="s">
        <v>334</v>
      </c>
      <c r="E454" s="6" t="str">
        <f>VLOOKUP(F454,Germplasm!$A$1:$B$21,2,FALSE)</f>
        <v>Annika</v>
      </c>
      <c r="F454" t="s">
        <v>66</v>
      </c>
      <c r="G454" s="6" t="s">
        <v>113</v>
      </c>
      <c r="H454">
        <v>35565.699999999997</v>
      </c>
      <c r="I454">
        <v>490.61700000000002</v>
      </c>
      <c r="J454">
        <v>141285</v>
      </c>
      <c r="K454">
        <v>13.4161</v>
      </c>
      <c r="L454">
        <v>60.085099999999997</v>
      </c>
      <c r="M454">
        <v>1501.07</v>
      </c>
      <c r="N454">
        <v>573.09900000000005</v>
      </c>
      <c r="O454">
        <v>21160500</v>
      </c>
      <c r="P454">
        <v>2.1605300000000001E-2</v>
      </c>
      <c r="Q454">
        <v>0.98352700000000004</v>
      </c>
      <c r="R454">
        <v>27.732099999999999</v>
      </c>
      <c r="S454">
        <v>68.728999999999999</v>
      </c>
      <c r="T454">
        <v>2.22357</v>
      </c>
      <c r="U454">
        <v>0.30879600000000001</v>
      </c>
      <c r="V454">
        <v>2.3098899999999999E-2</v>
      </c>
      <c r="W454">
        <v>38.750900000000001</v>
      </c>
      <c r="X454">
        <v>13.8241</v>
      </c>
      <c r="Y454">
        <v>59.9587</v>
      </c>
      <c r="Z454">
        <v>14.1402</v>
      </c>
      <c r="AA454">
        <v>3.6520600000000001</v>
      </c>
      <c r="AB454">
        <v>1.2193799999999999</v>
      </c>
      <c r="AC454">
        <v>7.2056399999999998</v>
      </c>
      <c r="AD454">
        <v>1.8763300000000001</v>
      </c>
      <c r="AE454">
        <v>19.3033</v>
      </c>
      <c r="AF454">
        <v>0</v>
      </c>
      <c r="AG454">
        <v>73.815600000000003</v>
      </c>
      <c r="AH454">
        <v>25.580200000000001</v>
      </c>
      <c r="AI454">
        <v>0.587198</v>
      </c>
      <c r="AJ454">
        <v>1.7020199999999999E-2</v>
      </c>
      <c r="AK454">
        <v>0</v>
      </c>
      <c r="AL454">
        <v>4.6202500000000001E-2</v>
      </c>
      <c r="AM454">
        <v>31.3002</v>
      </c>
      <c r="AN454">
        <v>54.4405</v>
      </c>
      <c r="AO454">
        <v>9.9288799999999995</v>
      </c>
      <c r="AP454">
        <v>3.0137999999999998</v>
      </c>
      <c r="AQ454">
        <v>0.987174</v>
      </c>
      <c r="AR454">
        <v>0.32946300000000001</v>
      </c>
      <c r="AS454">
        <v>0.23144200000000001</v>
      </c>
      <c r="AT454">
        <v>0.63825900000000002</v>
      </c>
      <c r="AU454">
        <v>3.7152799999999999</v>
      </c>
      <c r="AV454">
        <v>35.853099999999998</v>
      </c>
      <c r="AW454">
        <v>51.7926</v>
      </c>
      <c r="AX454">
        <v>6.1090499999999999</v>
      </c>
      <c r="AY454">
        <v>1.89168</v>
      </c>
      <c r="AZ454">
        <v>594.96900000000005</v>
      </c>
      <c r="BA454">
        <v>681.601</v>
      </c>
      <c r="BB454">
        <v>18954.900000000001</v>
      </c>
      <c r="BC454">
        <v>0.330793</v>
      </c>
      <c r="BD454">
        <v>0.143456</v>
      </c>
      <c r="BE454">
        <v>0.38174000000000002</v>
      </c>
      <c r="BF454">
        <v>0.70147700000000002</v>
      </c>
      <c r="BG454">
        <v>3.1268600000000002</v>
      </c>
      <c r="BH454">
        <v>13.2636</v>
      </c>
      <c r="BI454">
        <v>82.382800000000003</v>
      </c>
      <c r="BJ454">
        <v>24.8916</v>
      </c>
      <c r="BK454">
        <v>0</v>
      </c>
      <c r="BL454">
        <v>57.510199999999998</v>
      </c>
      <c r="BM454">
        <v>38.920400000000001</v>
      </c>
      <c r="BN454">
        <v>2.4083600000000001</v>
      </c>
      <c r="BO454">
        <v>0.76469500000000001</v>
      </c>
      <c r="BP454">
        <v>0.39632800000000001</v>
      </c>
      <c r="BQ454">
        <v>32.231099999999998</v>
      </c>
      <c r="BR454">
        <v>82255</v>
      </c>
    </row>
    <row r="455" spans="1:70" x14ac:dyDescent="0.25">
      <c r="A455">
        <v>43</v>
      </c>
      <c r="B455" s="7">
        <v>45952.569212962961</v>
      </c>
      <c r="C455" t="s">
        <v>163</v>
      </c>
      <c r="D455" s="6" t="s">
        <v>326</v>
      </c>
      <c r="E455" s="6" t="str">
        <f>VLOOKUP(F455,Germplasm!$A$1:$B$21,2,FALSE)</f>
        <v>Bredo</v>
      </c>
      <c r="F455" t="s">
        <v>79</v>
      </c>
      <c r="G455" s="6" t="s">
        <v>113</v>
      </c>
      <c r="H455">
        <v>27902.9</v>
      </c>
      <c r="I455">
        <v>277.36700000000002</v>
      </c>
      <c r="J455">
        <v>89266.4</v>
      </c>
      <c r="K455">
        <v>17.9909</v>
      </c>
      <c r="L455">
        <v>60.361600000000003</v>
      </c>
      <c r="M455">
        <v>1192.46</v>
      </c>
      <c r="N455">
        <v>471.00700000000001</v>
      </c>
      <c r="O455">
        <v>9400640</v>
      </c>
      <c r="P455">
        <v>0.23638500000000001</v>
      </c>
      <c r="Q455">
        <v>0.504</v>
      </c>
      <c r="R455">
        <v>3.5190299999999999</v>
      </c>
      <c r="S455">
        <v>19.101800000000001</v>
      </c>
      <c r="T455">
        <v>45.745600000000003</v>
      </c>
      <c r="U455">
        <v>30.64</v>
      </c>
      <c r="V455">
        <v>0.489651</v>
      </c>
      <c r="W455">
        <v>119.044</v>
      </c>
      <c r="X455">
        <v>0.71564399999999995</v>
      </c>
      <c r="Y455">
        <v>1.5927100000000001</v>
      </c>
      <c r="Z455">
        <v>3.6356099999999998</v>
      </c>
      <c r="AA455">
        <v>16.7288</v>
      </c>
      <c r="AB455">
        <v>36.964199999999998</v>
      </c>
      <c r="AC455">
        <v>40.363</v>
      </c>
      <c r="AD455">
        <v>1.73743</v>
      </c>
      <c r="AE455">
        <v>6.5946499999999997</v>
      </c>
      <c r="AF455">
        <v>0</v>
      </c>
      <c r="AG455">
        <v>99.942599999999999</v>
      </c>
      <c r="AH455">
        <v>5.7395000000000002E-2</v>
      </c>
      <c r="AI455">
        <v>0</v>
      </c>
      <c r="AJ455">
        <v>0</v>
      </c>
      <c r="AK455">
        <v>0</v>
      </c>
      <c r="AL455">
        <v>0.53411500000000001</v>
      </c>
      <c r="AM455">
        <v>0.33181500000000003</v>
      </c>
      <c r="AN455">
        <v>1.9424600000000001</v>
      </c>
      <c r="AO455">
        <v>4.3064200000000001</v>
      </c>
      <c r="AP455">
        <v>15.206099999999999</v>
      </c>
      <c r="AQ455">
        <v>43.252499999999998</v>
      </c>
      <c r="AR455">
        <v>34.960700000000003</v>
      </c>
      <c r="AS455">
        <v>2.2619899999999998E-2</v>
      </c>
      <c r="AT455">
        <v>8.9464400000000008</v>
      </c>
      <c r="AU455">
        <v>37.260100000000001</v>
      </c>
      <c r="AV455">
        <v>40.327199999999998</v>
      </c>
      <c r="AW455">
        <v>10.4208</v>
      </c>
      <c r="AX455">
        <v>1.9370799999999999</v>
      </c>
      <c r="AY455">
        <v>1.1084400000000001</v>
      </c>
      <c r="AZ455">
        <v>336.90499999999997</v>
      </c>
      <c r="BA455">
        <v>343.2</v>
      </c>
      <c r="BB455">
        <v>16059.9</v>
      </c>
      <c r="BC455">
        <v>2.5395000000000001E-3</v>
      </c>
      <c r="BD455">
        <v>3.7665499999999998E-2</v>
      </c>
      <c r="BE455">
        <v>0.40714600000000001</v>
      </c>
      <c r="BF455">
        <v>3.7504</v>
      </c>
      <c r="BG455">
        <v>42.009500000000003</v>
      </c>
      <c r="BH455">
        <v>50.378399999999999</v>
      </c>
      <c r="BI455">
        <v>3.4167999999999998</v>
      </c>
      <c r="BJ455">
        <v>31.764900000000001</v>
      </c>
      <c r="BK455">
        <v>0</v>
      </c>
      <c r="BL455">
        <v>32.950099999999999</v>
      </c>
      <c r="BM455">
        <v>58.194899999999997</v>
      </c>
      <c r="BN455">
        <v>7.7160399999999996</v>
      </c>
      <c r="BO455">
        <v>0.79097499999999998</v>
      </c>
      <c r="BP455">
        <v>0.34795700000000002</v>
      </c>
      <c r="BQ455">
        <v>35.161900000000003</v>
      </c>
      <c r="BR455">
        <v>55754</v>
      </c>
    </row>
    <row r="456" spans="1:70" x14ac:dyDescent="0.25">
      <c r="A456">
        <v>43</v>
      </c>
      <c r="B456" s="7">
        <v>45959.534814814811</v>
      </c>
      <c r="C456" t="s">
        <v>163</v>
      </c>
      <c r="D456" s="6" t="s">
        <v>327</v>
      </c>
      <c r="E456" s="6" t="str">
        <f>VLOOKUP(F456,Germplasm!$A$1:$B$21,2,FALSE)</f>
        <v>Bredo</v>
      </c>
      <c r="F456" t="s">
        <v>79</v>
      </c>
      <c r="G456" s="6" t="s">
        <v>113</v>
      </c>
      <c r="H456">
        <v>54806</v>
      </c>
      <c r="I456">
        <v>333.68700000000001</v>
      </c>
      <c r="J456">
        <v>171702</v>
      </c>
      <c r="K456">
        <v>18.691800000000001</v>
      </c>
      <c r="L456">
        <v>58.097700000000003</v>
      </c>
      <c r="M456">
        <v>1618.93</v>
      </c>
      <c r="N456">
        <v>626.54499999999996</v>
      </c>
      <c r="O456">
        <v>23228300</v>
      </c>
      <c r="P456">
        <v>0.23105999999999999</v>
      </c>
      <c r="Q456">
        <v>0.677562</v>
      </c>
      <c r="R456">
        <v>3.8670399999999998</v>
      </c>
      <c r="S456">
        <v>19.334299999999999</v>
      </c>
      <c r="T456">
        <v>46.663800000000002</v>
      </c>
      <c r="U456">
        <v>28.768999999999998</v>
      </c>
      <c r="V456">
        <v>0.68833100000000003</v>
      </c>
      <c r="W456">
        <v>121.809</v>
      </c>
      <c r="X456">
        <v>0.95666300000000004</v>
      </c>
      <c r="Y456">
        <v>1.76345</v>
      </c>
      <c r="Z456">
        <v>3.3267799999999998</v>
      </c>
      <c r="AA456">
        <v>13.283799999999999</v>
      </c>
      <c r="AB456">
        <v>35.598500000000001</v>
      </c>
      <c r="AC456">
        <v>45.070900000000002</v>
      </c>
      <c r="AD456">
        <v>1.70766</v>
      </c>
      <c r="AE456">
        <v>6.5895900000000003</v>
      </c>
      <c r="AF456">
        <v>0</v>
      </c>
      <c r="AG456">
        <v>99.763099999999994</v>
      </c>
      <c r="AH456">
        <v>0.23692199999999999</v>
      </c>
      <c r="AI456">
        <v>0</v>
      </c>
      <c r="AJ456">
        <v>0</v>
      </c>
      <c r="AK456">
        <v>0</v>
      </c>
      <c r="AL456">
        <v>0.53382200000000002</v>
      </c>
      <c r="AM456">
        <v>0.653331</v>
      </c>
      <c r="AN456">
        <v>2.5783200000000002</v>
      </c>
      <c r="AO456">
        <v>4.8578000000000001</v>
      </c>
      <c r="AP456">
        <v>13.9398</v>
      </c>
      <c r="AQ456">
        <v>40.741599999999998</v>
      </c>
      <c r="AR456">
        <v>37.229100000000003</v>
      </c>
      <c r="AS456">
        <v>5.1790400000000002E-3</v>
      </c>
      <c r="AT456">
        <v>10.1518</v>
      </c>
      <c r="AU456">
        <v>41.045000000000002</v>
      </c>
      <c r="AV456">
        <v>37.1402</v>
      </c>
      <c r="AW456">
        <v>8.6727900000000009</v>
      </c>
      <c r="AX456">
        <v>1.85589</v>
      </c>
      <c r="AY456">
        <v>1.13435</v>
      </c>
      <c r="AZ456">
        <v>423.82799999999997</v>
      </c>
      <c r="BA456">
        <v>501.59899999999999</v>
      </c>
      <c r="BB456">
        <v>32094.2</v>
      </c>
      <c r="BC456">
        <v>-4.5955800000000002E-3</v>
      </c>
      <c r="BD456">
        <v>7.0897199999999994E-2</v>
      </c>
      <c r="BE456">
        <v>0.76730500000000001</v>
      </c>
      <c r="BF456">
        <v>3.7736999999999998</v>
      </c>
      <c r="BG456">
        <v>46.582999999999998</v>
      </c>
      <c r="BH456">
        <v>44.366399999999999</v>
      </c>
      <c r="BI456">
        <v>4.4386999999999999</v>
      </c>
      <c r="BJ456">
        <v>31.509599999999999</v>
      </c>
      <c r="BK456">
        <v>0</v>
      </c>
      <c r="BL456">
        <v>33.589100000000002</v>
      </c>
      <c r="BM456">
        <v>57.919400000000003</v>
      </c>
      <c r="BN456">
        <v>6.9748400000000004</v>
      </c>
      <c r="BO456">
        <v>0.856151</v>
      </c>
      <c r="BP456">
        <v>0.66051000000000004</v>
      </c>
      <c r="BQ456">
        <v>35.890799999999999</v>
      </c>
      <c r="BR456">
        <v>111429</v>
      </c>
    </row>
    <row r="457" spans="1:70" x14ac:dyDescent="0.25">
      <c r="A457">
        <v>43</v>
      </c>
      <c r="B457" s="7">
        <v>45966.544398148151</v>
      </c>
      <c r="C457" t="s">
        <v>163</v>
      </c>
      <c r="D457" s="6" t="s">
        <v>328</v>
      </c>
      <c r="E457" s="6" t="str">
        <f>VLOOKUP(F457,Germplasm!$A$1:$B$21,2,FALSE)</f>
        <v>Bredo</v>
      </c>
      <c r="F457" t="s">
        <v>79</v>
      </c>
      <c r="G457" s="6" t="s">
        <v>113</v>
      </c>
      <c r="H457">
        <v>67836.2</v>
      </c>
      <c r="I457">
        <v>478.005</v>
      </c>
      <c r="J457">
        <v>180258</v>
      </c>
      <c r="K457">
        <v>21.8628</v>
      </c>
      <c r="L457">
        <v>79.134900000000002</v>
      </c>
      <c r="M457">
        <v>1577.39</v>
      </c>
      <c r="N457">
        <v>571.86199999999997</v>
      </c>
      <c r="O457">
        <v>39444200</v>
      </c>
      <c r="P457">
        <v>0.23089699999999999</v>
      </c>
      <c r="Q457">
        <v>0.510042</v>
      </c>
      <c r="R457">
        <v>3.1743999999999999</v>
      </c>
      <c r="S457">
        <v>19.0702</v>
      </c>
      <c r="T457">
        <v>48.892499999999998</v>
      </c>
      <c r="U457">
        <v>27.873100000000001</v>
      </c>
      <c r="V457">
        <v>0.47969899999999999</v>
      </c>
      <c r="W457">
        <v>105.91</v>
      </c>
      <c r="X457">
        <v>1.17252</v>
      </c>
      <c r="Y457">
        <v>4.7009100000000004</v>
      </c>
      <c r="Z457">
        <v>9.7550899999999992</v>
      </c>
      <c r="AA457">
        <v>24.134499999999999</v>
      </c>
      <c r="AB457">
        <v>32.2699</v>
      </c>
      <c r="AC457">
        <v>27.967099999999999</v>
      </c>
      <c r="AD457">
        <v>1.72132</v>
      </c>
      <c r="AE457">
        <v>6.9484199999999996</v>
      </c>
      <c r="AF457">
        <v>0</v>
      </c>
      <c r="AG457">
        <v>99.909700000000001</v>
      </c>
      <c r="AH457">
        <v>8.8859999999999995E-2</v>
      </c>
      <c r="AI457">
        <v>0</v>
      </c>
      <c r="AJ457">
        <v>1.4448799999999999E-3</v>
      </c>
      <c r="AK457">
        <v>0</v>
      </c>
      <c r="AL457">
        <v>0.473217</v>
      </c>
      <c r="AM457">
        <v>1.1096699999999999</v>
      </c>
      <c r="AN457">
        <v>5.15388</v>
      </c>
      <c r="AO457">
        <v>9.1944800000000004</v>
      </c>
      <c r="AP457">
        <v>20.617699999999999</v>
      </c>
      <c r="AQ457">
        <v>40.711599999999997</v>
      </c>
      <c r="AR457">
        <v>23.212700000000002</v>
      </c>
      <c r="AS457">
        <v>0.11233700000000001</v>
      </c>
      <c r="AT457">
        <v>3.9871400000000001</v>
      </c>
      <c r="AU457">
        <v>28.425799999999999</v>
      </c>
      <c r="AV457">
        <v>37.101599999999998</v>
      </c>
      <c r="AW457">
        <v>20.3872</v>
      </c>
      <c r="AX457">
        <v>7.8370199999999999</v>
      </c>
      <c r="AY457">
        <v>2.2612299999999999</v>
      </c>
      <c r="AZ457">
        <v>581.46299999999997</v>
      </c>
      <c r="BA457">
        <v>611.399</v>
      </c>
      <c r="BB457">
        <v>39409.4</v>
      </c>
      <c r="BC457">
        <v>7.2409600000000005E-2</v>
      </c>
      <c r="BD457">
        <v>3.9734100000000001E-2</v>
      </c>
      <c r="BE457">
        <v>0.28825299999999998</v>
      </c>
      <c r="BF457">
        <v>1.82416</v>
      </c>
      <c r="BG457">
        <v>30.2608</v>
      </c>
      <c r="BH457">
        <v>50.721699999999998</v>
      </c>
      <c r="BI457">
        <v>16.865300000000001</v>
      </c>
      <c r="BJ457">
        <v>34.140300000000003</v>
      </c>
      <c r="BK457">
        <v>0</v>
      </c>
      <c r="BL457">
        <v>26.923100000000002</v>
      </c>
      <c r="BM457">
        <v>60.629199999999997</v>
      </c>
      <c r="BN457">
        <v>10.754200000000001</v>
      </c>
      <c r="BO457">
        <v>1.0251399999999999</v>
      </c>
      <c r="BP457">
        <v>0.66825599999999996</v>
      </c>
      <c r="BQ457">
        <v>35.567100000000003</v>
      </c>
      <c r="BR457">
        <v>138420</v>
      </c>
    </row>
    <row r="458" spans="1:70" x14ac:dyDescent="0.25">
      <c r="A458">
        <v>43</v>
      </c>
      <c r="B458" s="7">
        <v>45973.563472222224</v>
      </c>
      <c r="C458" t="s">
        <v>163</v>
      </c>
      <c r="D458" s="6" t="s">
        <v>329</v>
      </c>
      <c r="E458" s="6" t="str">
        <f>VLOOKUP(F458,Germplasm!$A$1:$B$21,2,FALSE)</f>
        <v>Bredo</v>
      </c>
      <c r="F458" t="s">
        <v>79</v>
      </c>
      <c r="G458" s="6" t="s">
        <v>113</v>
      </c>
      <c r="H458">
        <v>73173.5</v>
      </c>
      <c r="I458">
        <v>473.09699999999998</v>
      </c>
      <c r="J458">
        <v>198210</v>
      </c>
      <c r="K458">
        <v>21.566600000000001</v>
      </c>
      <c r="L458">
        <v>76.239000000000004</v>
      </c>
      <c r="M458">
        <v>1650.68</v>
      </c>
      <c r="N458">
        <v>571.27099999999996</v>
      </c>
      <c r="O458">
        <v>43663400</v>
      </c>
      <c r="P458">
        <v>0.19828799999999999</v>
      </c>
      <c r="Q458">
        <v>1.06105</v>
      </c>
      <c r="R458">
        <v>9.8163900000000002</v>
      </c>
      <c r="S458">
        <v>23.053899999999999</v>
      </c>
      <c r="T458">
        <v>39.4758</v>
      </c>
      <c r="U458">
        <v>26.107199999999999</v>
      </c>
      <c r="V458">
        <v>0.48571199999999998</v>
      </c>
      <c r="W458">
        <v>96.053799999999995</v>
      </c>
      <c r="X458">
        <v>5.6453300000000004</v>
      </c>
      <c r="Y458">
        <v>10.8452</v>
      </c>
      <c r="Z458">
        <v>7.8728800000000003</v>
      </c>
      <c r="AA458">
        <v>21.3338</v>
      </c>
      <c r="AB458">
        <v>32.286999999999999</v>
      </c>
      <c r="AC458">
        <v>22.015899999999998</v>
      </c>
      <c r="AD458">
        <v>1.7117800000000001</v>
      </c>
      <c r="AE458">
        <v>7.1048900000000001</v>
      </c>
      <c r="AF458">
        <v>0</v>
      </c>
      <c r="AG458">
        <v>99.737700000000004</v>
      </c>
      <c r="AH458">
        <v>0.26097999999999999</v>
      </c>
      <c r="AI458">
        <v>1.3180799999999999E-3</v>
      </c>
      <c r="AJ458">
        <v>0</v>
      </c>
      <c r="AK458">
        <v>0</v>
      </c>
      <c r="AL458">
        <v>0.43669599999999997</v>
      </c>
      <c r="AM458">
        <v>1.92374</v>
      </c>
      <c r="AN458">
        <v>9.6246100000000006</v>
      </c>
      <c r="AO458">
        <v>13.811500000000001</v>
      </c>
      <c r="AP458">
        <v>17.376200000000001</v>
      </c>
      <c r="AQ458">
        <v>35.082599999999999</v>
      </c>
      <c r="AR458">
        <v>22.1813</v>
      </c>
      <c r="AS458">
        <v>0.14483799999999999</v>
      </c>
      <c r="AT458">
        <v>2.4424000000000001</v>
      </c>
      <c r="AU458">
        <v>22.7685</v>
      </c>
      <c r="AV458">
        <v>39.1417</v>
      </c>
      <c r="AW458">
        <v>24.3139</v>
      </c>
      <c r="AX458">
        <v>8.6274800000000003</v>
      </c>
      <c r="AY458">
        <v>2.7060200000000001</v>
      </c>
      <c r="AZ458">
        <v>596.71100000000001</v>
      </c>
      <c r="BA458">
        <v>644.70000000000005</v>
      </c>
      <c r="BB458">
        <v>42747.1</v>
      </c>
      <c r="BC458">
        <v>0.104919</v>
      </c>
      <c r="BD458">
        <v>7.3153399999999993E-2</v>
      </c>
      <c r="BE458">
        <v>0.298545</v>
      </c>
      <c r="BF458">
        <v>1.3490500000000001</v>
      </c>
      <c r="BG458">
        <v>23.484200000000001</v>
      </c>
      <c r="BH458">
        <v>51.801200000000001</v>
      </c>
      <c r="BI458">
        <v>22.9939</v>
      </c>
      <c r="BJ458">
        <v>33.935600000000001</v>
      </c>
      <c r="BK458">
        <v>0</v>
      </c>
      <c r="BL458">
        <v>28.643799999999999</v>
      </c>
      <c r="BM458">
        <v>59.010399999999997</v>
      </c>
      <c r="BN458">
        <v>10.2349</v>
      </c>
      <c r="BO458">
        <v>1.1935199999999999</v>
      </c>
      <c r="BP458">
        <v>0.91738299999999995</v>
      </c>
      <c r="BQ458">
        <v>35.797400000000003</v>
      </c>
      <c r="BR458">
        <v>151736</v>
      </c>
    </row>
    <row r="459" spans="1:70" x14ac:dyDescent="0.25">
      <c r="A459">
        <v>43</v>
      </c>
      <c r="B459" s="7">
        <v>45988.559907407405</v>
      </c>
      <c r="C459" t="s">
        <v>163</v>
      </c>
      <c r="D459" s="6" t="s">
        <v>330</v>
      </c>
      <c r="E459" s="6" t="str">
        <f>VLOOKUP(F459,Germplasm!$A$1:$B$21,2,FALSE)</f>
        <v>Bredo</v>
      </c>
      <c r="F459" t="s">
        <v>79</v>
      </c>
      <c r="G459" s="6" t="s">
        <v>113</v>
      </c>
      <c r="H459">
        <v>68808</v>
      </c>
      <c r="I459">
        <v>484.14100000000002</v>
      </c>
      <c r="J459">
        <v>177479</v>
      </c>
      <c r="K459">
        <v>22.342199999999998</v>
      </c>
      <c r="L459">
        <v>78.781099999999995</v>
      </c>
      <c r="M459">
        <v>1588.98</v>
      </c>
      <c r="N459">
        <v>562.55499999999995</v>
      </c>
      <c r="O459">
        <v>42301600</v>
      </c>
      <c r="P459">
        <v>0.154415</v>
      </c>
      <c r="Q459">
        <v>1.5432900000000001</v>
      </c>
      <c r="R459">
        <v>14.0261</v>
      </c>
      <c r="S459">
        <v>29.988800000000001</v>
      </c>
      <c r="T459">
        <v>37.603499999999997</v>
      </c>
      <c r="U459">
        <v>16.3626</v>
      </c>
      <c r="V459">
        <v>0.475798</v>
      </c>
      <c r="W459">
        <v>76.575699999999998</v>
      </c>
      <c r="X459">
        <v>8.4027600000000007</v>
      </c>
      <c r="Y459">
        <v>20.210799999999999</v>
      </c>
      <c r="Z459">
        <v>12.466699999999999</v>
      </c>
      <c r="AA459">
        <v>26.4374</v>
      </c>
      <c r="AB459">
        <v>20.803100000000001</v>
      </c>
      <c r="AC459">
        <v>11.6793</v>
      </c>
      <c r="AD459">
        <v>1.73526</v>
      </c>
      <c r="AE459">
        <v>8.6307299999999998</v>
      </c>
      <c r="AF459">
        <v>0</v>
      </c>
      <c r="AG459">
        <v>98.534000000000006</v>
      </c>
      <c r="AH459">
        <v>1.44156</v>
      </c>
      <c r="AI459">
        <v>2.4465899999999999E-2</v>
      </c>
      <c r="AJ459">
        <v>0</v>
      </c>
      <c r="AK459">
        <v>0</v>
      </c>
      <c r="AL459">
        <v>0.34071699999999999</v>
      </c>
      <c r="AM459">
        <v>3.4754499999999999</v>
      </c>
      <c r="AN459">
        <v>19.594000000000001</v>
      </c>
      <c r="AO459">
        <v>18.133099999999999</v>
      </c>
      <c r="AP459">
        <v>22.8718</v>
      </c>
      <c r="AQ459">
        <v>27.5016</v>
      </c>
      <c r="AR459">
        <v>8.4240100000000009</v>
      </c>
      <c r="AS459">
        <v>0.23597000000000001</v>
      </c>
      <c r="AT459">
        <v>1.1383099999999999</v>
      </c>
      <c r="AU459">
        <v>10.9504</v>
      </c>
      <c r="AV459">
        <v>33.150100000000002</v>
      </c>
      <c r="AW459">
        <v>34.613500000000002</v>
      </c>
      <c r="AX459">
        <v>15.566800000000001</v>
      </c>
      <c r="AY459">
        <v>4.5809199999999999</v>
      </c>
      <c r="AZ459">
        <v>614.77800000000002</v>
      </c>
      <c r="BA459">
        <v>658.79899999999998</v>
      </c>
      <c r="BB459">
        <v>39652.699999999997</v>
      </c>
      <c r="BC459">
        <v>0.19625699999999999</v>
      </c>
      <c r="BD459">
        <v>7.9192399999999996E-2</v>
      </c>
      <c r="BE459">
        <v>0.25946799999999998</v>
      </c>
      <c r="BF459">
        <v>0.88206099999999998</v>
      </c>
      <c r="BG459">
        <v>10.866099999999999</v>
      </c>
      <c r="BH459">
        <v>46.010800000000003</v>
      </c>
      <c r="BI459">
        <v>41.9024</v>
      </c>
      <c r="BJ459">
        <v>35.736800000000002</v>
      </c>
      <c r="BK459">
        <v>0</v>
      </c>
      <c r="BL459">
        <v>25.1355</v>
      </c>
      <c r="BM459">
        <v>59.588099999999997</v>
      </c>
      <c r="BN459">
        <v>12.332800000000001</v>
      </c>
      <c r="BO459">
        <v>1.6121799999999999</v>
      </c>
      <c r="BP459">
        <v>1.3314600000000001</v>
      </c>
      <c r="BQ459">
        <v>35.236899999999999</v>
      </c>
      <c r="BR459">
        <v>155318</v>
      </c>
    </row>
    <row r="460" spans="1:70" x14ac:dyDescent="0.25">
      <c r="A460">
        <v>43</v>
      </c>
      <c r="B460" s="7">
        <v>45994.569444444445</v>
      </c>
      <c r="C460" t="s">
        <v>163</v>
      </c>
      <c r="D460" s="6" t="s">
        <v>331</v>
      </c>
      <c r="E460" s="6" t="str">
        <f>VLOOKUP(F460,Germplasm!$A$1:$B$21,2,FALSE)</f>
        <v>Bredo</v>
      </c>
      <c r="F460" t="s">
        <v>79</v>
      </c>
      <c r="G460" s="6" t="s">
        <v>113</v>
      </c>
      <c r="H460">
        <v>52308.4</v>
      </c>
      <c r="I460">
        <v>487.19</v>
      </c>
      <c r="J460">
        <v>144404</v>
      </c>
      <c r="K460">
        <v>20.492899999999999</v>
      </c>
      <c r="L460">
        <v>82.003600000000006</v>
      </c>
      <c r="M460">
        <v>1418.76</v>
      </c>
      <c r="N460">
        <v>492.52</v>
      </c>
      <c r="O460">
        <v>31041700</v>
      </c>
      <c r="P460">
        <v>0.119783</v>
      </c>
      <c r="Q460">
        <v>1.5656099999999999</v>
      </c>
      <c r="R460">
        <v>19.912199999999999</v>
      </c>
      <c r="S460">
        <v>35.054699999999997</v>
      </c>
      <c r="T460">
        <v>32.150700000000001</v>
      </c>
      <c r="U460">
        <v>10.912100000000001</v>
      </c>
      <c r="V460">
        <v>0.404692</v>
      </c>
      <c r="W460">
        <v>69.183400000000006</v>
      </c>
      <c r="X460">
        <v>12.206799999999999</v>
      </c>
      <c r="Y460">
        <v>24.183800000000002</v>
      </c>
      <c r="Z460">
        <v>12.1365</v>
      </c>
      <c r="AA460">
        <v>22.310300000000002</v>
      </c>
      <c r="AB460">
        <v>17.135100000000001</v>
      </c>
      <c r="AC460">
        <v>12.0276</v>
      </c>
      <c r="AD460">
        <v>1.7676099999999999</v>
      </c>
      <c r="AE460">
        <v>9.1721299999999992</v>
      </c>
      <c r="AF460">
        <v>0</v>
      </c>
      <c r="AG460">
        <v>98.325500000000005</v>
      </c>
      <c r="AH460">
        <v>1.65821</v>
      </c>
      <c r="AI460">
        <v>1.6290599999999999E-2</v>
      </c>
      <c r="AJ460">
        <v>0</v>
      </c>
      <c r="AK460">
        <v>0</v>
      </c>
      <c r="AL460">
        <v>0.29137400000000002</v>
      </c>
      <c r="AM460">
        <v>4.8700200000000002</v>
      </c>
      <c r="AN460">
        <v>25.102900000000002</v>
      </c>
      <c r="AO460">
        <v>22.648199999999999</v>
      </c>
      <c r="AP460">
        <v>21.389500000000002</v>
      </c>
      <c r="AQ460">
        <v>20.442900000000002</v>
      </c>
      <c r="AR460">
        <v>5.5465099999999996</v>
      </c>
      <c r="AS460">
        <v>0.23421500000000001</v>
      </c>
      <c r="AT460">
        <v>0.93884999999999996</v>
      </c>
      <c r="AU460">
        <v>10.7561</v>
      </c>
      <c r="AV460">
        <v>32.701999999999998</v>
      </c>
      <c r="AW460">
        <v>36.691499999999998</v>
      </c>
      <c r="AX460">
        <v>14.9573</v>
      </c>
      <c r="AY460">
        <v>3.9543200000000001</v>
      </c>
      <c r="AZ460">
        <v>593.43700000000001</v>
      </c>
      <c r="BA460">
        <v>665.399</v>
      </c>
      <c r="BB460">
        <v>29592.7</v>
      </c>
      <c r="BC460">
        <v>0.21543100000000001</v>
      </c>
      <c r="BD460">
        <v>0.120893</v>
      </c>
      <c r="BE460">
        <v>0.234927</v>
      </c>
      <c r="BF460">
        <v>0.823102</v>
      </c>
      <c r="BG460">
        <v>10.51</v>
      </c>
      <c r="BH460">
        <v>40.133899999999997</v>
      </c>
      <c r="BI460">
        <v>48.177199999999999</v>
      </c>
      <c r="BJ460">
        <v>33.437600000000003</v>
      </c>
      <c r="BK460">
        <v>0</v>
      </c>
      <c r="BL460">
        <v>31.104700000000001</v>
      </c>
      <c r="BM460">
        <v>56.655999999999999</v>
      </c>
      <c r="BN460">
        <v>9.7366100000000007</v>
      </c>
      <c r="BO460">
        <v>1.32125</v>
      </c>
      <c r="BP460">
        <v>1.1814899999999999</v>
      </c>
      <c r="BQ460">
        <v>34.494700000000002</v>
      </c>
      <c r="BR460">
        <v>116632</v>
      </c>
    </row>
    <row r="461" spans="1:70" x14ac:dyDescent="0.25">
      <c r="A461">
        <v>43</v>
      </c>
      <c r="B461" s="7">
        <v>46002.561620370368</v>
      </c>
      <c r="C461" t="s">
        <v>163</v>
      </c>
      <c r="D461" s="6" t="s">
        <v>332</v>
      </c>
      <c r="E461" s="6" t="str">
        <f>VLOOKUP(F461,Germplasm!$A$1:$B$21,2,FALSE)</f>
        <v>Bredo</v>
      </c>
      <c r="F461" t="s">
        <v>79</v>
      </c>
      <c r="G461" s="6" t="s">
        <v>113</v>
      </c>
      <c r="H461">
        <v>39357.300000000003</v>
      </c>
      <c r="I461">
        <v>532.00300000000004</v>
      </c>
      <c r="J461">
        <v>145599</v>
      </c>
      <c r="K461">
        <v>14.1198</v>
      </c>
      <c r="L461">
        <v>77.781599999999997</v>
      </c>
      <c r="M461">
        <v>1463.32</v>
      </c>
      <c r="N461">
        <v>535.69299999999998</v>
      </c>
      <c r="O461">
        <v>23656200</v>
      </c>
      <c r="P461">
        <v>8.8192400000000004E-2</v>
      </c>
      <c r="Q461">
        <v>1.5434600000000001</v>
      </c>
      <c r="R461">
        <v>26.741900000000001</v>
      </c>
      <c r="S461">
        <v>40.076000000000001</v>
      </c>
      <c r="T461">
        <v>23.658300000000001</v>
      </c>
      <c r="U461">
        <v>7.5037200000000004</v>
      </c>
      <c r="V461">
        <v>0.47668899999999997</v>
      </c>
      <c r="W461">
        <v>57.047400000000003</v>
      </c>
      <c r="X461">
        <v>16.380199999999999</v>
      </c>
      <c r="Y461">
        <v>31.8809</v>
      </c>
      <c r="Z461">
        <v>13.026899999999999</v>
      </c>
      <c r="AA461">
        <v>17.382100000000001</v>
      </c>
      <c r="AB461">
        <v>11.583600000000001</v>
      </c>
      <c r="AC461">
        <v>9.7462400000000002</v>
      </c>
      <c r="AD461">
        <v>1.91442</v>
      </c>
      <c r="AE461">
        <v>9.7856900000000007</v>
      </c>
      <c r="AF461">
        <v>0</v>
      </c>
      <c r="AG461">
        <v>97.441500000000005</v>
      </c>
      <c r="AH461">
        <v>2.4715099999999999</v>
      </c>
      <c r="AI461">
        <v>8.6970900000000004E-2</v>
      </c>
      <c r="AJ461">
        <v>0</v>
      </c>
      <c r="AK461">
        <v>0</v>
      </c>
      <c r="AL461">
        <v>0.23313999999999999</v>
      </c>
      <c r="AM461">
        <v>6.8585900000000004</v>
      </c>
      <c r="AN461">
        <v>34.3018</v>
      </c>
      <c r="AO461">
        <v>25.565000000000001</v>
      </c>
      <c r="AP461">
        <v>16.898800000000001</v>
      </c>
      <c r="AQ461">
        <v>12.2783</v>
      </c>
      <c r="AR461">
        <v>4.0975400000000004</v>
      </c>
      <c r="AS461">
        <v>0.26380199999999998</v>
      </c>
      <c r="AT461">
        <v>0.84989300000000001</v>
      </c>
      <c r="AU461">
        <v>7.5389400000000002</v>
      </c>
      <c r="AV461">
        <v>28.615600000000001</v>
      </c>
      <c r="AW461">
        <v>41.301299999999998</v>
      </c>
      <c r="AX461">
        <v>16.8459</v>
      </c>
      <c r="AY461">
        <v>4.8483499999999999</v>
      </c>
      <c r="AZ461">
        <v>601.06299999999999</v>
      </c>
      <c r="BA461">
        <v>665.99900000000002</v>
      </c>
      <c r="BB461">
        <v>20558.400000000001</v>
      </c>
      <c r="BC461">
        <v>0.261102</v>
      </c>
      <c r="BD461">
        <v>6.7154699999999998E-2</v>
      </c>
      <c r="BE461">
        <v>0.20366600000000001</v>
      </c>
      <c r="BF461">
        <v>0.82897600000000005</v>
      </c>
      <c r="BG461">
        <v>7.2857399999999997</v>
      </c>
      <c r="BH461">
        <v>31.0519</v>
      </c>
      <c r="BI461">
        <v>60.562600000000003</v>
      </c>
      <c r="BJ461">
        <v>33.4925</v>
      </c>
      <c r="BK461">
        <v>0</v>
      </c>
      <c r="BL461">
        <v>32.198999999999998</v>
      </c>
      <c r="BM461">
        <v>54.713500000000003</v>
      </c>
      <c r="BN461">
        <v>10.0952</v>
      </c>
      <c r="BO461">
        <v>1.9992300000000001</v>
      </c>
      <c r="BP461">
        <v>0.99300900000000003</v>
      </c>
      <c r="BQ461">
        <v>31.5168</v>
      </c>
      <c r="BR461">
        <v>90835</v>
      </c>
    </row>
    <row r="462" spans="1:70" x14ac:dyDescent="0.25">
      <c r="A462">
        <v>43</v>
      </c>
      <c r="B462" s="7">
        <v>46013.585833333331</v>
      </c>
      <c r="C462" t="s">
        <v>163</v>
      </c>
      <c r="D462" s="6" t="s">
        <v>333</v>
      </c>
      <c r="E462" s="6" t="str">
        <f>VLOOKUP(F462,Germplasm!$A$1:$B$21,2,FALSE)</f>
        <v>Bredo</v>
      </c>
      <c r="F462" t="s">
        <v>79</v>
      </c>
      <c r="G462" s="6" t="s">
        <v>113</v>
      </c>
      <c r="H462">
        <v>38385.300000000003</v>
      </c>
      <c r="I462">
        <v>533.80799999999999</v>
      </c>
      <c r="J462">
        <v>97968.6</v>
      </c>
      <c r="K462">
        <v>19.942799999999998</v>
      </c>
      <c r="L462">
        <v>71.272099999999995</v>
      </c>
      <c r="M462">
        <v>1250.28</v>
      </c>
      <c r="N462">
        <v>471.38600000000002</v>
      </c>
      <c r="O462">
        <v>22122000</v>
      </c>
      <c r="P462">
        <v>2.99151E-2</v>
      </c>
      <c r="Q462">
        <v>1.86093</v>
      </c>
      <c r="R462">
        <v>33.433300000000003</v>
      </c>
      <c r="S462">
        <v>53.650100000000002</v>
      </c>
      <c r="T462">
        <v>9.5448699999999995</v>
      </c>
      <c r="U462">
        <v>1.3553599999999999</v>
      </c>
      <c r="V462">
        <v>0.15537599999999999</v>
      </c>
      <c r="W462">
        <v>40.5199</v>
      </c>
      <c r="X462">
        <v>19.7423</v>
      </c>
      <c r="Y462">
        <v>49.8626</v>
      </c>
      <c r="Z462">
        <v>13.181900000000001</v>
      </c>
      <c r="AA462">
        <v>8.1847300000000001</v>
      </c>
      <c r="AB462">
        <v>2.7919900000000002</v>
      </c>
      <c r="AC462">
        <v>6.2365500000000003</v>
      </c>
      <c r="AD462">
        <v>1.96468</v>
      </c>
      <c r="AE462">
        <v>12.9506</v>
      </c>
      <c r="AF462">
        <v>0</v>
      </c>
      <c r="AG462">
        <v>93.402500000000003</v>
      </c>
      <c r="AH462">
        <v>6.5747999999999998</v>
      </c>
      <c r="AI462">
        <v>2.2708800000000001E-2</v>
      </c>
      <c r="AJ462">
        <v>0</v>
      </c>
      <c r="AK462">
        <v>0</v>
      </c>
      <c r="AL462">
        <v>0.13567000000000001</v>
      </c>
      <c r="AM462">
        <v>10.326499999999999</v>
      </c>
      <c r="AN462">
        <v>53.083599999999997</v>
      </c>
      <c r="AO462">
        <v>25.091999999999999</v>
      </c>
      <c r="AP462">
        <v>8.5982699999999994</v>
      </c>
      <c r="AQ462">
        <v>2.0390100000000002</v>
      </c>
      <c r="AR462">
        <v>0.86054399999999998</v>
      </c>
      <c r="AS462">
        <v>0.29026600000000002</v>
      </c>
      <c r="AT462">
        <v>0.52110699999999999</v>
      </c>
      <c r="AU462">
        <v>3.3142900000000002</v>
      </c>
      <c r="AV462">
        <v>24.050999999999998</v>
      </c>
      <c r="AW462">
        <v>50.884399999999999</v>
      </c>
      <c r="AX462">
        <v>16.652699999999999</v>
      </c>
      <c r="AY462">
        <v>4.5764199999999997</v>
      </c>
      <c r="AZ462">
        <v>576.31600000000003</v>
      </c>
      <c r="BA462">
        <v>661.19899999999996</v>
      </c>
      <c r="BB462">
        <v>19537.7</v>
      </c>
      <c r="BC462">
        <v>0.33110299999999998</v>
      </c>
      <c r="BD462">
        <v>6.8126400000000004E-2</v>
      </c>
      <c r="BE462">
        <v>0.184061</v>
      </c>
      <c r="BF462">
        <v>0.548597</v>
      </c>
      <c r="BG462">
        <v>3.0322200000000001</v>
      </c>
      <c r="BH462">
        <v>16.667100000000001</v>
      </c>
      <c r="BI462">
        <v>79.499899999999997</v>
      </c>
      <c r="BJ462">
        <v>31.673400000000001</v>
      </c>
      <c r="BK462">
        <v>0</v>
      </c>
      <c r="BL462">
        <v>36.15</v>
      </c>
      <c r="BM462">
        <v>54.017099999999999</v>
      </c>
      <c r="BN462">
        <v>7.4198000000000004</v>
      </c>
      <c r="BO462">
        <v>1.37687</v>
      </c>
      <c r="BP462">
        <v>1.03624</v>
      </c>
      <c r="BQ462">
        <v>30.621700000000001</v>
      </c>
      <c r="BR462">
        <v>83668</v>
      </c>
    </row>
    <row r="463" spans="1:70" x14ac:dyDescent="0.25">
      <c r="A463">
        <v>43</v>
      </c>
      <c r="B463" s="7">
        <v>46024.524027777778</v>
      </c>
      <c r="C463" t="s">
        <v>163</v>
      </c>
      <c r="D463" s="6" t="s">
        <v>334</v>
      </c>
      <c r="E463" s="6" t="str">
        <f>VLOOKUP(F463,Germplasm!$A$1:$B$21,2,FALSE)</f>
        <v>Bredo</v>
      </c>
      <c r="F463" t="s">
        <v>79</v>
      </c>
      <c r="G463" s="6" t="s">
        <v>113</v>
      </c>
      <c r="H463">
        <v>43572.7</v>
      </c>
      <c r="I463">
        <v>398.423</v>
      </c>
      <c r="J463">
        <v>125363</v>
      </c>
      <c r="K463">
        <v>17.740100000000002</v>
      </c>
      <c r="L463">
        <v>84.194699999999997</v>
      </c>
      <c r="M463">
        <v>1328.26</v>
      </c>
      <c r="N463">
        <v>471.61900000000003</v>
      </c>
      <c r="O463">
        <v>18743100</v>
      </c>
      <c r="P463">
        <v>9.4420400000000005E-3</v>
      </c>
      <c r="Q463">
        <v>1.2457</v>
      </c>
      <c r="R463">
        <v>40.407400000000003</v>
      </c>
      <c r="S463">
        <v>55.0959</v>
      </c>
      <c r="T463">
        <v>2.6259299999999999</v>
      </c>
      <c r="U463">
        <v>0.60589599999999999</v>
      </c>
      <c r="V463">
        <v>1.9216899999999999E-2</v>
      </c>
      <c r="W463">
        <v>34.549100000000003</v>
      </c>
      <c r="X463">
        <v>22.5029</v>
      </c>
      <c r="Y463">
        <v>58.812600000000003</v>
      </c>
      <c r="Z463">
        <v>9.1686999999999994</v>
      </c>
      <c r="AA463">
        <v>3.0249600000000001</v>
      </c>
      <c r="AB463">
        <v>1.00267</v>
      </c>
      <c r="AC463">
        <v>5.4881099999999998</v>
      </c>
      <c r="AD463">
        <v>1.9592400000000001</v>
      </c>
      <c r="AE463">
        <v>15.935499999999999</v>
      </c>
      <c r="AF463">
        <v>0</v>
      </c>
      <c r="AG463">
        <v>87.618700000000004</v>
      </c>
      <c r="AH463">
        <v>12.2897</v>
      </c>
      <c r="AI463">
        <v>9.1562699999999997E-2</v>
      </c>
      <c r="AJ463">
        <v>0</v>
      </c>
      <c r="AK463">
        <v>0</v>
      </c>
      <c r="AL463">
        <v>0.10860499999999999</v>
      </c>
      <c r="AM463">
        <v>10.4901</v>
      </c>
      <c r="AN463">
        <v>61.880499999999998</v>
      </c>
      <c r="AO463">
        <v>22.783300000000001</v>
      </c>
      <c r="AP463">
        <v>3.7111100000000001</v>
      </c>
      <c r="AQ463">
        <v>0.91449599999999998</v>
      </c>
      <c r="AR463">
        <v>0.22042900000000001</v>
      </c>
      <c r="AS463">
        <v>0.30143700000000001</v>
      </c>
      <c r="AT463">
        <v>0.40807599999999999</v>
      </c>
      <c r="AU463">
        <v>2.8214899999999998</v>
      </c>
      <c r="AV463">
        <v>21.524000000000001</v>
      </c>
      <c r="AW463">
        <v>52.104799999999997</v>
      </c>
      <c r="AX463">
        <v>18.511500000000002</v>
      </c>
      <c r="AY463">
        <v>4.6301300000000003</v>
      </c>
      <c r="AZ463">
        <v>430.15600000000001</v>
      </c>
      <c r="BA463">
        <v>465.601</v>
      </c>
      <c r="BB463">
        <v>22239.599999999999</v>
      </c>
      <c r="BC463">
        <v>0.35275800000000002</v>
      </c>
      <c r="BD463">
        <v>6.3302600000000001E-2</v>
      </c>
      <c r="BE463">
        <v>0.23738500000000001</v>
      </c>
      <c r="BF463">
        <v>0.52563800000000005</v>
      </c>
      <c r="BG463">
        <v>2.4032399999999998</v>
      </c>
      <c r="BH463">
        <v>10.9977</v>
      </c>
      <c r="BI463">
        <v>85.7727</v>
      </c>
      <c r="BJ463">
        <v>31.482099999999999</v>
      </c>
      <c r="BK463">
        <v>0</v>
      </c>
      <c r="BL463">
        <v>35.952500000000001</v>
      </c>
      <c r="BM463">
        <v>53.557400000000001</v>
      </c>
      <c r="BN463">
        <v>8.6656700000000004</v>
      </c>
      <c r="BO463">
        <v>1.39605</v>
      </c>
      <c r="BP463">
        <v>0.428423</v>
      </c>
      <c r="BQ463">
        <v>30.719799999999999</v>
      </c>
      <c r="BR463">
        <v>88464</v>
      </c>
    </row>
    <row r="464" spans="1:70" x14ac:dyDescent="0.25">
      <c r="A464">
        <v>44</v>
      </c>
      <c r="B464" s="7">
        <v>45952.571134259262</v>
      </c>
      <c r="C464" t="s">
        <v>168</v>
      </c>
      <c r="D464" s="6" t="s">
        <v>335</v>
      </c>
      <c r="E464" s="6" t="str">
        <f>VLOOKUP(F464,Germplasm!$A$1:$B$21,2,FALSE)</f>
        <v>Tiril</v>
      </c>
      <c r="F464" t="s">
        <v>64</v>
      </c>
      <c r="G464" s="6" t="s">
        <v>113</v>
      </c>
      <c r="H464">
        <v>27143.1</v>
      </c>
      <c r="I464">
        <v>297.57100000000003</v>
      </c>
      <c r="J464">
        <v>94011.3</v>
      </c>
      <c r="K464">
        <v>17.4496</v>
      </c>
      <c r="L464">
        <v>79.093100000000007</v>
      </c>
      <c r="M464">
        <v>1247.08</v>
      </c>
      <c r="N464">
        <v>440.37900000000002</v>
      </c>
      <c r="O464">
        <v>9686960</v>
      </c>
      <c r="P464">
        <v>0.210892</v>
      </c>
      <c r="Q464">
        <v>0.53751899999999997</v>
      </c>
      <c r="R464">
        <v>6.9734100000000003</v>
      </c>
      <c r="S464">
        <v>23.797799999999999</v>
      </c>
      <c r="T464">
        <v>39.668900000000001</v>
      </c>
      <c r="U464">
        <v>28.746500000000001</v>
      </c>
      <c r="V464">
        <v>0.275926</v>
      </c>
      <c r="W464">
        <v>116.449</v>
      </c>
      <c r="X464">
        <v>2.2808700000000002</v>
      </c>
      <c r="Y464">
        <v>3.1391100000000001</v>
      </c>
      <c r="Z464">
        <v>4.3789899999999999</v>
      </c>
      <c r="AA464">
        <v>16.802800000000001</v>
      </c>
      <c r="AB464">
        <v>35.157299999999999</v>
      </c>
      <c r="AC464">
        <v>38.240900000000003</v>
      </c>
      <c r="AD464">
        <v>1.6546000000000001</v>
      </c>
      <c r="AE464">
        <v>16.226800000000001</v>
      </c>
      <c r="AF464">
        <v>0</v>
      </c>
      <c r="AG464">
        <v>87.311000000000007</v>
      </c>
      <c r="AH464">
        <v>1.3008</v>
      </c>
      <c r="AI464">
        <v>2.1446999999999998</v>
      </c>
      <c r="AJ464">
        <v>9.2435299999999998</v>
      </c>
      <c r="AK464">
        <v>0</v>
      </c>
      <c r="AL464">
        <v>0.44750299999999998</v>
      </c>
      <c r="AM464">
        <v>11.1069</v>
      </c>
      <c r="AN464">
        <v>3.9615100000000001</v>
      </c>
      <c r="AO464">
        <v>3.6981299999999999</v>
      </c>
      <c r="AP464">
        <v>15.306699999999999</v>
      </c>
      <c r="AQ464">
        <v>39.670699999999997</v>
      </c>
      <c r="AR464">
        <v>26.256</v>
      </c>
      <c r="AS464">
        <v>3.3189900000000001E-2</v>
      </c>
      <c r="AT464">
        <v>7.3872999999999998</v>
      </c>
      <c r="AU464">
        <v>35.9636</v>
      </c>
      <c r="AV464">
        <v>42.003500000000003</v>
      </c>
      <c r="AW464">
        <v>11.1213</v>
      </c>
      <c r="AX464">
        <v>2.26295</v>
      </c>
      <c r="AY464">
        <v>1.2613799999999999</v>
      </c>
      <c r="AZ464">
        <v>356.88499999999999</v>
      </c>
      <c r="BA464">
        <v>386.4</v>
      </c>
      <c r="BB464">
        <v>16404.599999999999</v>
      </c>
      <c r="BC464">
        <v>-3.32935E-3</v>
      </c>
      <c r="BD464">
        <v>0.95320000000000005</v>
      </c>
      <c r="BE464">
        <v>1.0391999999999999</v>
      </c>
      <c r="BF464">
        <v>4.0080999999999998</v>
      </c>
      <c r="BG464">
        <v>37.3504</v>
      </c>
      <c r="BH464">
        <v>51.2453</v>
      </c>
      <c r="BI464">
        <v>5.4038599999999999</v>
      </c>
      <c r="BJ464">
        <v>33.1599</v>
      </c>
      <c r="BK464">
        <v>0</v>
      </c>
      <c r="BL464">
        <v>31.271100000000001</v>
      </c>
      <c r="BM464">
        <v>57.951700000000002</v>
      </c>
      <c r="BN464">
        <v>7.7510199999999996</v>
      </c>
      <c r="BO464">
        <v>1.66452</v>
      </c>
      <c r="BP464">
        <v>1.36171</v>
      </c>
      <c r="BQ464">
        <v>37.209000000000003</v>
      </c>
      <c r="BR464">
        <v>55812</v>
      </c>
    </row>
    <row r="465" spans="1:70" x14ac:dyDescent="0.25">
      <c r="A465">
        <v>44</v>
      </c>
      <c r="B465" s="7">
        <v>45959.536886574075</v>
      </c>
      <c r="C465" t="s">
        <v>168</v>
      </c>
      <c r="D465" s="6" t="s">
        <v>336</v>
      </c>
      <c r="E465" s="6" t="str">
        <f>VLOOKUP(F465,Germplasm!$A$1:$B$21,2,FALSE)</f>
        <v>Tiril</v>
      </c>
      <c r="F465" t="s">
        <v>64</v>
      </c>
      <c r="G465" s="6" t="s">
        <v>113</v>
      </c>
      <c r="H465">
        <v>48233.9</v>
      </c>
      <c r="I465">
        <v>424.101</v>
      </c>
      <c r="J465">
        <v>173712</v>
      </c>
      <c r="K465">
        <v>16.456099999999999</v>
      </c>
      <c r="L465">
        <v>89.743600000000001</v>
      </c>
      <c r="M465">
        <v>1559.91</v>
      </c>
      <c r="N465">
        <v>537.928</v>
      </c>
      <c r="O465">
        <v>24095300</v>
      </c>
      <c r="P465">
        <v>0.20108699999999999</v>
      </c>
      <c r="Q465">
        <v>1.7413700000000001</v>
      </c>
      <c r="R465">
        <v>5.7308300000000001</v>
      </c>
      <c r="S465">
        <v>23.909600000000001</v>
      </c>
      <c r="T465">
        <v>43.108899999999998</v>
      </c>
      <c r="U465">
        <v>24.578199999999999</v>
      </c>
      <c r="V465">
        <v>0.93100899999999998</v>
      </c>
      <c r="W465">
        <v>119.592</v>
      </c>
      <c r="X465">
        <v>2.3235000000000001</v>
      </c>
      <c r="Y465">
        <v>2.4914000000000001</v>
      </c>
      <c r="Z465">
        <v>3.6566700000000001</v>
      </c>
      <c r="AA465">
        <v>14.725199999999999</v>
      </c>
      <c r="AB465">
        <v>33.386600000000001</v>
      </c>
      <c r="AC465">
        <v>43.416600000000003</v>
      </c>
      <c r="AD465">
        <v>1.6873</v>
      </c>
      <c r="AE465">
        <v>11.680999999999999</v>
      </c>
      <c r="AF465">
        <v>0</v>
      </c>
      <c r="AG465">
        <v>92.721800000000002</v>
      </c>
      <c r="AH465">
        <v>0.894814</v>
      </c>
      <c r="AI465">
        <v>1.17733</v>
      </c>
      <c r="AJ465">
        <v>5.20601</v>
      </c>
      <c r="AK465">
        <v>0</v>
      </c>
      <c r="AL465">
        <v>0.470279</v>
      </c>
      <c r="AM465">
        <v>7.0449000000000002</v>
      </c>
      <c r="AN465">
        <v>3.7903899999999999</v>
      </c>
      <c r="AO465">
        <v>5.6172199999999997</v>
      </c>
      <c r="AP465">
        <v>16.866700000000002</v>
      </c>
      <c r="AQ465">
        <v>38.050699999999999</v>
      </c>
      <c r="AR465">
        <v>28.63</v>
      </c>
      <c r="AS465">
        <v>2.4944600000000001E-2</v>
      </c>
      <c r="AT465">
        <v>8.4192999999999998</v>
      </c>
      <c r="AU465">
        <v>39.642299999999999</v>
      </c>
      <c r="AV465">
        <v>38.708300000000001</v>
      </c>
      <c r="AW465">
        <v>8.5882000000000005</v>
      </c>
      <c r="AX465">
        <v>2.1143800000000001</v>
      </c>
      <c r="AY465">
        <v>2.5276000000000001</v>
      </c>
      <c r="AZ465">
        <v>499.55</v>
      </c>
      <c r="BA465">
        <v>502.19900000000001</v>
      </c>
      <c r="BB465">
        <v>28586.400000000001</v>
      </c>
      <c r="BC465">
        <v>-1.67387E-3</v>
      </c>
      <c r="BD465">
        <v>0.62737500000000002</v>
      </c>
      <c r="BE465">
        <v>1.00742</v>
      </c>
      <c r="BF465">
        <v>4.0890000000000004</v>
      </c>
      <c r="BG465">
        <v>42.323700000000002</v>
      </c>
      <c r="BH465">
        <v>45.9422</v>
      </c>
      <c r="BI465">
        <v>6.0103400000000002</v>
      </c>
      <c r="BJ465">
        <v>32.561599999999999</v>
      </c>
      <c r="BK465">
        <v>0</v>
      </c>
      <c r="BL465">
        <v>36.831200000000003</v>
      </c>
      <c r="BM465">
        <v>51.753399999999999</v>
      </c>
      <c r="BN465">
        <v>7.1273499999999999</v>
      </c>
      <c r="BO465">
        <v>1.60463</v>
      </c>
      <c r="BP465">
        <v>2.68344</v>
      </c>
      <c r="BQ465">
        <v>36.388199999999998</v>
      </c>
      <c r="BR465">
        <v>99462</v>
      </c>
    </row>
    <row r="466" spans="1:70" x14ac:dyDescent="0.25">
      <c r="A466">
        <v>44</v>
      </c>
      <c r="B466" s="7">
        <v>45966.54310185185</v>
      </c>
      <c r="C466" t="s">
        <v>168</v>
      </c>
      <c r="D466" s="6" t="s">
        <v>337</v>
      </c>
      <c r="E466" s="6" t="str">
        <f>VLOOKUP(F466,Germplasm!$A$1:$B$21,2,FALSE)</f>
        <v>Tiril</v>
      </c>
      <c r="F466" t="s">
        <v>64</v>
      </c>
      <c r="G466" s="6" t="s">
        <v>113</v>
      </c>
      <c r="H466">
        <v>62010.400000000001</v>
      </c>
      <c r="I466">
        <v>516.56399999999996</v>
      </c>
      <c r="J466">
        <v>194470</v>
      </c>
      <c r="K466">
        <v>17.875</v>
      </c>
      <c r="L466">
        <v>91.272800000000004</v>
      </c>
      <c r="M466">
        <v>1610.31</v>
      </c>
      <c r="N466">
        <v>531.88099999999997</v>
      </c>
      <c r="O466">
        <v>37136500</v>
      </c>
      <c r="P466">
        <v>0.23383100000000001</v>
      </c>
      <c r="Q466">
        <v>0.81881700000000002</v>
      </c>
      <c r="R466">
        <v>4.7019200000000003</v>
      </c>
      <c r="S466">
        <v>21.4163</v>
      </c>
      <c r="T466">
        <v>40.718899999999998</v>
      </c>
      <c r="U466">
        <v>30.441299999999998</v>
      </c>
      <c r="V466">
        <v>1.90273</v>
      </c>
      <c r="W466">
        <v>117.31399999999999</v>
      </c>
      <c r="X466">
        <v>1.75528</v>
      </c>
      <c r="Y466">
        <v>2.6187999999999998</v>
      </c>
      <c r="Z466">
        <v>3.7936999999999999</v>
      </c>
      <c r="AA466">
        <v>16.218699999999998</v>
      </c>
      <c r="AB466">
        <v>36.725200000000001</v>
      </c>
      <c r="AC466">
        <v>38.888300000000001</v>
      </c>
      <c r="AD466">
        <v>1.7838799999999999</v>
      </c>
      <c r="AE466">
        <v>10.1294</v>
      </c>
      <c r="AF466">
        <v>0</v>
      </c>
      <c r="AG466">
        <v>94.309100000000001</v>
      </c>
      <c r="AH466">
        <v>0.58195600000000003</v>
      </c>
      <c r="AI466">
        <v>0.87607199999999996</v>
      </c>
      <c r="AJ466">
        <v>4.2329100000000004</v>
      </c>
      <c r="AK466">
        <v>0</v>
      </c>
      <c r="AL466">
        <v>0.49615599999999999</v>
      </c>
      <c r="AM466">
        <v>5.3756399999999998</v>
      </c>
      <c r="AN466">
        <v>3.6878099999999998</v>
      </c>
      <c r="AO466">
        <v>6.3105399999999996</v>
      </c>
      <c r="AP466">
        <v>14.476699999999999</v>
      </c>
      <c r="AQ466">
        <v>34.613100000000003</v>
      </c>
      <c r="AR466">
        <v>35.536200000000001</v>
      </c>
      <c r="AS466">
        <v>4.8263E-2</v>
      </c>
      <c r="AT466">
        <v>7.407</v>
      </c>
      <c r="AU466">
        <v>36.715000000000003</v>
      </c>
      <c r="AV466">
        <v>38.527500000000003</v>
      </c>
      <c r="AW466">
        <v>11.125400000000001</v>
      </c>
      <c r="AX466">
        <v>3.2235</v>
      </c>
      <c r="AY466">
        <v>3.0015499999999999</v>
      </c>
      <c r="AZ466">
        <v>598.875</v>
      </c>
      <c r="BA466">
        <v>646.79899999999998</v>
      </c>
      <c r="BB466">
        <v>34761.5</v>
      </c>
      <c r="BC466">
        <v>8.9702199999999992E-3</v>
      </c>
      <c r="BD466">
        <v>0.37960500000000003</v>
      </c>
      <c r="BE466">
        <v>0.75450399999999995</v>
      </c>
      <c r="BF466">
        <v>3.4109500000000001</v>
      </c>
      <c r="BG466">
        <v>39.5762</v>
      </c>
      <c r="BH466">
        <v>49.659199999999998</v>
      </c>
      <c r="BI466">
        <v>6.2195600000000004</v>
      </c>
      <c r="BJ466">
        <v>34.298900000000003</v>
      </c>
      <c r="BK466">
        <v>0</v>
      </c>
      <c r="BL466">
        <v>32.359000000000002</v>
      </c>
      <c r="BM466">
        <v>53.401899999999998</v>
      </c>
      <c r="BN466">
        <v>9.6995299999999993</v>
      </c>
      <c r="BO466">
        <v>2.52155</v>
      </c>
      <c r="BP466">
        <v>2.0180199999999999</v>
      </c>
      <c r="BQ466">
        <v>34.14</v>
      </c>
      <c r="BR466">
        <v>127501</v>
      </c>
    </row>
    <row r="467" spans="1:70" x14ac:dyDescent="0.25">
      <c r="A467">
        <v>44</v>
      </c>
      <c r="B467" s="7">
        <v>45973.564652777779</v>
      </c>
      <c r="C467" t="s">
        <v>168</v>
      </c>
      <c r="D467" s="6" t="s">
        <v>338</v>
      </c>
      <c r="E467" s="6" t="str">
        <f>VLOOKUP(F467,Germplasm!$A$1:$B$21,2,FALSE)</f>
        <v>Tiril</v>
      </c>
      <c r="F467" t="s">
        <v>64</v>
      </c>
      <c r="G467" s="6" t="s">
        <v>113</v>
      </c>
      <c r="H467">
        <v>78742.899999999994</v>
      </c>
      <c r="I467">
        <v>501.81200000000001</v>
      </c>
      <c r="J467">
        <v>228692</v>
      </c>
      <c r="K467">
        <v>20.066199999999998</v>
      </c>
      <c r="L467">
        <v>70.717500000000001</v>
      </c>
      <c r="M467">
        <v>1816.23</v>
      </c>
      <c r="N467">
        <v>652.17399999999998</v>
      </c>
      <c r="O467">
        <v>47862300</v>
      </c>
      <c r="P467">
        <v>0.22586999999999999</v>
      </c>
      <c r="Q467">
        <v>0.97153599999999996</v>
      </c>
      <c r="R467">
        <v>5.4908200000000003</v>
      </c>
      <c r="S467">
        <v>23.212199999999999</v>
      </c>
      <c r="T467">
        <v>37.022399999999998</v>
      </c>
      <c r="U467">
        <v>31.9297</v>
      </c>
      <c r="V467">
        <v>1.3733</v>
      </c>
      <c r="W467">
        <v>102.92700000000001</v>
      </c>
      <c r="X467">
        <v>2.72987</v>
      </c>
      <c r="Y467">
        <v>6.8707000000000003</v>
      </c>
      <c r="Z467">
        <v>7.60907</v>
      </c>
      <c r="AA467">
        <v>24.0002</v>
      </c>
      <c r="AB467">
        <v>34.761200000000002</v>
      </c>
      <c r="AC467">
        <v>24.0289</v>
      </c>
      <c r="AD467">
        <v>1.71591</v>
      </c>
      <c r="AE467">
        <v>10.407400000000001</v>
      </c>
      <c r="AF467">
        <v>0</v>
      </c>
      <c r="AG467">
        <v>95.214100000000002</v>
      </c>
      <c r="AH467">
        <v>0.77782600000000002</v>
      </c>
      <c r="AI467">
        <v>0.76407499999999995</v>
      </c>
      <c r="AJ467">
        <v>3.24403</v>
      </c>
      <c r="AK467">
        <v>0</v>
      </c>
      <c r="AL467">
        <v>0.43998900000000002</v>
      </c>
      <c r="AM467">
        <v>5.1500300000000001</v>
      </c>
      <c r="AN467">
        <v>7.0040199999999997</v>
      </c>
      <c r="AO467">
        <v>11.700900000000001</v>
      </c>
      <c r="AP467">
        <v>18.8765</v>
      </c>
      <c r="AQ467">
        <v>32.653199999999998</v>
      </c>
      <c r="AR467">
        <v>24.615400000000001</v>
      </c>
      <c r="AS467">
        <v>0.12828100000000001</v>
      </c>
      <c r="AT467">
        <v>3.8418999999999999</v>
      </c>
      <c r="AU467">
        <v>23.616399999999999</v>
      </c>
      <c r="AV467">
        <v>39.976999999999997</v>
      </c>
      <c r="AW467">
        <v>22.445799999999998</v>
      </c>
      <c r="AX467">
        <v>7.0422900000000004</v>
      </c>
      <c r="AY467">
        <v>3.0766300000000002</v>
      </c>
      <c r="AZ467">
        <v>607.83100000000002</v>
      </c>
      <c r="BA467">
        <v>658.79899999999998</v>
      </c>
      <c r="BB467">
        <v>45889.7</v>
      </c>
      <c r="BC467">
        <v>7.2847200000000001E-2</v>
      </c>
      <c r="BD467">
        <v>0.44780300000000001</v>
      </c>
      <c r="BE467">
        <v>0.61879300000000004</v>
      </c>
      <c r="BF467">
        <v>1.9628000000000001</v>
      </c>
      <c r="BG467">
        <v>24.413900000000002</v>
      </c>
      <c r="BH467">
        <v>55.634</v>
      </c>
      <c r="BI467">
        <v>16.922699999999999</v>
      </c>
      <c r="BJ467">
        <v>36.036499999999997</v>
      </c>
      <c r="BK467">
        <v>0</v>
      </c>
      <c r="BL467">
        <v>27.377600000000001</v>
      </c>
      <c r="BM467">
        <v>55.579000000000001</v>
      </c>
      <c r="BN467">
        <v>12.9367</v>
      </c>
      <c r="BO467">
        <v>2.0542699999999998</v>
      </c>
      <c r="BP467">
        <v>2.0524800000000001</v>
      </c>
      <c r="BQ467">
        <v>35.696599999999997</v>
      </c>
      <c r="BR467">
        <v>167261</v>
      </c>
    </row>
    <row r="468" spans="1:70" x14ac:dyDescent="0.25">
      <c r="A468">
        <v>44</v>
      </c>
      <c r="B468" s="7">
        <v>45988.562557870369</v>
      </c>
      <c r="C468" t="s">
        <v>168</v>
      </c>
      <c r="D468" s="6" t="s">
        <v>339</v>
      </c>
      <c r="E468" s="6" t="str">
        <f>VLOOKUP(F468,Germplasm!$A$1:$B$21,2,FALSE)</f>
        <v>Tiril</v>
      </c>
      <c r="F468" t="s">
        <v>64</v>
      </c>
      <c r="G468" s="6" t="s">
        <v>113</v>
      </c>
      <c r="H468">
        <v>44148.5</v>
      </c>
      <c r="I468">
        <v>552.71799999999996</v>
      </c>
      <c r="J468">
        <v>150492</v>
      </c>
      <c r="K468">
        <v>17.566400000000002</v>
      </c>
      <c r="L468">
        <v>68.291200000000003</v>
      </c>
      <c r="M468">
        <v>1444.73</v>
      </c>
      <c r="N468">
        <v>541.50800000000004</v>
      </c>
      <c r="O468">
        <v>28060100</v>
      </c>
      <c r="P468">
        <v>0.16845199999999999</v>
      </c>
      <c r="Q468">
        <v>0.29439900000000002</v>
      </c>
      <c r="R468">
        <v>12.495100000000001</v>
      </c>
      <c r="S468">
        <v>31.492000000000001</v>
      </c>
      <c r="T468">
        <v>36.597099999999998</v>
      </c>
      <c r="U468">
        <v>18.882100000000001</v>
      </c>
      <c r="V468">
        <v>0.23938000000000001</v>
      </c>
      <c r="W468">
        <v>78.141300000000001</v>
      </c>
      <c r="X468">
        <v>6.9854500000000002</v>
      </c>
      <c r="Y468">
        <v>18.3203</v>
      </c>
      <c r="Z468">
        <v>13.9526</v>
      </c>
      <c r="AA468">
        <v>31.386800000000001</v>
      </c>
      <c r="AB468">
        <v>21.172599999999999</v>
      </c>
      <c r="AC468">
        <v>8.1823499999999996</v>
      </c>
      <c r="AD468">
        <v>1.67001</v>
      </c>
      <c r="AE468">
        <v>14.5731</v>
      </c>
      <c r="AF468">
        <v>0</v>
      </c>
      <c r="AG468">
        <v>91.744299999999996</v>
      </c>
      <c r="AH468">
        <v>2.3947600000000002</v>
      </c>
      <c r="AI468">
        <v>1.0820399999999999</v>
      </c>
      <c r="AJ468">
        <v>4.7789099999999998</v>
      </c>
      <c r="AK468">
        <v>0</v>
      </c>
      <c r="AL468">
        <v>0.30113800000000002</v>
      </c>
      <c r="AM468">
        <v>8.7576400000000003</v>
      </c>
      <c r="AN468">
        <v>19.368500000000001</v>
      </c>
      <c r="AO468">
        <v>19.937999999999999</v>
      </c>
      <c r="AP468">
        <v>23.260400000000001</v>
      </c>
      <c r="AQ468">
        <v>21.847300000000001</v>
      </c>
      <c r="AR468">
        <v>6.8281200000000002</v>
      </c>
      <c r="AS468">
        <v>0.22237199999999999</v>
      </c>
      <c r="AT468">
        <v>0.57142300000000001</v>
      </c>
      <c r="AU468">
        <v>8.6456700000000009</v>
      </c>
      <c r="AV468">
        <v>36.594200000000001</v>
      </c>
      <c r="AW468">
        <v>38.8249</v>
      </c>
      <c r="AX468">
        <v>13.404299999999999</v>
      </c>
      <c r="AY468">
        <v>1.9594400000000001</v>
      </c>
      <c r="AZ468">
        <v>635.58500000000004</v>
      </c>
      <c r="BA468">
        <v>707.40200000000004</v>
      </c>
      <c r="BB468">
        <v>26436</v>
      </c>
      <c r="BC468">
        <v>0.18906999999999999</v>
      </c>
      <c r="BD468">
        <v>0.30791200000000002</v>
      </c>
      <c r="BE468">
        <v>0.18918699999999999</v>
      </c>
      <c r="BF468">
        <v>0.59748500000000004</v>
      </c>
      <c r="BG468">
        <v>8.1225100000000001</v>
      </c>
      <c r="BH468">
        <v>48.400100000000002</v>
      </c>
      <c r="BI468">
        <v>42.382800000000003</v>
      </c>
      <c r="BJ468">
        <v>34.559399999999997</v>
      </c>
      <c r="BK468">
        <v>0</v>
      </c>
      <c r="BL468">
        <v>26.021899999999999</v>
      </c>
      <c r="BM468">
        <v>60.693399999999997</v>
      </c>
      <c r="BN468">
        <v>11.6196</v>
      </c>
      <c r="BO468">
        <v>1.1505700000000001</v>
      </c>
      <c r="BP468">
        <v>0.51447399999999999</v>
      </c>
      <c r="BQ468">
        <v>36.8264</v>
      </c>
      <c r="BR468">
        <v>103601</v>
      </c>
    </row>
    <row r="469" spans="1:70" x14ac:dyDescent="0.25">
      <c r="A469">
        <v>44</v>
      </c>
      <c r="B469" s="7">
        <v>45994.571967592594</v>
      </c>
      <c r="C469" t="s">
        <v>168</v>
      </c>
      <c r="D469" s="6" t="s">
        <v>340</v>
      </c>
      <c r="E469" s="6" t="str">
        <f>VLOOKUP(F469,Germplasm!$A$1:$B$21,2,FALSE)</f>
        <v>Tiril</v>
      </c>
      <c r="F469" t="s">
        <v>64</v>
      </c>
      <c r="G469" s="6" t="s">
        <v>113</v>
      </c>
      <c r="H469">
        <v>50321.8</v>
      </c>
      <c r="I469">
        <v>550.58199999999999</v>
      </c>
      <c r="J469">
        <v>113852</v>
      </c>
      <c r="K469">
        <v>26.267499999999998</v>
      </c>
      <c r="L469">
        <v>57.700299999999999</v>
      </c>
      <c r="M469">
        <v>1315.82</v>
      </c>
      <c r="N469">
        <v>520.82799999999997</v>
      </c>
      <c r="O469">
        <v>31625800</v>
      </c>
      <c r="P469">
        <v>0.109621</v>
      </c>
      <c r="Q469">
        <v>1.08464</v>
      </c>
      <c r="R469">
        <v>21.324200000000001</v>
      </c>
      <c r="S469">
        <v>42.246699999999997</v>
      </c>
      <c r="T469">
        <v>23.560600000000001</v>
      </c>
      <c r="U469">
        <v>10.862500000000001</v>
      </c>
      <c r="V469">
        <v>0.92137599999999997</v>
      </c>
      <c r="W469">
        <v>65.110799999999998</v>
      </c>
      <c r="X469">
        <v>11.502700000000001</v>
      </c>
      <c r="Y469">
        <v>27.916899999999998</v>
      </c>
      <c r="Z469">
        <v>13.552300000000001</v>
      </c>
      <c r="AA469">
        <v>21.675000000000001</v>
      </c>
      <c r="AB469">
        <v>12.7514</v>
      </c>
      <c r="AC469">
        <v>12.601800000000001</v>
      </c>
      <c r="AD469">
        <v>1.6826700000000001</v>
      </c>
      <c r="AE469">
        <v>16.8416</v>
      </c>
      <c r="AF469">
        <v>0</v>
      </c>
      <c r="AG469">
        <v>86.396000000000001</v>
      </c>
      <c r="AH469">
        <v>4.4274500000000003</v>
      </c>
      <c r="AI469">
        <v>3.1181299999999998</v>
      </c>
      <c r="AJ469">
        <v>6.0584499999999997</v>
      </c>
      <c r="AK469">
        <v>0</v>
      </c>
      <c r="AL469">
        <v>0.23505699999999999</v>
      </c>
      <c r="AM469">
        <v>13.323600000000001</v>
      </c>
      <c r="AN469">
        <v>29.883299999999998</v>
      </c>
      <c r="AO469">
        <v>19.588100000000001</v>
      </c>
      <c r="AP469">
        <v>18.227900000000002</v>
      </c>
      <c r="AQ469">
        <v>13.204800000000001</v>
      </c>
      <c r="AR469">
        <v>5.7723399999999998</v>
      </c>
      <c r="AS469">
        <v>0.22797700000000001</v>
      </c>
      <c r="AT469">
        <v>1.70939</v>
      </c>
      <c r="AU469">
        <v>9.9904600000000006</v>
      </c>
      <c r="AV469">
        <v>30.959</v>
      </c>
      <c r="AW469">
        <v>41.331000000000003</v>
      </c>
      <c r="AX469">
        <v>12.171900000000001</v>
      </c>
      <c r="AY469">
        <v>3.83826</v>
      </c>
      <c r="AZ469">
        <v>628.47199999999998</v>
      </c>
      <c r="BA469">
        <v>712.79899999999998</v>
      </c>
      <c r="BB469">
        <v>29906</v>
      </c>
      <c r="BC469">
        <v>0.205207</v>
      </c>
      <c r="BD469">
        <v>0.59242899999999998</v>
      </c>
      <c r="BE469">
        <v>0.650621</v>
      </c>
      <c r="BF469">
        <v>1.43137</v>
      </c>
      <c r="BG469">
        <v>9.0230200000000007</v>
      </c>
      <c r="BH469">
        <v>37.438600000000001</v>
      </c>
      <c r="BI469">
        <v>50.863999999999997</v>
      </c>
      <c r="BJ469">
        <v>33.118699999999997</v>
      </c>
      <c r="BK469">
        <v>0</v>
      </c>
      <c r="BL469">
        <v>33.718299999999999</v>
      </c>
      <c r="BM469">
        <v>53.438200000000002</v>
      </c>
      <c r="BN469">
        <v>9.1911299999999994</v>
      </c>
      <c r="BO469">
        <v>2.2056399999999998</v>
      </c>
      <c r="BP469">
        <v>1.44672</v>
      </c>
      <c r="BQ469">
        <v>36.506500000000003</v>
      </c>
      <c r="BR469">
        <v>123728</v>
      </c>
    </row>
    <row r="470" spans="1:70" x14ac:dyDescent="0.25">
      <c r="A470">
        <v>44</v>
      </c>
      <c r="B470" s="7">
        <v>46002.563125000001</v>
      </c>
      <c r="C470" t="s">
        <v>168</v>
      </c>
      <c r="D470" s="6" t="s">
        <v>341</v>
      </c>
      <c r="E470" s="6" t="str">
        <f>VLOOKUP(F470,Germplasm!$A$1:$B$21,2,FALSE)</f>
        <v>Tiril</v>
      </c>
      <c r="F470" t="s">
        <v>64</v>
      </c>
      <c r="G470" s="6" t="s">
        <v>113</v>
      </c>
      <c r="H470">
        <v>42892.7</v>
      </c>
      <c r="I470">
        <v>541.98199999999997</v>
      </c>
      <c r="J470">
        <v>117572</v>
      </c>
      <c r="K470">
        <v>19.984400000000001</v>
      </c>
      <c r="L470">
        <v>65.525999999999996</v>
      </c>
      <c r="M470">
        <v>1332.49</v>
      </c>
      <c r="N470">
        <v>488.94</v>
      </c>
      <c r="O470">
        <v>26769500</v>
      </c>
      <c r="P470">
        <v>8.4600099999999998E-2</v>
      </c>
      <c r="Q470">
        <v>1.1605300000000001</v>
      </c>
      <c r="R470">
        <v>25.098299999999998</v>
      </c>
      <c r="S470">
        <v>47.441099999999999</v>
      </c>
      <c r="T470">
        <v>17.4999</v>
      </c>
      <c r="U470">
        <v>8.0771999999999995</v>
      </c>
      <c r="V470">
        <v>0.72295299999999996</v>
      </c>
      <c r="W470">
        <v>55.205199999999998</v>
      </c>
      <c r="X470">
        <v>14.022500000000001</v>
      </c>
      <c r="Y470">
        <v>35.285200000000003</v>
      </c>
      <c r="Z470">
        <v>15.099600000000001</v>
      </c>
      <c r="AA470">
        <v>17.780999999999999</v>
      </c>
      <c r="AB470">
        <v>7.4736799999999999</v>
      </c>
      <c r="AC470">
        <v>10.337999999999999</v>
      </c>
      <c r="AD470">
        <v>1.82552</v>
      </c>
      <c r="AE470">
        <v>17.086099999999998</v>
      </c>
      <c r="AF470">
        <v>0</v>
      </c>
      <c r="AG470">
        <v>86.392799999999994</v>
      </c>
      <c r="AH470">
        <v>6.8257700000000003</v>
      </c>
      <c r="AI470">
        <v>1.1848399999999999</v>
      </c>
      <c r="AJ470">
        <v>5.5965400000000001</v>
      </c>
      <c r="AK470">
        <v>0</v>
      </c>
      <c r="AL470">
        <v>0.194887</v>
      </c>
      <c r="AM470">
        <v>13.331300000000001</v>
      </c>
      <c r="AN470">
        <v>37.655900000000003</v>
      </c>
      <c r="AO470">
        <v>22.6007</v>
      </c>
      <c r="AP470">
        <v>13.5723</v>
      </c>
      <c r="AQ470">
        <v>8.4333899999999993</v>
      </c>
      <c r="AR470">
        <v>4.4064199999999998</v>
      </c>
      <c r="AS470">
        <v>0.25403999999999999</v>
      </c>
      <c r="AT470">
        <v>1.5907100000000001</v>
      </c>
      <c r="AU470">
        <v>7.3880699999999999</v>
      </c>
      <c r="AV470">
        <v>27.0547</v>
      </c>
      <c r="AW470">
        <v>45.054499999999997</v>
      </c>
      <c r="AX470">
        <v>14.4834</v>
      </c>
      <c r="AY470">
        <v>4.4286099999999999</v>
      </c>
      <c r="AZ470">
        <v>624.10400000000004</v>
      </c>
      <c r="BA470">
        <v>701.4</v>
      </c>
      <c r="BB470">
        <v>23496.2</v>
      </c>
      <c r="BC470">
        <v>0.247002</v>
      </c>
      <c r="BD470">
        <v>0.54644199999999998</v>
      </c>
      <c r="BE470">
        <v>0.589777</v>
      </c>
      <c r="BF470">
        <v>1.25143</v>
      </c>
      <c r="BG470">
        <v>6.5900699999999999</v>
      </c>
      <c r="BH470">
        <v>28.917100000000001</v>
      </c>
      <c r="BI470">
        <v>62.105200000000004</v>
      </c>
      <c r="BJ470">
        <v>33.747500000000002</v>
      </c>
      <c r="BK470">
        <v>0</v>
      </c>
      <c r="BL470">
        <v>33.282200000000003</v>
      </c>
      <c r="BM470">
        <v>52.804099999999998</v>
      </c>
      <c r="BN470">
        <v>9.5400200000000002</v>
      </c>
      <c r="BO470">
        <v>2.5948099999999998</v>
      </c>
      <c r="BP470">
        <v>1.77884</v>
      </c>
      <c r="BQ470">
        <v>33.247900000000001</v>
      </c>
      <c r="BR470">
        <v>94612</v>
      </c>
    </row>
    <row r="471" spans="1:70" x14ac:dyDescent="0.25">
      <c r="A471">
        <v>44</v>
      </c>
      <c r="B471" s="7">
        <v>46013.587511574071</v>
      </c>
      <c r="C471" t="s">
        <v>168</v>
      </c>
      <c r="D471" s="6" t="s">
        <v>342</v>
      </c>
      <c r="E471" s="6" t="str">
        <f>VLOOKUP(F471,Germplasm!$A$1:$B$21,2,FALSE)</f>
        <v>Tiril</v>
      </c>
      <c r="F471" t="s">
        <v>64</v>
      </c>
      <c r="G471" s="6" t="s">
        <v>113</v>
      </c>
      <c r="H471">
        <v>38583.9</v>
      </c>
      <c r="I471">
        <v>530.08500000000004</v>
      </c>
      <c r="J471">
        <v>101574</v>
      </c>
      <c r="K471">
        <v>21.242599999999999</v>
      </c>
      <c r="L471">
        <v>71.744299999999996</v>
      </c>
      <c r="M471">
        <v>1268.42</v>
      </c>
      <c r="N471">
        <v>469.08199999999999</v>
      </c>
      <c r="O471">
        <v>23606400</v>
      </c>
      <c r="P471">
        <v>1.9725599999999999E-2</v>
      </c>
      <c r="Q471">
        <v>0.88473000000000002</v>
      </c>
      <c r="R471">
        <v>35.322499999999998</v>
      </c>
      <c r="S471">
        <v>58.479599999999998</v>
      </c>
      <c r="T471">
        <v>4.33263</v>
      </c>
      <c r="U471">
        <v>0.95633400000000002</v>
      </c>
      <c r="V471">
        <v>2.42724E-2</v>
      </c>
      <c r="W471">
        <v>39.551600000000001</v>
      </c>
      <c r="X471">
        <v>18.879100000000001</v>
      </c>
      <c r="Y471">
        <v>53.829000000000001</v>
      </c>
      <c r="Z471">
        <v>10.6981</v>
      </c>
      <c r="AA471">
        <v>5.45038</v>
      </c>
      <c r="AB471">
        <v>2.46244</v>
      </c>
      <c r="AC471">
        <v>8.6810399999999994</v>
      </c>
      <c r="AD471">
        <v>1.7882</v>
      </c>
      <c r="AE471">
        <v>22.040600000000001</v>
      </c>
      <c r="AF471">
        <v>0</v>
      </c>
      <c r="AG471">
        <v>76.709400000000002</v>
      </c>
      <c r="AH471">
        <v>15.1205</v>
      </c>
      <c r="AI471">
        <v>1.58135</v>
      </c>
      <c r="AJ471">
        <v>6.5887500000000001</v>
      </c>
      <c r="AK471">
        <v>0</v>
      </c>
      <c r="AL471">
        <v>9.7880400000000006E-2</v>
      </c>
      <c r="AM471">
        <v>18.5502</v>
      </c>
      <c r="AN471">
        <v>55.345999999999997</v>
      </c>
      <c r="AO471">
        <v>19.0199</v>
      </c>
      <c r="AP471">
        <v>4.9552199999999997</v>
      </c>
      <c r="AQ471">
        <v>1.72698</v>
      </c>
      <c r="AR471">
        <v>0.40170899999999998</v>
      </c>
      <c r="AS471">
        <v>0.25071500000000002</v>
      </c>
      <c r="AT471">
        <v>1.21848</v>
      </c>
      <c r="AU471">
        <v>5.8108199999999997</v>
      </c>
      <c r="AV471">
        <v>26.9145</v>
      </c>
      <c r="AW471">
        <v>50.9163</v>
      </c>
      <c r="AX471">
        <v>11.934799999999999</v>
      </c>
      <c r="AY471">
        <v>3.2051699999999999</v>
      </c>
      <c r="AZ471">
        <v>611.82000000000005</v>
      </c>
      <c r="BA471">
        <v>669.59900000000005</v>
      </c>
      <c r="BB471">
        <v>21577</v>
      </c>
      <c r="BC471">
        <v>0.29368499999999997</v>
      </c>
      <c r="BD471">
        <v>0.632297</v>
      </c>
      <c r="BE471">
        <v>0.66385099999999997</v>
      </c>
      <c r="BF471">
        <v>1.16144</v>
      </c>
      <c r="BG471">
        <v>4.5705</v>
      </c>
      <c r="BH471">
        <v>16.5077</v>
      </c>
      <c r="BI471">
        <v>76.464200000000005</v>
      </c>
      <c r="BJ471">
        <v>29.8721</v>
      </c>
      <c r="BK471">
        <v>0</v>
      </c>
      <c r="BL471">
        <v>41.704900000000002</v>
      </c>
      <c r="BM471">
        <v>49.605600000000003</v>
      </c>
      <c r="BN471">
        <v>5.9977200000000002</v>
      </c>
      <c r="BO471">
        <v>1.42601</v>
      </c>
      <c r="BP471">
        <v>1.2658100000000001</v>
      </c>
      <c r="BQ471">
        <v>34.034199999999998</v>
      </c>
      <c r="BR471">
        <v>82398</v>
      </c>
    </row>
    <row r="472" spans="1:70" x14ac:dyDescent="0.25">
      <c r="A472">
        <v>44</v>
      </c>
      <c r="B472" s="7">
        <v>46024.525509259256</v>
      </c>
      <c r="C472" t="s">
        <v>168</v>
      </c>
      <c r="D472" s="6" t="s">
        <v>343</v>
      </c>
      <c r="E472" s="6" t="str">
        <f>VLOOKUP(F472,Germplasm!$A$1:$B$21,2,FALSE)</f>
        <v>Tiril</v>
      </c>
      <c r="F472" t="s">
        <v>64</v>
      </c>
      <c r="G472" s="6" t="s">
        <v>113</v>
      </c>
      <c r="H472">
        <v>39050.400000000001</v>
      </c>
      <c r="I472">
        <v>276.71699999999998</v>
      </c>
      <c r="J472">
        <v>159372</v>
      </c>
      <c r="K472">
        <v>13.347</v>
      </c>
      <c r="L472">
        <v>93.678100000000001</v>
      </c>
      <c r="M472">
        <v>1543.01</v>
      </c>
      <c r="N472">
        <v>539.12800000000004</v>
      </c>
      <c r="O472">
        <v>12765700</v>
      </c>
      <c r="P472">
        <v>1.47774E-2</v>
      </c>
      <c r="Q472">
        <v>1.02573</v>
      </c>
      <c r="R472">
        <v>36.019100000000002</v>
      </c>
      <c r="S472">
        <v>59.172899999999998</v>
      </c>
      <c r="T472">
        <v>3.10215</v>
      </c>
      <c r="U472">
        <v>0.65387200000000001</v>
      </c>
      <c r="V472">
        <v>2.62048E-2</v>
      </c>
      <c r="W472">
        <v>38.8703</v>
      </c>
      <c r="X472">
        <v>19.161899999999999</v>
      </c>
      <c r="Y472">
        <v>55.133600000000001</v>
      </c>
      <c r="Z472">
        <v>9.0094600000000007</v>
      </c>
      <c r="AA472">
        <v>4.9427199999999996</v>
      </c>
      <c r="AB472">
        <v>2.5056799999999999</v>
      </c>
      <c r="AC472">
        <v>9.2465499999999992</v>
      </c>
      <c r="AD472">
        <v>1.8358300000000001</v>
      </c>
      <c r="AE472">
        <v>22.943999999999999</v>
      </c>
      <c r="AF472">
        <v>0</v>
      </c>
      <c r="AG472">
        <v>75.325100000000006</v>
      </c>
      <c r="AH472">
        <v>16.4666</v>
      </c>
      <c r="AI472">
        <v>1.46248</v>
      </c>
      <c r="AJ472">
        <v>6.7458600000000004</v>
      </c>
      <c r="AK472">
        <v>0</v>
      </c>
      <c r="AL472">
        <v>9.2903899999999998E-2</v>
      </c>
      <c r="AM472">
        <v>18.843699999999998</v>
      </c>
      <c r="AN472">
        <v>56.835700000000003</v>
      </c>
      <c r="AO472">
        <v>18.231100000000001</v>
      </c>
      <c r="AP472">
        <v>4.2015000000000002</v>
      </c>
      <c r="AQ472">
        <v>1.50366</v>
      </c>
      <c r="AR472">
        <v>0.38433699999999998</v>
      </c>
      <c r="AS472">
        <v>0.25201400000000002</v>
      </c>
      <c r="AT472">
        <v>1.26033</v>
      </c>
      <c r="AU472">
        <v>6.3789999999999996</v>
      </c>
      <c r="AV472">
        <v>26.5916</v>
      </c>
      <c r="AW472">
        <v>49.359900000000003</v>
      </c>
      <c r="AX472">
        <v>13.0724</v>
      </c>
      <c r="AY472">
        <v>3.3367399999999998</v>
      </c>
      <c r="AZ472">
        <v>326.90300000000002</v>
      </c>
      <c r="BA472">
        <v>501.59899999999999</v>
      </c>
      <c r="BB472">
        <v>21271.3</v>
      </c>
      <c r="BC472">
        <v>0.293238</v>
      </c>
      <c r="BD472">
        <v>0.65262399999999998</v>
      </c>
      <c r="BE472">
        <v>0.78988700000000001</v>
      </c>
      <c r="BF472">
        <v>1.2628200000000001</v>
      </c>
      <c r="BG472">
        <v>4.9339899999999997</v>
      </c>
      <c r="BH472">
        <v>16.096</v>
      </c>
      <c r="BI472">
        <v>76.264700000000005</v>
      </c>
      <c r="BJ472">
        <v>30.023900000000001</v>
      </c>
      <c r="BK472">
        <v>0</v>
      </c>
      <c r="BL472">
        <v>41.6556</v>
      </c>
      <c r="BM472">
        <v>49.134</v>
      </c>
      <c r="BN472">
        <v>6.40395</v>
      </c>
      <c r="BO472">
        <v>1.4213</v>
      </c>
      <c r="BP472">
        <v>1.3851100000000001</v>
      </c>
      <c r="BQ472">
        <v>33.0351</v>
      </c>
      <c r="BR472">
        <v>80138</v>
      </c>
    </row>
    <row r="473" spans="1:70" x14ac:dyDescent="0.25">
      <c r="A473">
        <v>44</v>
      </c>
      <c r="B473" s="7">
        <v>45952.571134259262</v>
      </c>
      <c r="C473" t="s">
        <v>169</v>
      </c>
      <c r="D473" s="6" t="s">
        <v>335</v>
      </c>
      <c r="E473" s="6" t="str">
        <f>VLOOKUP(F473,Germplasm!$A$1:$B$21,2,FALSE)</f>
        <v>Arild</v>
      </c>
      <c r="F473" t="s">
        <v>74</v>
      </c>
      <c r="G473" s="6" t="s">
        <v>113</v>
      </c>
      <c r="H473">
        <v>31699.5</v>
      </c>
      <c r="I473">
        <v>297.178</v>
      </c>
      <c r="J473">
        <v>157536</v>
      </c>
      <c r="K473">
        <v>11.682700000000001</v>
      </c>
      <c r="L473">
        <v>70.303399999999996</v>
      </c>
      <c r="M473">
        <v>1556.28</v>
      </c>
      <c r="N473">
        <v>560.31299999999999</v>
      </c>
      <c r="O473">
        <v>10732800</v>
      </c>
      <c r="P473">
        <v>0.21848200000000001</v>
      </c>
      <c r="Q473">
        <v>0.45839200000000002</v>
      </c>
      <c r="R473">
        <v>4.6294399999999998</v>
      </c>
      <c r="S473">
        <v>22.426600000000001</v>
      </c>
      <c r="T473">
        <v>46.101300000000002</v>
      </c>
      <c r="U473">
        <v>26.1707</v>
      </c>
      <c r="V473">
        <v>0.21349699999999999</v>
      </c>
      <c r="W473">
        <v>119.721</v>
      </c>
      <c r="X473">
        <v>1.0015499999999999</v>
      </c>
      <c r="Y473">
        <v>2.4206799999999999</v>
      </c>
      <c r="Z473">
        <v>4.1208099999999996</v>
      </c>
      <c r="AA473">
        <v>16.125299999999999</v>
      </c>
      <c r="AB473">
        <v>33.344799999999999</v>
      </c>
      <c r="AC473">
        <v>42.986800000000002</v>
      </c>
      <c r="AD473">
        <v>1.72238</v>
      </c>
      <c r="AE473">
        <v>6.91655</v>
      </c>
      <c r="AF473">
        <v>0</v>
      </c>
      <c r="AG473">
        <v>99.872799999999998</v>
      </c>
      <c r="AH473">
        <v>0.10360900000000001</v>
      </c>
      <c r="AI473">
        <v>1.41285E-2</v>
      </c>
      <c r="AJ473">
        <v>9.4190000000000003E-3</v>
      </c>
      <c r="AK473">
        <v>0</v>
      </c>
      <c r="AL473">
        <v>0.519285</v>
      </c>
      <c r="AM473">
        <v>0.583978</v>
      </c>
      <c r="AN473">
        <v>2.8162799999999999</v>
      </c>
      <c r="AO473">
        <v>5.78484</v>
      </c>
      <c r="AP473">
        <v>15.4754</v>
      </c>
      <c r="AQ473">
        <v>43.297600000000003</v>
      </c>
      <c r="AR473">
        <v>32.041899999999998</v>
      </c>
      <c r="AS473">
        <v>1.64353E-2</v>
      </c>
      <c r="AT473">
        <v>9.4755199999999995</v>
      </c>
      <c r="AU473">
        <v>38.683799999999998</v>
      </c>
      <c r="AV473">
        <v>38.310200000000002</v>
      </c>
      <c r="AW473">
        <v>10.5854</v>
      </c>
      <c r="AX473">
        <v>2.0141</v>
      </c>
      <c r="AY473">
        <v>0.93091199999999996</v>
      </c>
      <c r="AZ473">
        <v>338.57900000000001</v>
      </c>
      <c r="BA473">
        <v>377.83</v>
      </c>
      <c r="BB473">
        <v>18404.400000000001</v>
      </c>
      <c r="BC473">
        <v>2.6176900000000002E-3</v>
      </c>
      <c r="BD473">
        <v>7.8491699999999998E-2</v>
      </c>
      <c r="BE473">
        <v>0.51804499999999998</v>
      </c>
      <c r="BF473">
        <v>3.82098</v>
      </c>
      <c r="BG473">
        <v>43.741900000000001</v>
      </c>
      <c r="BH473">
        <v>46.985100000000003</v>
      </c>
      <c r="BI473">
        <v>4.8555000000000001</v>
      </c>
      <c r="BJ473">
        <v>30.337599999999998</v>
      </c>
      <c r="BK473">
        <v>0</v>
      </c>
      <c r="BL473">
        <v>36.476700000000001</v>
      </c>
      <c r="BM473">
        <v>56.228299999999997</v>
      </c>
      <c r="BN473">
        <v>6.4975399999999999</v>
      </c>
      <c r="BO473">
        <v>0.56357000000000002</v>
      </c>
      <c r="BP473">
        <v>0.233905</v>
      </c>
      <c r="BQ473">
        <v>35.521000000000001</v>
      </c>
      <c r="BR473">
        <v>63701</v>
      </c>
    </row>
    <row r="474" spans="1:70" x14ac:dyDescent="0.25">
      <c r="A474">
        <v>44</v>
      </c>
      <c r="B474" s="7">
        <v>45959.536886574075</v>
      </c>
      <c r="C474" t="s">
        <v>169</v>
      </c>
      <c r="D474" s="6" t="s">
        <v>336</v>
      </c>
      <c r="E474" s="6" t="str">
        <f>VLOOKUP(F474,Germplasm!$A$1:$B$21,2,FALSE)</f>
        <v>Arild</v>
      </c>
      <c r="F474" t="s">
        <v>74</v>
      </c>
      <c r="G474" s="6" t="s">
        <v>113</v>
      </c>
      <c r="H474">
        <v>49683.9</v>
      </c>
      <c r="I474">
        <v>413.41500000000002</v>
      </c>
      <c r="J474">
        <v>220964</v>
      </c>
      <c r="K474">
        <v>13.1562</v>
      </c>
      <c r="L474">
        <v>78.752700000000004</v>
      </c>
      <c r="M474">
        <v>1752.76</v>
      </c>
      <c r="N474">
        <v>621.65899999999999</v>
      </c>
      <c r="O474">
        <v>24211500</v>
      </c>
      <c r="P474">
        <v>0.19917099999999999</v>
      </c>
      <c r="Q474">
        <v>1.0464199999999999</v>
      </c>
      <c r="R474">
        <v>5.0774600000000003</v>
      </c>
      <c r="S474">
        <v>25.7559</v>
      </c>
      <c r="T474">
        <v>47.553699999999999</v>
      </c>
      <c r="U474">
        <v>19.9024</v>
      </c>
      <c r="V474">
        <v>0.66422199999999998</v>
      </c>
      <c r="W474">
        <v>125.464</v>
      </c>
      <c r="X474">
        <v>1.31775</v>
      </c>
      <c r="Y474">
        <v>2.0714399999999999</v>
      </c>
      <c r="Z474">
        <v>3.4203100000000002</v>
      </c>
      <c r="AA474">
        <v>11.5923</v>
      </c>
      <c r="AB474">
        <v>29.998899999999999</v>
      </c>
      <c r="AC474">
        <v>51.599299999999999</v>
      </c>
      <c r="AD474">
        <v>1.7090799999999999</v>
      </c>
      <c r="AE474">
        <v>6.4537300000000002</v>
      </c>
      <c r="AF474">
        <v>0</v>
      </c>
      <c r="AG474">
        <v>99.722800000000007</v>
      </c>
      <c r="AH474">
        <v>0.26549400000000001</v>
      </c>
      <c r="AI474">
        <v>1.1670099999999999E-2</v>
      </c>
      <c r="AJ474">
        <v>0</v>
      </c>
      <c r="AK474">
        <v>0</v>
      </c>
      <c r="AL474">
        <v>0.50653999999999999</v>
      </c>
      <c r="AM474">
        <v>0.81398899999999996</v>
      </c>
      <c r="AN474">
        <v>3.61578</v>
      </c>
      <c r="AO474">
        <v>7.3550700000000004</v>
      </c>
      <c r="AP474">
        <v>17.648099999999999</v>
      </c>
      <c r="AQ474">
        <v>39.235799999999998</v>
      </c>
      <c r="AR474">
        <v>31.331299999999999</v>
      </c>
      <c r="AS474">
        <v>-9.2340300000000007E-3</v>
      </c>
      <c r="AT474">
        <v>10.924200000000001</v>
      </c>
      <c r="AU474">
        <v>45.600900000000003</v>
      </c>
      <c r="AV474">
        <v>33.844200000000001</v>
      </c>
      <c r="AW474">
        <v>6.4175800000000001</v>
      </c>
      <c r="AX474">
        <v>1.6046400000000001</v>
      </c>
      <c r="AY474">
        <v>1.60853</v>
      </c>
      <c r="AZ474">
        <v>487.31099999999998</v>
      </c>
      <c r="BA474">
        <v>499.19900000000001</v>
      </c>
      <c r="BB474">
        <v>29070.6</v>
      </c>
      <c r="BC474">
        <v>-1.56385E-2</v>
      </c>
      <c r="BD474">
        <v>0.106003</v>
      </c>
      <c r="BE474">
        <v>0.99973699999999999</v>
      </c>
      <c r="BF474">
        <v>4.7905699999999998</v>
      </c>
      <c r="BG474">
        <v>50.6248</v>
      </c>
      <c r="BH474">
        <v>38.913899999999998</v>
      </c>
      <c r="BI474">
        <v>4.5649499999999996</v>
      </c>
      <c r="BJ474">
        <v>29.157599999999999</v>
      </c>
      <c r="BK474">
        <v>0</v>
      </c>
      <c r="BL474">
        <v>43.1706</v>
      </c>
      <c r="BM474">
        <v>49.530799999999999</v>
      </c>
      <c r="BN474">
        <v>5.3069699999999997</v>
      </c>
      <c r="BO474">
        <v>0.89470700000000003</v>
      </c>
      <c r="BP474">
        <v>1.0969899999999999</v>
      </c>
      <c r="BQ474">
        <v>35.854500000000002</v>
      </c>
      <c r="BR474">
        <v>102827</v>
      </c>
    </row>
    <row r="475" spans="1:70" x14ac:dyDescent="0.25">
      <c r="A475">
        <v>44</v>
      </c>
      <c r="B475" s="7">
        <v>45966.54310185185</v>
      </c>
      <c r="C475" t="s">
        <v>169</v>
      </c>
      <c r="D475" s="6" t="s">
        <v>337</v>
      </c>
      <c r="E475" s="6" t="str">
        <f>VLOOKUP(F475,Germplasm!$A$1:$B$21,2,FALSE)</f>
        <v>Arild</v>
      </c>
      <c r="F475" t="s">
        <v>74</v>
      </c>
      <c r="G475" s="6" t="s">
        <v>113</v>
      </c>
      <c r="H475">
        <v>59088.4</v>
      </c>
      <c r="I475">
        <v>485.512</v>
      </c>
      <c r="J475">
        <v>216761</v>
      </c>
      <c r="K475">
        <v>15.718299999999999</v>
      </c>
      <c r="L475">
        <v>70.021600000000007</v>
      </c>
      <c r="M475">
        <v>1722.38</v>
      </c>
      <c r="N475">
        <v>616.42899999999997</v>
      </c>
      <c r="O475">
        <v>35074500</v>
      </c>
      <c r="P475">
        <v>0.20285500000000001</v>
      </c>
      <c r="Q475">
        <v>0.65423600000000004</v>
      </c>
      <c r="R475">
        <v>4.4605600000000001</v>
      </c>
      <c r="S475">
        <v>25.92</v>
      </c>
      <c r="T475">
        <v>48.555900000000001</v>
      </c>
      <c r="U475">
        <v>19.9771</v>
      </c>
      <c r="V475">
        <v>0.43213400000000002</v>
      </c>
      <c r="W475">
        <v>114.85299999999999</v>
      </c>
      <c r="X475">
        <v>1.4613700000000001</v>
      </c>
      <c r="Y475">
        <v>3.8747199999999999</v>
      </c>
      <c r="Z475">
        <v>6.1021799999999997</v>
      </c>
      <c r="AA475">
        <v>18.2317</v>
      </c>
      <c r="AB475">
        <v>31.0686</v>
      </c>
      <c r="AC475">
        <v>39.261400000000002</v>
      </c>
      <c r="AD475">
        <v>1.73427</v>
      </c>
      <c r="AE475">
        <v>6.6162599999999996</v>
      </c>
      <c r="AF475">
        <v>0</v>
      </c>
      <c r="AG475">
        <v>99.851900000000001</v>
      </c>
      <c r="AH475">
        <v>0.14324000000000001</v>
      </c>
      <c r="AI475">
        <v>4.8283099999999997E-3</v>
      </c>
      <c r="AJ475">
        <v>0</v>
      </c>
      <c r="AK475">
        <v>0</v>
      </c>
      <c r="AL475">
        <v>0.472134</v>
      </c>
      <c r="AM475">
        <v>0.95439700000000005</v>
      </c>
      <c r="AN475">
        <v>5.2845899999999997</v>
      </c>
      <c r="AO475">
        <v>10.191000000000001</v>
      </c>
      <c r="AP475">
        <v>19.780799999999999</v>
      </c>
      <c r="AQ475">
        <v>40.246400000000001</v>
      </c>
      <c r="AR475">
        <v>23.542899999999999</v>
      </c>
      <c r="AS475">
        <v>5.5393699999999997E-2</v>
      </c>
      <c r="AT475">
        <v>5.31114</v>
      </c>
      <c r="AU475">
        <v>38.486499999999999</v>
      </c>
      <c r="AV475">
        <v>37.163499999999999</v>
      </c>
      <c r="AW475">
        <v>12.7814</v>
      </c>
      <c r="AX475">
        <v>4.4034199999999997</v>
      </c>
      <c r="AY475">
        <v>1.8540700000000001</v>
      </c>
      <c r="AZ475">
        <v>593.59299999999996</v>
      </c>
      <c r="BA475">
        <v>698.99900000000002</v>
      </c>
      <c r="BB475">
        <v>34071.1</v>
      </c>
      <c r="BC475">
        <v>3.1399700000000003E-2</v>
      </c>
      <c r="BD475">
        <v>6.1963400000000002E-2</v>
      </c>
      <c r="BE475">
        <v>0.39109300000000002</v>
      </c>
      <c r="BF475">
        <v>2.8293900000000001</v>
      </c>
      <c r="BG475">
        <v>40.512799999999999</v>
      </c>
      <c r="BH475">
        <v>46.023499999999999</v>
      </c>
      <c r="BI475">
        <v>10.1813</v>
      </c>
      <c r="BJ475">
        <v>29.771999999999998</v>
      </c>
      <c r="BK475">
        <v>0</v>
      </c>
      <c r="BL475">
        <v>40.417000000000002</v>
      </c>
      <c r="BM475">
        <v>51.494799999999998</v>
      </c>
      <c r="BN475">
        <v>6.5689200000000003</v>
      </c>
      <c r="BO475">
        <v>0.91013699999999997</v>
      </c>
      <c r="BP475">
        <v>0.60917200000000005</v>
      </c>
      <c r="BQ475">
        <v>35.258299999999998</v>
      </c>
      <c r="BR475">
        <v>124267</v>
      </c>
    </row>
    <row r="476" spans="1:70" x14ac:dyDescent="0.25">
      <c r="A476">
        <v>44</v>
      </c>
      <c r="B476" s="7">
        <v>45973.564652777779</v>
      </c>
      <c r="C476" t="s">
        <v>169</v>
      </c>
      <c r="D476" s="6" t="s">
        <v>338</v>
      </c>
      <c r="E476" s="6" t="str">
        <f>VLOOKUP(F476,Germplasm!$A$1:$B$21,2,FALSE)</f>
        <v>Arild</v>
      </c>
      <c r="F476" t="s">
        <v>74</v>
      </c>
      <c r="G476" s="6" t="s">
        <v>113</v>
      </c>
      <c r="H476">
        <v>67270.899999999994</v>
      </c>
      <c r="I476">
        <v>448.10300000000001</v>
      </c>
      <c r="J476">
        <v>261960</v>
      </c>
      <c r="K476">
        <v>14.7484</v>
      </c>
      <c r="L476">
        <v>72.780799999999999</v>
      </c>
      <c r="M476">
        <v>1948.28</v>
      </c>
      <c r="N476">
        <v>741.18499999999995</v>
      </c>
      <c r="O476">
        <v>41036900</v>
      </c>
      <c r="P476">
        <v>0.19153999999999999</v>
      </c>
      <c r="Q476">
        <v>1.01837</v>
      </c>
      <c r="R476">
        <v>6.5991900000000001</v>
      </c>
      <c r="S476">
        <v>25.918700000000001</v>
      </c>
      <c r="T476">
        <v>46.496299999999998</v>
      </c>
      <c r="U476">
        <v>19.558499999999999</v>
      </c>
      <c r="V476">
        <v>0.408854</v>
      </c>
      <c r="W476">
        <v>108.797</v>
      </c>
      <c r="X476">
        <v>3.1742699999999999</v>
      </c>
      <c r="Y476">
        <v>5.9444699999999999</v>
      </c>
      <c r="Z476">
        <v>6.2321099999999996</v>
      </c>
      <c r="AA476">
        <v>18.628499999999999</v>
      </c>
      <c r="AB476">
        <v>32.767200000000003</v>
      </c>
      <c r="AC476">
        <v>33.253399999999999</v>
      </c>
      <c r="AD476">
        <v>1.74119</v>
      </c>
      <c r="AE476">
        <v>6.9819800000000001</v>
      </c>
      <c r="AF476">
        <v>0</v>
      </c>
      <c r="AG476">
        <v>99.629499999999993</v>
      </c>
      <c r="AH476">
        <v>0.35611999999999999</v>
      </c>
      <c r="AI476">
        <v>1.43818E-2</v>
      </c>
      <c r="AJ476">
        <v>0</v>
      </c>
      <c r="AK476">
        <v>0</v>
      </c>
      <c r="AL476">
        <v>0.44559900000000002</v>
      </c>
      <c r="AM476">
        <v>1.4327000000000001</v>
      </c>
      <c r="AN476">
        <v>8.1085899999999995</v>
      </c>
      <c r="AO476">
        <v>12.790900000000001</v>
      </c>
      <c r="AP476">
        <v>19.546900000000001</v>
      </c>
      <c r="AQ476">
        <v>37.133099999999999</v>
      </c>
      <c r="AR476">
        <v>20.9878</v>
      </c>
      <c r="AS476">
        <v>7.7391500000000002E-2</v>
      </c>
      <c r="AT476">
        <v>3.9104800000000002</v>
      </c>
      <c r="AU476">
        <v>33.248600000000003</v>
      </c>
      <c r="AV476">
        <v>40.971699999999998</v>
      </c>
      <c r="AW476">
        <v>15.545299999999999</v>
      </c>
      <c r="AX476">
        <v>4.5261500000000003</v>
      </c>
      <c r="AY476">
        <v>1.79772</v>
      </c>
      <c r="AZ476">
        <v>610.02499999999998</v>
      </c>
      <c r="BA476">
        <v>676.19899999999996</v>
      </c>
      <c r="BB476">
        <v>38635.1</v>
      </c>
      <c r="BC476">
        <v>5.3942200000000003E-2</v>
      </c>
      <c r="BD476">
        <v>9.8617999999999997E-2</v>
      </c>
      <c r="BE476">
        <v>0.42939899999999998</v>
      </c>
      <c r="BF476">
        <v>2.1052200000000001</v>
      </c>
      <c r="BG476">
        <v>34.521099999999997</v>
      </c>
      <c r="BH476">
        <v>49.004199999999997</v>
      </c>
      <c r="BI476">
        <v>13.8414</v>
      </c>
      <c r="BJ476">
        <v>29.8703</v>
      </c>
      <c r="BK476">
        <v>0</v>
      </c>
      <c r="BL476">
        <v>39.530099999999997</v>
      </c>
      <c r="BM476">
        <v>52.8065</v>
      </c>
      <c r="BN476">
        <v>5.9478999999999997</v>
      </c>
      <c r="BO476">
        <v>0.67594399999999999</v>
      </c>
      <c r="BP476">
        <v>1.0396000000000001</v>
      </c>
      <c r="BQ476">
        <v>35.100900000000003</v>
      </c>
      <c r="BR476">
        <v>146018</v>
      </c>
    </row>
    <row r="477" spans="1:70" x14ac:dyDescent="0.25">
      <c r="A477">
        <v>44</v>
      </c>
      <c r="B477" s="7">
        <v>45988.562557870369</v>
      </c>
      <c r="C477" t="s">
        <v>169</v>
      </c>
      <c r="D477" s="6" t="s">
        <v>339</v>
      </c>
      <c r="E477" s="6" t="str">
        <f>VLOOKUP(F477,Germplasm!$A$1:$B$21,2,FALSE)</f>
        <v>Arild</v>
      </c>
      <c r="F477" t="s">
        <v>74</v>
      </c>
      <c r="G477" s="6" t="s">
        <v>113</v>
      </c>
      <c r="H477">
        <v>27746</v>
      </c>
      <c r="I477">
        <v>482.61</v>
      </c>
      <c r="J477">
        <v>172375</v>
      </c>
      <c r="K477">
        <v>9.8222000000000005</v>
      </c>
      <c r="L477">
        <v>83.224800000000002</v>
      </c>
      <c r="M477">
        <v>1555.21</v>
      </c>
      <c r="N477">
        <v>537.61099999999999</v>
      </c>
      <c r="O477">
        <v>17613500</v>
      </c>
      <c r="P477">
        <v>0.17924100000000001</v>
      </c>
      <c r="Q477">
        <v>0.45107199999999997</v>
      </c>
      <c r="R477">
        <v>9.8367900000000006</v>
      </c>
      <c r="S477">
        <v>29.3581</v>
      </c>
      <c r="T477">
        <v>42.130400000000002</v>
      </c>
      <c r="U477">
        <v>17.756900000000002</v>
      </c>
      <c r="V477">
        <v>0.466725</v>
      </c>
      <c r="W477">
        <v>84.543199999999999</v>
      </c>
      <c r="X477">
        <v>5.5822000000000003</v>
      </c>
      <c r="Y477">
        <v>16.390899999999998</v>
      </c>
      <c r="Z477">
        <v>10.976599999999999</v>
      </c>
      <c r="AA477">
        <v>28.0974</v>
      </c>
      <c r="AB477">
        <v>28.4346</v>
      </c>
      <c r="AC477">
        <v>10.5184</v>
      </c>
      <c r="AD477">
        <v>1.63876</v>
      </c>
      <c r="AE477">
        <v>8.8163400000000003</v>
      </c>
      <c r="AF477">
        <v>0</v>
      </c>
      <c r="AG477">
        <v>98.456100000000006</v>
      </c>
      <c r="AH477">
        <v>1.5382</v>
      </c>
      <c r="AI477">
        <v>4.2688200000000004E-3</v>
      </c>
      <c r="AJ477">
        <v>1.4229399999999999E-3</v>
      </c>
      <c r="AK477">
        <v>0</v>
      </c>
      <c r="AL477">
        <v>0.36250300000000002</v>
      </c>
      <c r="AM477">
        <v>5.8724800000000004</v>
      </c>
      <c r="AN477">
        <v>15.572699999999999</v>
      </c>
      <c r="AO477">
        <v>15.2568</v>
      </c>
      <c r="AP477">
        <v>19.322099999999999</v>
      </c>
      <c r="AQ477">
        <v>32.670699999999997</v>
      </c>
      <c r="AR477">
        <v>11.305300000000001</v>
      </c>
      <c r="AS477">
        <v>0.19680500000000001</v>
      </c>
      <c r="AT477">
        <v>0.49233700000000002</v>
      </c>
      <c r="AU477">
        <v>11.7948</v>
      </c>
      <c r="AV477">
        <v>42.703899999999997</v>
      </c>
      <c r="AW477">
        <v>31.521000000000001</v>
      </c>
      <c r="AX477">
        <v>11.439</v>
      </c>
      <c r="AY477">
        <v>2.0490300000000001</v>
      </c>
      <c r="AZ477">
        <v>634.81100000000004</v>
      </c>
      <c r="BA477">
        <v>699.60199999999998</v>
      </c>
      <c r="BB477">
        <v>16931.099999999999</v>
      </c>
      <c r="BC477">
        <v>0.17022100000000001</v>
      </c>
      <c r="BD477">
        <v>1.7075300000000002E-2</v>
      </c>
      <c r="BE477">
        <v>6.1186400000000002E-2</v>
      </c>
      <c r="BF477">
        <v>0.36427300000000001</v>
      </c>
      <c r="BG477">
        <v>11.8446</v>
      </c>
      <c r="BH477">
        <v>54.956800000000001</v>
      </c>
      <c r="BI477">
        <v>32.756100000000004</v>
      </c>
      <c r="BJ477">
        <v>32.957099999999997</v>
      </c>
      <c r="BK477">
        <v>0</v>
      </c>
      <c r="BL477">
        <v>28.322199999999999</v>
      </c>
      <c r="BM477">
        <v>62.054400000000001</v>
      </c>
      <c r="BN477">
        <v>8.1591400000000007</v>
      </c>
      <c r="BO477">
        <v>0.95621599999999995</v>
      </c>
      <c r="BP477">
        <v>0.50799000000000005</v>
      </c>
      <c r="BQ477">
        <v>37.633200000000002</v>
      </c>
      <c r="BR477">
        <v>70277</v>
      </c>
    </row>
    <row r="478" spans="1:70" x14ac:dyDescent="0.25">
      <c r="A478">
        <v>44</v>
      </c>
      <c r="B478" s="7">
        <v>45994.571967592594</v>
      </c>
      <c r="C478" t="s">
        <v>169</v>
      </c>
      <c r="D478" s="6" t="s">
        <v>340</v>
      </c>
      <c r="E478" s="6" t="str">
        <f>VLOOKUP(F478,Germplasm!$A$1:$B$21,2,FALSE)</f>
        <v>Arild</v>
      </c>
      <c r="F478" t="s">
        <v>74</v>
      </c>
      <c r="G478" s="6" t="s">
        <v>113</v>
      </c>
      <c r="H478">
        <v>38987.800000000003</v>
      </c>
      <c r="I478">
        <v>461.923</v>
      </c>
      <c r="J478">
        <v>187824</v>
      </c>
      <c r="K478">
        <v>12.039899999999999</v>
      </c>
      <c r="L478">
        <v>83.711600000000004</v>
      </c>
      <c r="M478">
        <v>1599.64</v>
      </c>
      <c r="N478">
        <v>556.15300000000002</v>
      </c>
      <c r="O478">
        <v>24395200</v>
      </c>
      <c r="P478">
        <v>0.113652</v>
      </c>
      <c r="Q478">
        <v>1.0523</v>
      </c>
      <c r="R478">
        <v>16.801400000000001</v>
      </c>
      <c r="S478">
        <v>46.358199999999997</v>
      </c>
      <c r="T478">
        <v>26.578700000000001</v>
      </c>
      <c r="U478">
        <v>8.7986500000000003</v>
      </c>
      <c r="V478">
        <v>0.41070200000000001</v>
      </c>
      <c r="W478">
        <v>68.088200000000001</v>
      </c>
      <c r="X478">
        <v>9.0776900000000005</v>
      </c>
      <c r="Y478">
        <v>30.0962</v>
      </c>
      <c r="Z478">
        <v>12.8644</v>
      </c>
      <c r="AA478">
        <v>19.6203</v>
      </c>
      <c r="AB478">
        <v>16.196200000000001</v>
      </c>
      <c r="AC478">
        <v>12.145200000000001</v>
      </c>
      <c r="AD478">
        <v>1.72407</v>
      </c>
      <c r="AE478">
        <v>11.2111</v>
      </c>
      <c r="AF478">
        <v>0</v>
      </c>
      <c r="AG478">
        <v>94.983099999999993</v>
      </c>
      <c r="AH478">
        <v>5.0138999999999996</v>
      </c>
      <c r="AI478">
        <v>2.9476200000000002E-3</v>
      </c>
      <c r="AJ478">
        <v>0</v>
      </c>
      <c r="AK478">
        <v>0</v>
      </c>
      <c r="AL478">
        <v>0.24784999999999999</v>
      </c>
      <c r="AM478">
        <v>7.1941600000000001</v>
      </c>
      <c r="AN478">
        <v>32.068100000000001</v>
      </c>
      <c r="AO478">
        <v>21.888999999999999</v>
      </c>
      <c r="AP478">
        <v>19.796199999999999</v>
      </c>
      <c r="AQ478">
        <v>14.844200000000001</v>
      </c>
      <c r="AR478">
        <v>4.2082199999999998</v>
      </c>
      <c r="AS478">
        <v>0.229546</v>
      </c>
      <c r="AT478">
        <v>0.99433099999999996</v>
      </c>
      <c r="AU478">
        <v>10.8443</v>
      </c>
      <c r="AV478">
        <v>33.055599999999998</v>
      </c>
      <c r="AW478">
        <v>36.050400000000003</v>
      </c>
      <c r="AX478">
        <v>16.132300000000001</v>
      </c>
      <c r="AY478">
        <v>2.92306</v>
      </c>
      <c r="AZ478">
        <v>625.71400000000006</v>
      </c>
      <c r="BA478">
        <v>683.399</v>
      </c>
      <c r="BB478">
        <v>22613.9</v>
      </c>
      <c r="BC478">
        <v>0.23355799999999999</v>
      </c>
      <c r="BD478">
        <v>9.6288899999999997E-2</v>
      </c>
      <c r="BE478">
        <v>0.233845</v>
      </c>
      <c r="BF478">
        <v>0.91179699999999997</v>
      </c>
      <c r="BG478">
        <v>10.5898</v>
      </c>
      <c r="BH478">
        <v>37.498600000000003</v>
      </c>
      <c r="BI478">
        <v>50.669600000000003</v>
      </c>
      <c r="BJ478">
        <v>31.8522</v>
      </c>
      <c r="BK478">
        <v>0</v>
      </c>
      <c r="BL478">
        <v>34.736699999999999</v>
      </c>
      <c r="BM478">
        <v>56.042099999999998</v>
      </c>
      <c r="BN478">
        <v>7.2472200000000004</v>
      </c>
      <c r="BO478">
        <v>1.1731499999999999</v>
      </c>
      <c r="BP478">
        <v>0.80076999999999998</v>
      </c>
      <c r="BQ478">
        <v>35.4878</v>
      </c>
      <c r="BR478">
        <v>101777</v>
      </c>
    </row>
    <row r="479" spans="1:70" x14ac:dyDescent="0.25">
      <c r="A479">
        <v>44</v>
      </c>
      <c r="B479" s="7">
        <v>46002.563125000001</v>
      </c>
      <c r="C479" t="s">
        <v>169</v>
      </c>
      <c r="D479" s="6" t="s">
        <v>341</v>
      </c>
      <c r="E479" s="6" t="str">
        <f>VLOOKUP(F479,Germplasm!$A$1:$B$21,2,FALSE)</f>
        <v>Arild</v>
      </c>
      <c r="F479" t="s">
        <v>74</v>
      </c>
      <c r="G479" s="6" t="s">
        <v>113</v>
      </c>
      <c r="H479">
        <v>25137.200000000001</v>
      </c>
      <c r="I479">
        <v>552.60500000000002</v>
      </c>
      <c r="J479">
        <v>114644</v>
      </c>
      <c r="K479">
        <v>11.153700000000001</v>
      </c>
      <c r="L479">
        <v>76.785499999999999</v>
      </c>
      <c r="M479">
        <v>1306.93</v>
      </c>
      <c r="N479">
        <v>478.577</v>
      </c>
      <c r="O479">
        <v>15840200</v>
      </c>
      <c r="P479">
        <v>3.3604799999999997E-2</v>
      </c>
      <c r="Q479">
        <v>2.0551699999999999</v>
      </c>
      <c r="R479">
        <v>34.933100000000003</v>
      </c>
      <c r="S479">
        <v>50.255499999999998</v>
      </c>
      <c r="T479">
        <v>9.3299299999999992</v>
      </c>
      <c r="U479">
        <v>3.13531</v>
      </c>
      <c r="V479">
        <v>0.29105500000000001</v>
      </c>
      <c r="W479">
        <v>42.537399999999998</v>
      </c>
      <c r="X479">
        <v>20.323699999999999</v>
      </c>
      <c r="Y479">
        <v>43.625900000000001</v>
      </c>
      <c r="Z479">
        <v>13.1767</v>
      </c>
      <c r="AA479">
        <v>10.000999999999999</v>
      </c>
      <c r="AB479">
        <v>4.1637000000000004</v>
      </c>
      <c r="AC479">
        <v>8.7090099999999993</v>
      </c>
      <c r="AD479">
        <v>1.96583</v>
      </c>
      <c r="AE479">
        <v>12.6539</v>
      </c>
      <c r="AF479">
        <v>0</v>
      </c>
      <c r="AG479">
        <v>93.887799999999999</v>
      </c>
      <c r="AH479">
        <v>6.0830500000000001</v>
      </c>
      <c r="AI479">
        <v>2.9105499999999999E-2</v>
      </c>
      <c r="AJ479">
        <v>0</v>
      </c>
      <c r="AK479">
        <v>0</v>
      </c>
      <c r="AL479">
        <v>0.138738</v>
      </c>
      <c r="AM479">
        <v>14.2568</v>
      </c>
      <c r="AN479">
        <v>48.145299999999999</v>
      </c>
      <c r="AO479">
        <v>23.544699999999999</v>
      </c>
      <c r="AP479">
        <v>8.8270499999999998</v>
      </c>
      <c r="AQ479">
        <v>3.3471299999999999</v>
      </c>
      <c r="AR479">
        <v>1.8789199999999999</v>
      </c>
      <c r="AS479">
        <v>0.26822299999999999</v>
      </c>
      <c r="AT479">
        <v>0.93461000000000005</v>
      </c>
      <c r="AU479">
        <v>5.1112500000000001</v>
      </c>
      <c r="AV479">
        <v>27.098800000000001</v>
      </c>
      <c r="AW479">
        <v>49.138199999999998</v>
      </c>
      <c r="AX479">
        <v>13.758800000000001</v>
      </c>
      <c r="AY479">
        <v>3.9583499999999998</v>
      </c>
      <c r="AZ479">
        <v>630.14800000000002</v>
      </c>
      <c r="BA479">
        <v>670.8</v>
      </c>
      <c r="BB479">
        <v>12787.1</v>
      </c>
      <c r="BC479">
        <v>0.31045099999999998</v>
      </c>
      <c r="BD479">
        <v>0.16169700000000001</v>
      </c>
      <c r="BE479">
        <v>0.28782099999999999</v>
      </c>
      <c r="BF479">
        <v>0.82789000000000001</v>
      </c>
      <c r="BG479">
        <v>4.7619800000000003</v>
      </c>
      <c r="BH479">
        <v>19.989000000000001</v>
      </c>
      <c r="BI479">
        <v>73.971599999999995</v>
      </c>
      <c r="BJ479">
        <v>30.735800000000001</v>
      </c>
      <c r="BK479">
        <v>0</v>
      </c>
      <c r="BL479">
        <v>39.198599999999999</v>
      </c>
      <c r="BM479">
        <v>51.712400000000002</v>
      </c>
      <c r="BN479">
        <v>6.2803199999999997</v>
      </c>
      <c r="BO479">
        <v>1.35826</v>
      </c>
      <c r="BP479">
        <v>1.45042</v>
      </c>
      <c r="BQ479">
        <v>30.585999999999999</v>
      </c>
      <c r="BR479">
        <v>61844</v>
      </c>
    </row>
    <row r="480" spans="1:70" x14ac:dyDescent="0.25">
      <c r="A480">
        <v>44</v>
      </c>
      <c r="B480" s="7">
        <v>46013.587511574071</v>
      </c>
      <c r="C480" t="s">
        <v>169</v>
      </c>
      <c r="D480" s="6" t="s">
        <v>342</v>
      </c>
      <c r="E480" s="6" t="str">
        <f>VLOOKUP(F480,Germplasm!$A$1:$B$21,2,FALSE)</f>
        <v>Arild</v>
      </c>
      <c r="F480" t="s">
        <v>74</v>
      </c>
      <c r="G480" s="6" t="s">
        <v>113</v>
      </c>
      <c r="H480">
        <v>35666.1</v>
      </c>
      <c r="I480">
        <v>518.34100000000001</v>
      </c>
      <c r="J480">
        <v>134759</v>
      </c>
      <c r="K480">
        <v>13.5662</v>
      </c>
      <c r="L480">
        <v>65.203400000000002</v>
      </c>
      <c r="M480">
        <v>1477.09</v>
      </c>
      <c r="N480">
        <v>557.38199999999995</v>
      </c>
      <c r="O480">
        <v>21535600</v>
      </c>
      <c r="P480">
        <v>9.1359400000000004E-3</v>
      </c>
      <c r="Q480">
        <v>1.45957</v>
      </c>
      <c r="R480">
        <v>36.870699999999999</v>
      </c>
      <c r="S480">
        <v>59.355600000000003</v>
      </c>
      <c r="T480">
        <v>2.11172</v>
      </c>
      <c r="U480">
        <v>0.16148499999999999</v>
      </c>
      <c r="V480">
        <v>4.0992300000000002E-2</v>
      </c>
      <c r="W480">
        <v>35.459000000000003</v>
      </c>
      <c r="X480">
        <v>19.489999999999998</v>
      </c>
      <c r="Y480">
        <v>57.040100000000002</v>
      </c>
      <c r="Z480">
        <v>11.1648</v>
      </c>
      <c r="AA480">
        <v>2.9464700000000001</v>
      </c>
      <c r="AB480">
        <v>1.13039</v>
      </c>
      <c r="AC480">
        <v>8.2282600000000006</v>
      </c>
      <c r="AD480">
        <v>1.9509099999999999</v>
      </c>
      <c r="AE480">
        <v>17.426300000000001</v>
      </c>
      <c r="AF480">
        <v>0</v>
      </c>
      <c r="AG480">
        <v>78.494</v>
      </c>
      <c r="AH480">
        <v>21.125900000000001</v>
      </c>
      <c r="AI480">
        <v>0.371415</v>
      </c>
      <c r="AJ480">
        <v>8.6953299999999994E-3</v>
      </c>
      <c r="AK480">
        <v>0</v>
      </c>
      <c r="AL480">
        <v>7.5523699999999999E-2</v>
      </c>
      <c r="AM480">
        <v>20.876200000000001</v>
      </c>
      <c r="AN480">
        <v>60.566699999999997</v>
      </c>
      <c r="AO480">
        <v>13.680199999999999</v>
      </c>
      <c r="AP480">
        <v>3.2694399999999999</v>
      </c>
      <c r="AQ480">
        <v>1.1291500000000001</v>
      </c>
      <c r="AR480">
        <v>0.47824299999999997</v>
      </c>
      <c r="AS480">
        <v>0.24709300000000001</v>
      </c>
      <c r="AT480">
        <v>0.84468900000000002</v>
      </c>
      <c r="AU480">
        <v>4.4284100000000004</v>
      </c>
      <c r="AV480">
        <v>31.729299999999999</v>
      </c>
      <c r="AW480">
        <v>50.898699999999998</v>
      </c>
      <c r="AX480">
        <v>9.8219899999999996</v>
      </c>
      <c r="AY480">
        <v>2.2769300000000001</v>
      </c>
      <c r="AZ480">
        <v>603.81299999999999</v>
      </c>
      <c r="BA480">
        <v>634.79899999999998</v>
      </c>
      <c r="BB480">
        <v>18281.7</v>
      </c>
      <c r="BC480">
        <v>0.32807700000000001</v>
      </c>
      <c r="BD480">
        <v>9.6890799999999999E-2</v>
      </c>
      <c r="BE480">
        <v>0.32793800000000001</v>
      </c>
      <c r="BF480">
        <v>1.0335000000000001</v>
      </c>
      <c r="BG480">
        <v>3.8147600000000002</v>
      </c>
      <c r="BH480">
        <v>13.8032</v>
      </c>
      <c r="BI480">
        <v>80.923699999999997</v>
      </c>
      <c r="BJ480">
        <v>26.6753</v>
      </c>
      <c r="BK480">
        <v>0</v>
      </c>
      <c r="BL480">
        <v>50.011800000000001</v>
      </c>
      <c r="BM480">
        <v>45.337400000000002</v>
      </c>
      <c r="BN480">
        <v>3.29305</v>
      </c>
      <c r="BO480">
        <v>0.74034500000000003</v>
      </c>
      <c r="BP480">
        <v>0.61736800000000003</v>
      </c>
      <c r="BQ480">
        <v>30.859200000000001</v>
      </c>
      <c r="BR480">
        <v>80503</v>
      </c>
    </row>
    <row r="481" spans="1:70" x14ac:dyDescent="0.25">
      <c r="A481">
        <v>44</v>
      </c>
      <c r="B481" s="7">
        <v>46024.525509259256</v>
      </c>
      <c r="C481" t="s">
        <v>169</v>
      </c>
      <c r="D481" s="6" t="s">
        <v>343</v>
      </c>
      <c r="E481" s="6" t="str">
        <f>VLOOKUP(F481,Germplasm!$A$1:$B$21,2,FALSE)</f>
        <v>Arild</v>
      </c>
      <c r="F481" t="s">
        <v>74</v>
      </c>
      <c r="G481" s="6" t="s">
        <v>113</v>
      </c>
      <c r="H481">
        <v>37986.1</v>
      </c>
      <c r="I481">
        <v>473.42200000000003</v>
      </c>
      <c r="J481">
        <v>173209</v>
      </c>
      <c r="K481">
        <v>11.737</v>
      </c>
      <c r="L481">
        <v>75.9131</v>
      </c>
      <c r="M481">
        <v>1561.28</v>
      </c>
      <c r="N481">
        <v>549.60299999999995</v>
      </c>
      <c r="O481">
        <v>20165100</v>
      </c>
      <c r="P481">
        <v>7.7222499999999999E-3</v>
      </c>
      <c r="Q481">
        <v>1.13446</v>
      </c>
      <c r="R481">
        <v>37.788499999999999</v>
      </c>
      <c r="S481">
        <v>59.506100000000004</v>
      </c>
      <c r="T481">
        <v>1.3593999999999999</v>
      </c>
      <c r="U481">
        <v>0.187252</v>
      </c>
      <c r="V481">
        <v>2.43185E-2</v>
      </c>
      <c r="W481">
        <v>35.823900000000002</v>
      </c>
      <c r="X481">
        <v>19.477900000000002</v>
      </c>
      <c r="Y481">
        <v>57.656700000000001</v>
      </c>
      <c r="Z481">
        <v>9.6823999999999995</v>
      </c>
      <c r="AA481">
        <v>3.0957400000000002</v>
      </c>
      <c r="AB481">
        <v>1.35819</v>
      </c>
      <c r="AC481">
        <v>8.72912</v>
      </c>
      <c r="AD481">
        <v>1.86852</v>
      </c>
      <c r="AE481">
        <v>20.4297</v>
      </c>
      <c r="AF481">
        <v>0</v>
      </c>
      <c r="AG481">
        <v>69.890100000000004</v>
      </c>
      <c r="AH481">
        <v>29.561499999999999</v>
      </c>
      <c r="AI481">
        <v>0.50217699999999998</v>
      </c>
      <c r="AJ481">
        <v>4.6205099999999999E-2</v>
      </c>
      <c r="AK481">
        <v>0</v>
      </c>
      <c r="AL481">
        <v>6.6839800000000005E-2</v>
      </c>
      <c r="AM481">
        <v>22.793700000000001</v>
      </c>
      <c r="AN481">
        <v>60.702599999999997</v>
      </c>
      <c r="AO481">
        <v>12.569000000000001</v>
      </c>
      <c r="AP481">
        <v>2.7309600000000001</v>
      </c>
      <c r="AQ481">
        <v>0.88519199999999998</v>
      </c>
      <c r="AR481">
        <v>0.31857200000000002</v>
      </c>
      <c r="AS481">
        <v>0.23527000000000001</v>
      </c>
      <c r="AT481">
        <v>0.98976200000000003</v>
      </c>
      <c r="AU481">
        <v>5.1457899999999999</v>
      </c>
      <c r="AV481">
        <v>34.9529</v>
      </c>
      <c r="AW481">
        <v>47.958500000000001</v>
      </c>
      <c r="AX481">
        <v>8.4117599999999992</v>
      </c>
      <c r="AY481">
        <v>2.54128</v>
      </c>
      <c r="AZ481">
        <v>530.85400000000004</v>
      </c>
      <c r="BA481">
        <v>564.59900000000005</v>
      </c>
      <c r="BB481">
        <v>20329.5</v>
      </c>
      <c r="BC481">
        <v>0.31020500000000001</v>
      </c>
      <c r="BD481">
        <v>0.161718</v>
      </c>
      <c r="BE481">
        <v>0.70280399999999998</v>
      </c>
      <c r="BF481">
        <v>1.2572700000000001</v>
      </c>
      <c r="BG481">
        <v>4.0137600000000004</v>
      </c>
      <c r="BH481">
        <v>14.127800000000001</v>
      </c>
      <c r="BI481">
        <v>79.736599999999996</v>
      </c>
      <c r="BJ481">
        <v>25.645099999999999</v>
      </c>
      <c r="BK481">
        <v>0</v>
      </c>
      <c r="BL481">
        <v>54.827199999999998</v>
      </c>
      <c r="BM481">
        <v>40.482999999999997</v>
      </c>
      <c r="BN481">
        <v>3.1662699999999999</v>
      </c>
      <c r="BO481">
        <v>0.95936399999999999</v>
      </c>
      <c r="BP481">
        <v>0.56418900000000005</v>
      </c>
      <c r="BQ481">
        <v>32.384500000000003</v>
      </c>
      <c r="BR481">
        <v>82242</v>
      </c>
    </row>
    <row r="482" spans="1:70" x14ac:dyDescent="0.25">
      <c r="A482">
        <v>44</v>
      </c>
      <c r="B482" s="7">
        <v>45952.571134259262</v>
      </c>
      <c r="C482" t="s">
        <v>166</v>
      </c>
      <c r="D482" s="6" t="s">
        <v>335</v>
      </c>
      <c r="E482" s="6" t="str">
        <f>VLOOKUP(F482,Germplasm!$A$1:$B$21,2,FALSE)</f>
        <v>Bamse</v>
      </c>
      <c r="F482" t="s">
        <v>69</v>
      </c>
      <c r="G482" s="6" t="s">
        <v>113</v>
      </c>
      <c r="H482">
        <v>27051.4</v>
      </c>
      <c r="I482">
        <v>268.935</v>
      </c>
      <c r="J482">
        <v>56364.7</v>
      </c>
      <c r="K482">
        <v>28.576599999999999</v>
      </c>
      <c r="L482">
        <v>83.168999999999997</v>
      </c>
      <c r="M482">
        <v>914.69600000000003</v>
      </c>
      <c r="N482">
        <v>318.17500000000001</v>
      </c>
      <c r="O482">
        <v>8747130</v>
      </c>
      <c r="P482">
        <v>0.24421999999999999</v>
      </c>
      <c r="Q482">
        <v>0.65281299999999998</v>
      </c>
      <c r="R482">
        <v>2.49701</v>
      </c>
      <c r="S482">
        <v>16.162500000000001</v>
      </c>
      <c r="T482">
        <v>47.622700000000002</v>
      </c>
      <c r="U482">
        <v>32.762099999999997</v>
      </c>
      <c r="V482">
        <v>0.30283199999999999</v>
      </c>
      <c r="W482">
        <v>119.441</v>
      </c>
      <c r="X482">
        <v>0.774308</v>
      </c>
      <c r="Y482">
        <v>1.0426899999999999</v>
      </c>
      <c r="Z482">
        <v>2.5604800000000001</v>
      </c>
      <c r="AA482">
        <v>15.3592</v>
      </c>
      <c r="AB482">
        <v>41.110900000000001</v>
      </c>
      <c r="AC482">
        <v>39.1524</v>
      </c>
      <c r="AD482">
        <v>1.67947</v>
      </c>
      <c r="AE482">
        <v>7.0275699999999999</v>
      </c>
      <c r="AF482">
        <v>0</v>
      </c>
      <c r="AG482">
        <v>99.980099999999993</v>
      </c>
      <c r="AH482">
        <v>1.9947099999999999E-2</v>
      </c>
      <c r="AI482">
        <v>0</v>
      </c>
      <c r="AJ482">
        <v>0</v>
      </c>
      <c r="AK482">
        <v>0</v>
      </c>
      <c r="AL482">
        <v>0.54170300000000005</v>
      </c>
      <c r="AM482">
        <v>0.230298</v>
      </c>
      <c r="AN482">
        <v>0.97740499999999997</v>
      </c>
      <c r="AO482">
        <v>3.3928099999999999</v>
      </c>
      <c r="AP482">
        <v>14.3383</v>
      </c>
      <c r="AQ482">
        <v>45.912700000000001</v>
      </c>
      <c r="AR482">
        <v>35.148499999999999</v>
      </c>
      <c r="AS482">
        <v>2.3485300000000001E-2</v>
      </c>
      <c r="AT482">
        <v>7.4203000000000001</v>
      </c>
      <c r="AU482">
        <v>38.563099999999999</v>
      </c>
      <c r="AV482">
        <v>41.566000000000003</v>
      </c>
      <c r="AW482">
        <v>9.7813099999999995</v>
      </c>
      <c r="AX482">
        <v>1.6138999999999999</v>
      </c>
      <c r="AY482">
        <v>1.05538</v>
      </c>
      <c r="AZ482">
        <v>323.35199999999998</v>
      </c>
      <c r="BA482">
        <v>367.19900000000001</v>
      </c>
      <c r="BB482">
        <v>16107.1</v>
      </c>
      <c r="BC482">
        <v>2.6361100000000001E-3</v>
      </c>
      <c r="BD482">
        <v>3.6267399999999998E-2</v>
      </c>
      <c r="BE482">
        <v>0.373554</v>
      </c>
      <c r="BF482">
        <v>3.31121</v>
      </c>
      <c r="BG482">
        <v>42.2624</v>
      </c>
      <c r="BH482">
        <v>51.2059</v>
      </c>
      <c r="BI482">
        <v>2.8107199999999999</v>
      </c>
      <c r="BJ482">
        <v>32.124099999999999</v>
      </c>
      <c r="BK482">
        <v>0</v>
      </c>
      <c r="BL482">
        <v>29.8462</v>
      </c>
      <c r="BM482">
        <v>62.408900000000003</v>
      </c>
      <c r="BN482">
        <v>6.70221</v>
      </c>
      <c r="BO482">
        <v>0.63830600000000004</v>
      </c>
      <c r="BP482">
        <v>0.40438099999999999</v>
      </c>
      <c r="BQ482">
        <v>36.568300000000001</v>
      </c>
      <c r="BR482">
        <v>55146</v>
      </c>
    </row>
    <row r="483" spans="1:70" x14ac:dyDescent="0.25">
      <c r="A483">
        <v>44</v>
      </c>
      <c r="B483" s="7">
        <v>45959.536886574075</v>
      </c>
      <c r="C483" t="s">
        <v>166</v>
      </c>
      <c r="D483" s="6" t="s">
        <v>336</v>
      </c>
      <c r="E483" s="6" t="str">
        <f>VLOOKUP(F483,Germplasm!$A$1:$B$21,2,FALSE)</f>
        <v>Bamse</v>
      </c>
      <c r="F483" t="s">
        <v>69</v>
      </c>
      <c r="G483" s="6" t="s">
        <v>113</v>
      </c>
      <c r="H483">
        <v>54067.8</v>
      </c>
      <c r="I483">
        <v>472.005</v>
      </c>
      <c r="J483">
        <v>160796</v>
      </c>
      <c r="K483">
        <v>19.275400000000001</v>
      </c>
      <c r="L483">
        <v>84.983800000000002</v>
      </c>
      <c r="M483">
        <v>1485.59</v>
      </c>
      <c r="N483">
        <v>509.65800000000002</v>
      </c>
      <c r="O483">
        <v>28274100</v>
      </c>
      <c r="P483">
        <v>0.22108700000000001</v>
      </c>
      <c r="Q483">
        <v>0.62182400000000004</v>
      </c>
      <c r="R483">
        <v>3.1805099999999999</v>
      </c>
      <c r="S483">
        <v>22.496500000000001</v>
      </c>
      <c r="T483">
        <v>48.1021</v>
      </c>
      <c r="U483">
        <v>25.072099999999999</v>
      </c>
      <c r="V483">
        <v>0.52695400000000003</v>
      </c>
      <c r="W483">
        <v>123.83499999999999</v>
      </c>
      <c r="X483">
        <v>0.770235</v>
      </c>
      <c r="Y483">
        <v>1.3873599999999999</v>
      </c>
      <c r="Z483">
        <v>2.6854900000000002</v>
      </c>
      <c r="AA483">
        <v>13.0189</v>
      </c>
      <c r="AB483">
        <v>34.109200000000001</v>
      </c>
      <c r="AC483">
        <v>48.0289</v>
      </c>
      <c r="AD483">
        <v>1.7444500000000001</v>
      </c>
      <c r="AE483">
        <v>6.75624</v>
      </c>
      <c r="AF483">
        <v>0</v>
      </c>
      <c r="AG483">
        <v>99.937100000000001</v>
      </c>
      <c r="AH483">
        <v>6.1994500000000001E-2</v>
      </c>
      <c r="AI483">
        <v>9.3931099999999997E-4</v>
      </c>
      <c r="AJ483">
        <v>0</v>
      </c>
      <c r="AK483">
        <v>0</v>
      </c>
      <c r="AL483">
        <v>0.52305299999999999</v>
      </c>
      <c r="AM483">
        <v>0.36257400000000001</v>
      </c>
      <c r="AN483">
        <v>1.9359200000000001</v>
      </c>
      <c r="AO483">
        <v>5.3258900000000002</v>
      </c>
      <c r="AP483">
        <v>17.3538</v>
      </c>
      <c r="AQ483">
        <v>42.956600000000002</v>
      </c>
      <c r="AR483">
        <v>32.065300000000001</v>
      </c>
      <c r="AS483">
        <v>8.4726199999999999E-4</v>
      </c>
      <c r="AT483">
        <v>8.5787300000000002</v>
      </c>
      <c r="AU483">
        <v>45.431699999999999</v>
      </c>
      <c r="AV483">
        <v>35.680700000000002</v>
      </c>
      <c r="AW483">
        <v>7.6816899999999997</v>
      </c>
      <c r="AX483">
        <v>1.4409000000000001</v>
      </c>
      <c r="AY483">
        <v>1.18635</v>
      </c>
      <c r="AZ483">
        <v>522.93799999999999</v>
      </c>
      <c r="BA483">
        <v>575.99900000000002</v>
      </c>
      <c r="BB483">
        <v>30994.1</v>
      </c>
      <c r="BC483">
        <v>-9.4604100000000007E-3</v>
      </c>
      <c r="BD483">
        <v>5.1662100000000002E-2</v>
      </c>
      <c r="BE483">
        <v>0.44711200000000001</v>
      </c>
      <c r="BF483">
        <v>3.6370100000000001</v>
      </c>
      <c r="BG483">
        <v>49.873699999999999</v>
      </c>
      <c r="BH483">
        <v>42.745199999999997</v>
      </c>
      <c r="BI483">
        <v>3.24532</v>
      </c>
      <c r="BJ483">
        <v>29.960899999999999</v>
      </c>
      <c r="BK483">
        <v>0</v>
      </c>
      <c r="BL483">
        <v>38.987000000000002</v>
      </c>
      <c r="BM483">
        <v>53.812199999999997</v>
      </c>
      <c r="BN483">
        <v>5.8415800000000004</v>
      </c>
      <c r="BO483">
        <v>0.76741700000000002</v>
      </c>
      <c r="BP483">
        <v>0.59176600000000001</v>
      </c>
      <c r="BQ483">
        <v>35.020499999999998</v>
      </c>
      <c r="BR483">
        <v>106461</v>
      </c>
    </row>
    <row r="484" spans="1:70" x14ac:dyDescent="0.25">
      <c r="A484">
        <v>44</v>
      </c>
      <c r="B484" s="7">
        <v>45966.54310185185</v>
      </c>
      <c r="C484" t="s">
        <v>166</v>
      </c>
      <c r="D484" s="6" t="s">
        <v>337</v>
      </c>
      <c r="E484" s="6" t="str">
        <f>VLOOKUP(F484,Germplasm!$A$1:$B$21,2,FALSE)</f>
        <v>Bamse</v>
      </c>
      <c r="F484" t="s">
        <v>69</v>
      </c>
      <c r="G484" s="6" t="s">
        <v>113</v>
      </c>
      <c r="H484">
        <v>62112</v>
      </c>
      <c r="I484">
        <v>449.166</v>
      </c>
      <c r="J484">
        <v>156506</v>
      </c>
      <c r="K484">
        <v>22.7944</v>
      </c>
      <c r="L484">
        <v>85.565700000000007</v>
      </c>
      <c r="M484">
        <v>1495.14</v>
      </c>
      <c r="N484">
        <v>511.48899999999998</v>
      </c>
      <c r="O484">
        <v>35693100</v>
      </c>
      <c r="P484">
        <v>0.22706100000000001</v>
      </c>
      <c r="Q484">
        <v>0.52613600000000005</v>
      </c>
      <c r="R484">
        <v>2.6750600000000002</v>
      </c>
      <c r="S484">
        <v>20.0867</v>
      </c>
      <c r="T484">
        <v>51.197699999999998</v>
      </c>
      <c r="U484">
        <v>24.790199999999999</v>
      </c>
      <c r="V484">
        <v>0.72423000000000004</v>
      </c>
      <c r="W484">
        <v>120.908</v>
      </c>
      <c r="X484">
        <v>0.80505199999999999</v>
      </c>
      <c r="Y484">
        <v>1.28206</v>
      </c>
      <c r="Z484">
        <v>2.8073800000000002</v>
      </c>
      <c r="AA484">
        <v>13.639900000000001</v>
      </c>
      <c r="AB484">
        <v>38.315300000000001</v>
      </c>
      <c r="AC484">
        <v>43.150300000000001</v>
      </c>
      <c r="AD484">
        <v>1.74108</v>
      </c>
      <c r="AE484">
        <v>6.4704899999999999</v>
      </c>
      <c r="AF484">
        <v>0</v>
      </c>
      <c r="AG484">
        <v>99.9739</v>
      </c>
      <c r="AH484">
        <v>2.6148299999999999E-2</v>
      </c>
      <c r="AI484">
        <v>0</v>
      </c>
      <c r="AJ484">
        <v>0</v>
      </c>
      <c r="AK484">
        <v>0</v>
      </c>
      <c r="AL484">
        <v>0.51834899999999995</v>
      </c>
      <c r="AM484">
        <v>0.438975</v>
      </c>
      <c r="AN484">
        <v>2.2907500000000001</v>
      </c>
      <c r="AO484">
        <v>5.7439200000000001</v>
      </c>
      <c r="AP484">
        <v>16.062999999999999</v>
      </c>
      <c r="AQ484">
        <v>45.424399999999999</v>
      </c>
      <c r="AR484">
        <v>30.038900000000002</v>
      </c>
      <c r="AS484">
        <v>1.7289800000000001E-2</v>
      </c>
      <c r="AT484">
        <v>5.8192000000000004</v>
      </c>
      <c r="AU484">
        <v>44.027500000000003</v>
      </c>
      <c r="AV484">
        <v>39.250999999999998</v>
      </c>
      <c r="AW484">
        <v>7.86273</v>
      </c>
      <c r="AX484">
        <v>1.64655</v>
      </c>
      <c r="AY484">
        <v>1.39299</v>
      </c>
      <c r="AZ484">
        <v>574.65800000000002</v>
      </c>
      <c r="BA484">
        <v>663.59900000000005</v>
      </c>
      <c r="BB484">
        <v>35674.5</v>
      </c>
      <c r="BC484">
        <v>5.4207500000000004E-4</v>
      </c>
      <c r="BD484">
        <v>5.3881400000000003E-2</v>
      </c>
      <c r="BE484">
        <v>0.358153</v>
      </c>
      <c r="BF484">
        <v>2.5245000000000002</v>
      </c>
      <c r="BG484">
        <v>46.906199999999998</v>
      </c>
      <c r="BH484">
        <v>46.447400000000002</v>
      </c>
      <c r="BI484">
        <v>3.7099000000000002</v>
      </c>
      <c r="BJ484">
        <v>29.975100000000001</v>
      </c>
      <c r="BK484">
        <v>0</v>
      </c>
      <c r="BL484">
        <v>38.320799999999998</v>
      </c>
      <c r="BM484">
        <v>54.920999999999999</v>
      </c>
      <c r="BN484">
        <v>5.133</v>
      </c>
      <c r="BO484">
        <v>0.92549300000000001</v>
      </c>
      <c r="BP484">
        <v>0.69966600000000001</v>
      </c>
      <c r="BQ484">
        <v>35.100900000000003</v>
      </c>
      <c r="BR484">
        <v>126203</v>
      </c>
    </row>
    <row r="485" spans="1:70" x14ac:dyDescent="0.25">
      <c r="A485">
        <v>44</v>
      </c>
      <c r="B485" s="7">
        <v>45973.564652777779</v>
      </c>
      <c r="C485" t="s">
        <v>166</v>
      </c>
      <c r="D485" s="6" t="s">
        <v>338</v>
      </c>
      <c r="E485" s="6" t="str">
        <f>VLOOKUP(F485,Germplasm!$A$1:$B$21,2,FALSE)</f>
        <v>Bamse</v>
      </c>
      <c r="F485" t="s">
        <v>69</v>
      </c>
      <c r="G485" s="6" t="s">
        <v>113</v>
      </c>
      <c r="H485">
        <v>78209.600000000006</v>
      </c>
      <c r="I485">
        <v>463.435</v>
      </c>
      <c r="J485">
        <v>230336</v>
      </c>
      <c r="K485">
        <v>20.288599999999999</v>
      </c>
      <c r="L485">
        <v>83.558099999999996</v>
      </c>
      <c r="M485">
        <v>1789.51</v>
      </c>
      <c r="N485">
        <v>618.91700000000003</v>
      </c>
      <c r="O485">
        <v>47903400</v>
      </c>
      <c r="P485">
        <v>0.215831</v>
      </c>
      <c r="Q485">
        <v>0.58729200000000004</v>
      </c>
      <c r="R485">
        <v>4.1847500000000002</v>
      </c>
      <c r="S485">
        <v>22.3979</v>
      </c>
      <c r="T485">
        <v>49.935099999999998</v>
      </c>
      <c r="U485">
        <v>22.016400000000001</v>
      </c>
      <c r="V485">
        <v>0.878579</v>
      </c>
      <c r="W485">
        <v>111.898</v>
      </c>
      <c r="X485">
        <v>1.6533800000000001</v>
      </c>
      <c r="Y485">
        <v>4.40646</v>
      </c>
      <c r="Z485">
        <v>5.7272699999999999</v>
      </c>
      <c r="AA485">
        <v>18.386500000000002</v>
      </c>
      <c r="AB485">
        <v>35.013399999999997</v>
      </c>
      <c r="AC485">
        <v>34.813000000000002</v>
      </c>
      <c r="AD485">
        <v>1.67357</v>
      </c>
      <c r="AE485">
        <v>6.82118</v>
      </c>
      <c r="AF485">
        <v>0</v>
      </c>
      <c r="AG485">
        <v>99.833100000000002</v>
      </c>
      <c r="AH485">
        <v>0.16687099999999999</v>
      </c>
      <c r="AI485">
        <v>0</v>
      </c>
      <c r="AJ485">
        <v>0</v>
      </c>
      <c r="AK485">
        <v>0</v>
      </c>
      <c r="AL485">
        <v>0.47854600000000003</v>
      </c>
      <c r="AM485">
        <v>1.09321</v>
      </c>
      <c r="AN485">
        <v>5.5603999999999996</v>
      </c>
      <c r="AO485">
        <v>9.3200099999999999</v>
      </c>
      <c r="AP485">
        <v>18.661300000000001</v>
      </c>
      <c r="AQ485">
        <v>39.848599999999998</v>
      </c>
      <c r="AR485">
        <v>25.516500000000001</v>
      </c>
      <c r="AS485">
        <v>6.7396300000000006E-2</v>
      </c>
      <c r="AT485">
        <v>3.71421</v>
      </c>
      <c r="AU485">
        <v>36.481099999999998</v>
      </c>
      <c r="AV485">
        <v>39.887500000000003</v>
      </c>
      <c r="AW485">
        <v>13.472300000000001</v>
      </c>
      <c r="AX485">
        <v>4.7260499999999999</v>
      </c>
      <c r="AY485">
        <v>1.7188300000000001</v>
      </c>
      <c r="AZ485">
        <v>612.5</v>
      </c>
      <c r="BA485">
        <v>647.399</v>
      </c>
      <c r="BB485">
        <v>46732.1</v>
      </c>
      <c r="BC485">
        <v>4.3706799999999997E-2</v>
      </c>
      <c r="BD485">
        <v>3.6558300000000002E-2</v>
      </c>
      <c r="BE485">
        <v>0.22819500000000001</v>
      </c>
      <c r="BF485">
        <v>1.6740200000000001</v>
      </c>
      <c r="BG485">
        <v>38.256500000000003</v>
      </c>
      <c r="BH485">
        <v>49.056600000000003</v>
      </c>
      <c r="BI485">
        <v>10.748100000000001</v>
      </c>
      <c r="BJ485">
        <v>30.6678</v>
      </c>
      <c r="BK485">
        <v>0</v>
      </c>
      <c r="BL485">
        <v>37.464599999999997</v>
      </c>
      <c r="BM485">
        <v>53.811500000000002</v>
      </c>
      <c r="BN485">
        <v>6.9861800000000001</v>
      </c>
      <c r="BO485">
        <v>1.0831900000000001</v>
      </c>
      <c r="BP485">
        <v>0.65451199999999998</v>
      </c>
      <c r="BQ485">
        <v>36.750100000000003</v>
      </c>
      <c r="BR485">
        <v>169592</v>
      </c>
    </row>
    <row r="486" spans="1:70" x14ac:dyDescent="0.25">
      <c r="A486">
        <v>44</v>
      </c>
      <c r="B486" s="7">
        <v>45988.562557870369</v>
      </c>
      <c r="C486" t="s">
        <v>166</v>
      </c>
      <c r="D486" s="6" t="s">
        <v>339</v>
      </c>
      <c r="E486" s="6" t="str">
        <f>VLOOKUP(F486,Germplasm!$A$1:$B$21,2,FALSE)</f>
        <v>Bamse</v>
      </c>
      <c r="F486" t="s">
        <v>69</v>
      </c>
      <c r="G486" s="6" t="s">
        <v>113</v>
      </c>
      <c r="H486">
        <v>36916.400000000001</v>
      </c>
      <c r="I486">
        <v>369.68099999999998</v>
      </c>
      <c r="J486">
        <v>177598</v>
      </c>
      <c r="K486">
        <v>12.523400000000001</v>
      </c>
      <c r="L486">
        <v>87.090599999999995</v>
      </c>
      <c r="M486">
        <v>1571.54</v>
      </c>
      <c r="N486">
        <v>524.83500000000004</v>
      </c>
      <c r="O486">
        <v>21639900</v>
      </c>
      <c r="P486">
        <v>0.194082</v>
      </c>
      <c r="Q486">
        <v>0.25012200000000001</v>
      </c>
      <c r="R486">
        <v>8.3760399999999997</v>
      </c>
      <c r="S486">
        <v>25.357900000000001</v>
      </c>
      <c r="T486">
        <v>46.129199999999997</v>
      </c>
      <c r="U486">
        <v>19.655899999999999</v>
      </c>
      <c r="V486">
        <v>0.23080400000000001</v>
      </c>
      <c r="W486">
        <v>84.1935</v>
      </c>
      <c r="X486">
        <v>4.6567400000000001</v>
      </c>
      <c r="Y486">
        <v>14.352499999999999</v>
      </c>
      <c r="Z486">
        <v>11.9367</v>
      </c>
      <c r="AA486">
        <v>35.4268</v>
      </c>
      <c r="AB486">
        <v>25.6294</v>
      </c>
      <c r="AC486">
        <v>7.9977999999999998</v>
      </c>
      <c r="AD486">
        <v>1.65981</v>
      </c>
      <c r="AE486">
        <v>9.2278400000000005</v>
      </c>
      <c r="AF486">
        <v>0</v>
      </c>
      <c r="AG486">
        <v>97.266999999999996</v>
      </c>
      <c r="AH486">
        <v>2.7218599999999999</v>
      </c>
      <c r="AI486">
        <v>1.1184299999999999E-2</v>
      </c>
      <c r="AJ486">
        <v>0</v>
      </c>
      <c r="AK486">
        <v>0</v>
      </c>
      <c r="AL486">
        <v>0.35975200000000002</v>
      </c>
      <c r="AM486">
        <v>3.0675500000000002</v>
      </c>
      <c r="AN486">
        <v>16.397200000000002</v>
      </c>
      <c r="AO486">
        <v>15.9255</v>
      </c>
      <c r="AP486">
        <v>25.205400000000001</v>
      </c>
      <c r="AQ486">
        <v>30.713200000000001</v>
      </c>
      <c r="AR486">
        <v>8.6912299999999991</v>
      </c>
      <c r="AS486">
        <v>0.20768400000000001</v>
      </c>
      <c r="AT486">
        <v>0.31011100000000003</v>
      </c>
      <c r="AU486">
        <v>9.2219800000000003</v>
      </c>
      <c r="AV486">
        <v>39.188800000000001</v>
      </c>
      <c r="AW486">
        <v>39.950400000000002</v>
      </c>
      <c r="AX486">
        <v>9.9723400000000009</v>
      </c>
      <c r="AY486">
        <v>1.3563499999999999</v>
      </c>
      <c r="AZ486">
        <v>586.18799999999999</v>
      </c>
      <c r="BA486">
        <v>613.80200000000002</v>
      </c>
      <c r="BB486">
        <v>22241.4</v>
      </c>
      <c r="BC486">
        <v>0.174343</v>
      </c>
      <c r="BD486">
        <v>9.1508000000000006E-3</v>
      </c>
      <c r="BE486">
        <v>4.98211E-2</v>
      </c>
      <c r="BF486">
        <v>0.26334000000000002</v>
      </c>
      <c r="BG486">
        <v>9.2097800000000003</v>
      </c>
      <c r="BH486">
        <v>56.568199999999997</v>
      </c>
      <c r="BI486">
        <v>33.899700000000003</v>
      </c>
      <c r="BJ486">
        <v>33.979500000000002</v>
      </c>
      <c r="BK486">
        <v>0</v>
      </c>
      <c r="BL486">
        <v>24.194700000000001</v>
      </c>
      <c r="BM486">
        <v>65.767899999999997</v>
      </c>
      <c r="BN486">
        <v>8.9921900000000008</v>
      </c>
      <c r="BO486">
        <v>0.73918200000000001</v>
      </c>
      <c r="BP486">
        <v>0.30604399999999998</v>
      </c>
      <c r="BQ486">
        <v>37.085000000000001</v>
      </c>
      <c r="BR486">
        <v>98352</v>
      </c>
    </row>
    <row r="487" spans="1:70" x14ac:dyDescent="0.25">
      <c r="A487">
        <v>44</v>
      </c>
      <c r="B487" s="7">
        <v>45994.571967592594</v>
      </c>
      <c r="C487" t="s">
        <v>166</v>
      </c>
      <c r="D487" s="6" t="s">
        <v>340</v>
      </c>
      <c r="E487" s="6" t="str">
        <f>VLOOKUP(F487,Germplasm!$A$1:$B$21,2,FALSE)</f>
        <v>Bamse</v>
      </c>
      <c r="F487" t="s">
        <v>69</v>
      </c>
      <c r="G487" s="6" t="s">
        <v>113</v>
      </c>
      <c r="H487">
        <v>51294</v>
      </c>
      <c r="I487">
        <v>367.49900000000002</v>
      </c>
      <c r="J487">
        <v>161440</v>
      </c>
      <c r="K487">
        <v>19.086400000000001</v>
      </c>
      <c r="L487">
        <v>71.5565</v>
      </c>
      <c r="M487">
        <v>1503.8</v>
      </c>
      <c r="N487">
        <v>546.4</v>
      </c>
      <c r="O487">
        <v>30325400</v>
      </c>
      <c r="P487">
        <v>0.14806</v>
      </c>
      <c r="Q487">
        <v>0.769401</v>
      </c>
      <c r="R487">
        <v>13.102</v>
      </c>
      <c r="S487">
        <v>36.604599999999998</v>
      </c>
      <c r="T487">
        <v>36.604599999999998</v>
      </c>
      <c r="U487">
        <v>12.5754</v>
      </c>
      <c r="V487">
        <v>0.34411700000000001</v>
      </c>
      <c r="W487">
        <v>71.814999999999998</v>
      </c>
      <c r="X487">
        <v>6.8830200000000001</v>
      </c>
      <c r="Y487">
        <v>23.718599999999999</v>
      </c>
      <c r="Z487">
        <v>16.449200000000001</v>
      </c>
      <c r="AA487">
        <v>27.401900000000001</v>
      </c>
      <c r="AB487">
        <v>17.1737</v>
      </c>
      <c r="AC487">
        <v>8.3735199999999992</v>
      </c>
      <c r="AD487">
        <v>1.6646799999999999</v>
      </c>
      <c r="AE487">
        <v>9.9433100000000003</v>
      </c>
      <c r="AF487">
        <v>0</v>
      </c>
      <c r="AG487">
        <v>95.517799999999994</v>
      </c>
      <c r="AH487">
        <v>4.4721900000000003</v>
      </c>
      <c r="AI487">
        <v>1.00619E-2</v>
      </c>
      <c r="AJ487">
        <v>0</v>
      </c>
      <c r="AK487">
        <v>0</v>
      </c>
      <c r="AL487">
        <v>0.27850000000000003</v>
      </c>
      <c r="AM487">
        <v>4.9940600000000002</v>
      </c>
      <c r="AN487">
        <v>27.601199999999999</v>
      </c>
      <c r="AO487">
        <v>22.101299999999998</v>
      </c>
      <c r="AP487">
        <v>22.4314</v>
      </c>
      <c r="AQ487">
        <v>17.993400000000001</v>
      </c>
      <c r="AR487">
        <v>4.8786899999999997</v>
      </c>
      <c r="AS487">
        <v>0.233991</v>
      </c>
      <c r="AT487">
        <v>0.77007199999999998</v>
      </c>
      <c r="AU487">
        <v>7.2405499999999998</v>
      </c>
      <c r="AV487">
        <v>34.0032</v>
      </c>
      <c r="AW487">
        <v>43.474200000000003</v>
      </c>
      <c r="AX487">
        <v>12.163500000000001</v>
      </c>
      <c r="AY487">
        <v>2.3484500000000001</v>
      </c>
      <c r="AZ487">
        <v>591.20799999999997</v>
      </c>
      <c r="BA487">
        <v>640.19899999999996</v>
      </c>
      <c r="BB487">
        <v>30813.200000000001</v>
      </c>
      <c r="BC487">
        <v>0.22369800000000001</v>
      </c>
      <c r="BD487">
        <v>4.3601599999999997E-2</v>
      </c>
      <c r="BE487">
        <v>0.21465400000000001</v>
      </c>
      <c r="BF487">
        <v>0.66676999999999997</v>
      </c>
      <c r="BG487">
        <v>7.0835900000000001</v>
      </c>
      <c r="BH487">
        <v>42.951000000000001</v>
      </c>
      <c r="BI487">
        <v>49.040399999999998</v>
      </c>
      <c r="BJ487">
        <v>33.254899999999999</v>
      </c>
      <c r="BK487">
        <v>0</v>
      </c>
      <c r="BL487">
        <v>27.496500000000001</v>
      </c>
      <c r="BM487">
        <v>62.454999999999998</v>
      </c>
      <c r="BN487">
        <v>8.5412199999999991</v>
      </c>
      <c r="BO487">
        <v>0.94716199999999995</v>
      </c>
      <c r="BP487">
        <v>0.56011299999999997</v>
      </c>
      <c r="BQ487">
        <v>36.965400000000002</v>
      </c>
      <c r="BR487">
        <v>149077</v>
      </c>
    </row>
    <row r="488" spans="1:70" x14ac:dyDescent="0.25">
      <c r="A488">
        <v>44</v>
      </c>
      <c r="B488" s="7">
        <v>46002.563125000001</v>
      </c>
      <c r="C488" t="s">
        <v>166</v>
      </c>
      <c r="D488" s="6" t="s">
        <v>341</v>
      </c>
      <c r="E488" s="6" t="str">
        <f>VLOOKUP(F488,Germplasm!$A$1:$B$21,2,FALSE)</f>
        <v>Bamse</v>
      </c>
      <c r="F488" t="s">
        <v>69</v>
      </c>
      <c r="G488" s="6" t="s">
        <v>113</v>
      </c>
      <c r="H488">
        <v>37324.1</v>
      </c>
      <c r="I488">
        <v>385.8</v>
      </c>
      <c r="J488">
        <v>124305</v>
      </c>
      <c r="K488">
        <v>16.613499999999998</v>
      </c>
      <c r="L488">
        <v>73.933499999999995</v>
      </c>
      <c r="M488">
        <v>1337.31</v>
      </c>
      <c r="N488">
        <v>500.65</v>
      </c>
      <c r="O488">
        <v>21811100</v>
      </c>
      <c r="P488">
        <v>0.100562</v>
      </c>
      <c r="Q488">
        <v>0.89859299999999998</v>
      </c>
      <c r="R488">
        <v>22.525200000000002</v>
      </c>
      <c r="S488">
        <v>43.908200000000001</v>
      </c>
      <c r="T488">
        <v>23.206199999999999</v>
      </c>
      <c r="U488">
        <v>9.1837700000000009</v>
      </c>
      <c r="V488">
        <v>0.27801199999999998</v>
      </c>
      <c r="W488">
        <v>55.878100000000003</v>
      </c>
      <c r="X488">
        <v>12.430400000000001</v>
      </c>
      <c r="Y488">
        <v>34.904600000000002</v>
      </c>
      <c r="Z488">
        <v>17.583500000000001</v>
      </c>
      <c r="AA488">
        <v>21.698499999999999</v>
      </c>
      <c r="AB488">
        <v>7.34389</v>
      </c>
      <c r="AC488">
        <v>6.0392099999999997</v>
      </c>
      <c r="AD488">
        <v>1.80735</v>
      </c>
      <c r="AE488">
        <v>11.6709</v>
      </c>
      <c r="AF488">
        <v>0</v>
      </c>
      <c r="AG488">
        <v>91.753299999999996</v>
      </c>
      <c r="AH488">
        <v>8.2310300000000005</v>
      </c>
      <c r="AI488">
        <v>1.5618699999999999E-2</v>
      </c>
      <c r="AJ488">
        <v>0</v>
      </c>
      <c r="AK488">
        <v>0</v>
      </c>
      <c r="AL488">
        <v>0.19603000000000001</v>
      </c>
      <c r="AM488">
        <v>8.8099600000000002</v>
      </c>
      <c r="AN488">
        <v>39.798400000000001</v>
      </c>
      <c r="AO488">
        <v>24.551500000000001</v>
      </c>
      <c r="AP488">
        <v>17.1816</v>
      </c>
      <c r="AQ488">
        <v>7.5854600000000003</v>
      </c>
      <c r="AR488">
        <v>2.0731199999999999</v>
      </c>
      <c r="AS488">
        <v>0.27448299999999998</v>
      </c>
      <c r="AT488">
        <v>0.45085900000000001</v>
      </c>
      <c r="AU488">
        <v>4.0681399999999996</v>
      </c>
      <c r="AV488">
        <v>25.3657</v>
      </c>
      <c r="AW488">
        <v>53.143999999999998</v>
      </c>
      <c r="AX488">
        <v>13.6694</v>
      </c>
      <c r="AY488">
        <v>3.3017799999999999</v>
      </c>
      <c r="AZ488">
        <v>584.37</v>
      </c>
      <c r="BA488">
        <v>645.6</v>
      </c>
      <c r="BB488">
        <v>20651.3</v>
      </c>
      <c r="BC488">
        <v>0.28941600000000001</v>
      </c>
      <c r="BD488">
        <v>5.2062200000000003E-2</v>
      </c>
      <c r="BE488">
        <v>0.164516</v>
      </c>
      <c r="BF488">
        <v>0.49771399999999999</v>
      </c>
      <c r="BG488">
        <v>3.8047</v>
      </c>
      <c r="BH488">
        <v>26.943200000000001</v>
      </c>
      <c r="BI488">
        <v>68.537800000000004</v>
      </c>
      <c r="BJ488">
        <v>33.170999999999999</v>
      </c>
      <c r="BK488">
        <v>0</v>
      </c>
      <c r="BL488">
        <v>29.1111</v>
      </c>
      <c r="BM488">
        <v>59.731999999999999</v>
      </c>
      <c r="BN488">
        <v>9.2452000000000005</v>
      </c>
      <c r="BO488">
        <v>1.3400799999999999</v>
      </c>
      <c r="BP488">
        <v>0.57164300000000001</v>
      </c>
      <c r="BQ488">
        <v>33.623399999999997</v>
      </c>
      <c r="BR488">
        <v>96039</v>
      </c>
    </row>
    <row r="489" spans="1:70" x14ac:dyDescent="0.25">
      <c r="A489">
        <v>44</v>
      </c>
      <c r="B489" s="7">
        <v>46013.587511574071</v>
      </c>
      <c r="C489" t="s">
        <v>166</v>
      </c>
      <c r="D489" s="6" t="s">
        <v>342</v>
      </c>
      <c r="E489" s="6" t="str">
        <f>VLOOKUP(F489,Germplasm!$A$1:$B$21,2,FALSE)</f>
        <v>Bamse</v>
      </c>
      <c r="F489" t="s">
        <v>69</v>
      </c>
      <c r="G489" s="6" t="s">
        <v>113</v>
      </c>
      <c r="H489">
        <v>35402.1</v>
      </c>
      <c r="I489">
        <v>480.12599999999998</v>
      </c>
      <c r="J489">
        <v>128250</v>
      </c>
      <c r="K489">
        <v>15.039</v>
      </c>
      <c r="L489">
        <v>46.153100000000002</v>
      </c>
      <c r="M489">
        <v>1511</v>
      </c>
      <c r="N489">
        <v>629.95600000000002</v>
      </c>
      <c r="O489">
        <v>19261600</v>
      </c>
      <c r="P489">
        <v>1.7468399999999999E-2</v>
      </c>
      <c r="Q489">
        <v>1.08711</v>
      </c>
      <c r="R489">
        <v>36.7624</v>
      </c>
      <c r="S489">
        <v>57.197400000000002</v>
      </c>
      <c r="T489">
        <v>4.1295799999999998</v>
      </c>
      <c r="U489">
        <v>0.78842999999999996</v>
      </c>
      <c r="V489">
        <v>3.5068200000000001E-2</v>
      </c>
      <c r="W489">
        <v>36.446100000000001</v>
      </c>
      <c r="X489">
        <v>19.5898</v>
      </c>
      <c r="Y489">
        <v>57.565100000000001</v>
      </c>
      <c r="Z489">
        <v>10.2605</v>
      </c>
      <c r="AA489">
        <v>4.1888399999999999</v>
      </c>
      <c r="AB489">
        <v>1.3531500000000001</v>
      </c>
      <c r="AC489">
        <v>7.0426599999999997</v>
      </c>
      <c r="AD489">
        <v>1.83548</v>
      </c>
      <c r="AE489">
        <v>18.273399999999999</v>
      </c>
      <c r="AF489">
        <v>0</v>
      </c>
      <c r="AG489">
        <v>76.356800000000007</v>
      </c>
      <c r="AH489">
        <v>23.4207</v>
      </c>
      <c r="AI489">
        <v>0.22250200000000001</v>
      </c>
      <c r="AJ489">
        <v>0</v>
      </c>
      <c r="AK489">
        <v>0</v>
      </c>
      <c r="AL489">
        <v>8.03928E-2</v>
      </c>
      <c r="AM489">
        <v>18.510000000000002</v>
      </c>
      <c r="AN489">
        <v>62.4407</v>
      </c>
      <c r="AO489">
        <v>13.808400000000001</v>
      </c>
      <c r="AP489">
        <v>4.0086599999999999</v>
      </c>
      <c r="AQ489">
        <v>0.97223599999999999</v>
      </c>
      <c r="AR489">
        <v>0.259988</v>
      </c>
      <c r="AS489">
        <v>0.25857400000000003</v>
      </c>
      <c r="AT489">
        <v>0.68322499999999997</v>
      </c>
      <c r="AU489">
        <v>3.8708</v>
      </c>
      <c r="AV489">
        <v>25.8477</v>
      </c>
      <c r="AW489">
        <v>57.869799999999998</v>
      </c>
      <c r="AX489">
        <v>9.6643100000000004</v>
      </c>
      <c r="AY489">
        <v>2.06419</v>
      </c>
      <c r="AZ489">
        <v>544.08100000000002</v>
      </c>
      <c r="BA489">
        <v>579.59900000000005</v>
      </c>
      <c r="BB489">
        <v>19287.599999999999</v>
      </c>
      <c r="BC489">
        <v>0.338478</v>
      </c>
      <c r="BD489">
        <v>0.126971</v>
      </c>
      <c r="BE489">
        <v>0.39663300000000001</v>
      </c>
      <c r="BF489">
        <v>0.92991199999999996</v>
      </c>
      <c r="BG489">
        <v>3.1005099999999999</v>
      </c>
      <c r="BH489">
        <v>12.109400000000001</v>
      </c>
      <c r="BI489">
        <v>83.336600000000004</v>
      </c>
      <c r="BJ489">
        <v>27.863099999999999</v>
      </c>
      <c r="BK489">
        <v>0</v>
      </c>
      <c r="BL489">
        <v>43.645400000000002</v>
      </c>
      <c r="BM489">
        <v>51.499499999999998</v>
      </c>
      <c r="BN489">
        <v>3.8309000000000002</v>
      </c>
      <c r="BO489">
        <v>0.67717899999999998</v>
      </c>
      <c r="BP489">
        <v>0.34705399999999997</v>
      </c>
      <c r="BQ489">
        <v>33.039200000000001</v>
      </c>
      <c r="BR489">
        <v>82696</v>
      </c>
    </row>
    <row r="490" spans="1:70" x14ac:dyDescent="0.25">
      <c r="A490">
        <v>44</v>
      </c>
      <c r="B490" s="7">
        <v>46024.525509259256</v>
      </c>
      <c r="C490" t="s">
        <v>166</v>
      </c>
      <c r="D490" s="6" t="s">
        <v>343</v>
      </c>
      <c r="E490" s="6" t="str">
        <f>VLOOKUP(F490,Germplasm!$A$1:$B$21,2,FALSE)</f>
        <v>Bamse</v>
      </c>
      <c r="F490" t="s">
        <v>69</v>
      </c>
      <c r="G490" s="6" t="s">
        <v>113</v>
      </c>
      <c r="H490">
        <v>39697.800000000003</v>
      </c>
      <c r="I490">
        <v>440.04199999999997</v>
      </c>
      <c r="J490">
        <v>159651</v>
      </c>
      <c r="K490">
        <v>13.5457</v>
      </c>
      <c r="L490">
        <v>68.506500000000003</v>
      </c>
      <c r="M490">
        <v>1545.76</v>
      </c>
      <c r="N490">
        <v>574.74</v>
      </c>
      <c r="O490">
        <v>19181400</v>
      </c>
      <c r="P490">
        <v>6.5052799999999996E-3</v>
      </c>
      <c r="Q490">
        <v>0.91210500000000005</v>
      </c>
      <c r="R490">
        <v>39.365400000000001</v>
      </c>
      <c r="S490">
        <v>58.572200000000002</v>
      </c>
      <c r="T490">
        <v>0.99589399999999995</v>
      </c>
      <c r="U490">
        <v>0.13286600000000001</v>
      </c>
      <c r="V490">
        <v>2.15458E-2</v>
      </c>
      <c r="W490">
        <v>34.105200000000004</v>
      </c>
      <c r="X490">
        <v>20.610900000000001</v>
      </c>
      <c r="Y490">
        <v>62.906500000000001</v>
      </c>
      <c r="Z490">
        <v>7.8366800000000003</v>
      </c>
      <c r="AA490">
        <v>2.1043099999999999</v>
      </c>
      <c r="AB490">
        <v>0.892953</v>
      </c>
      <c r="AC490">
        <v>5.6485900000000004</v>
      </c>
      <c r="AD490">
        <v>1.8356699999999999</v>
      </c>
      <c r="AE490">
        <v>20.858599999999999</v>
      </c>
      <c r="AF490">
        <v>0</v>
      </c>
      <c r="AG490">
        <v>69.237399999999994</v>
      </c>
      <c r="AH490">
        <v>30.481300000000001</v>
      </c>
      <c r="AI490">
        <v>0.28009499999999998</v>
      </c>
      <c r="AJ490">
        <v>1.19699E-3</v>
      </c>
      <c r="AK490">
        <v>0</v>
      </c>
      <c r="AL490">
        <v>6.9058599999999998E-2</v>
      </c>
      <c r="AM490">
        <v>18.473099999999999</v>
      </c>
      <c r="AN490">
        <v>67.042100000000005</v>
      </c>
      <c r="AO490">
        <v>11.375</v>
      </c>
      <c r="AP490">
        <v>2.3245499999999999</v>
      </c>
      <c r="AQ490">
        <v>0.62722199999999995</v>
      </c>
      <c r="AR490">
        <v>0.158002</v>
      </c>
      <c r="AS490">
        <v>0.25881399999999999</v>
      </c>
      <c r="AT490">
        <v>0.33276299999999998</v>
      </c>
      <c r="AU490">
        <v>3.1588500000000002</v>
      </c>
      <c r="AV490">
        <v>27.020800000000001</v>
      </c>
      <c r="AW490">
        <v>59.108499999999999</v>
      </c>
      <c r="AX490">
        <v>8.2053600000000007</v>
      </c>
      <c r="AY490">
        <v>2.1737299999999999</v>
      </c>
      <c r="AZ490">
        <v>483.18599999999998</v>
      </c>
      <c r="BA490">
        <v>537.29899999999998</v>
      </c>
      <c r="BB490">
        <v>21625.8</v>
      </c>
      <c r="BC490">
        <v>0.34124399999999999</v>
      </c>
      <c r="BD490">
        <v>6.9425299999999995E-2</v>
      </c>
      <c r="BE490">
        <v>0.31959599999999999</v>
      </c>
      <c r="BF490">
        <v>0.60807</v>
      </c>
      <c r="BG490">
        <v>2.4945200000000001</v>
      </c>
      <c r="BH490">
        <v>11.793900000000001</v>
      </c>
      <c r="BI490">
        <v>84.714500000000001</v>
      </c>
      <c r="BJ490">
        <v>26.997800000000002</v>
      </c>
      <c r="BK490">
        <v>0</v>
      </c>
      <c r="BL490">
        <v>45.331099999999999</v>
      </c>
      <c r="BM490">
        <v>50.344099999999997</v>
      </c>
      <c r="BN490">
        <v>3.2282799999999998</v>
      </c>
      <c r="BO490">
        <v>0.71579899999999996</v>
      </c>
      <c r="BP490">
        <v>0.38064199999999998</v>
      </c>
      <c r="BQ490">
        <v>33.040199999999999</v>
      </c>
      <c r="BR490">
        <v>83543</v>
      </c>
    </row>
    <row r="491" spans="1:70" x14ac:dyDescent="0.25">
      <c r="A491">
        <v>44</v>
      </c>
      <c r="B491" s="7">
        <v>45952.571134259262</v>
      </c>
      <c r="C491" t="s">
        <v>167</v>
      </c>
      <c r="D491" s="6" t="s">
        <v>335</v>
      </c>
      <c r="E491" s="6" t="str">
        <f>VLOOKUP(F491,Germplasm!$A$1:$B$21,2,FALSE)</f>
        <v>Arve</v>
      </c>
      <c r="F491" t="s">
        <v>68</v>
      </c>
      <c r="G491" s="6" t="s">
        <v>113</v>
      </c>
      <c r="H491">
        <v>19991.5</v>
      </c>
      <c r="I491">
        <v>272.27600000000001</v>
      </c>
      <c r="J491">
        <v>41247.4</v>
      </c>
      <c r="K491">
        <v>27.8827</v>
      </c>
      <c r="L491">
        <v>71.414400000000001</v>
      </c>
      <c r="M491">
        <v>776.31100000000004</v>
      </c>
      <c r="N491">
        <v>282.92099999999999</v>
      </c>
      <c r="O491">
        <v>6228990</v>
      </c>
      <c r="P491">
        <v>0.245195</v>
      </c>
      <c r="Q491">
        <v>0.64695199999999997</v>
      </c>
      <c r="R491">
        <v>2.6968700000000001</v>
      </c>
      <c r="S491">
        <v>16.753799999999998</v>
      </c>
      <c r="T491">
        <v>46.064999999999998</v>
      </c>
      <c r="U491">
        <v>33.3292</v>
      </c>
      <c r="V491">
        <v>0.50814300000000001</v>
      </c>
      <c r="W491">
        <v>118.06100000000001</v>
      </c>
      <c r="X491">
        <v>0.71635700000000002</v>
      </c>
      <c r="Y491">
        <v>1.2988599999999999</v>
      </c>
      <c r="Z491">
        <v>3.28186</v>
      </c>
      <c r="AA491">
        <v>16.4068</v>
      </c>
      <c r="AB491">
        <v>40.562199999999997</v>
      </c>
      <c r="AC491">
        <v>37.733899999999998</v>
      </c>
      <c r="AD491">
        <v>1.7382599999999999</v>
      </c>
      <c r="AE491">
        <v>6.9900900000000004</v>
      </c>
      <c r="AF491">
        <v>0</v>
      </c>
      <c r="AG491">
        <v>99.719899999999996</v>
      </c>
      <c r="AH491">
        <v>0.28009800000000001</v>
      </c>
      <c r="AI491">
        <v>0</v>
      </c>
      <c r="AJ491">
        <v>0</v>
      </c>
      <c r="AK491">
        <v>0</v>
      </c>
      <c r="AL491">
        <v>0.54931099999999999</v>
      </c>
      <c r="AM491">
        <v>0.20821500000000001</v>
      </c>
      <c r="AN491">
        <v>1.1823600000000001</v>
      </c>
      <c r="AO491">
        <v>4.32789</v>
      </c>
      <c r="AP491">
        <v>13.464499999999999</v>
      </c>
      <c r="AQ491">
        <v>41.033099999999997</v>
      </c>
      <c r="AR491">
        <v>39.783900000000003</v>
      </c>
      <c r="AS491">
        <v>2.6363399999999999E-2</v>
      </c>
      <c r="AT491">
        <v>7.9964300000000001</v>
      </c>
      <c r="AU491">
        <v>36.254100000000001</v>
      </c>
      <c r="AV491">
        <v>42.220500000000001</v>
      </c>
      <c r="AW491">
        <v>10.633800000000001</v>
      </c>
      <c r="AX491">
        <v>1.7029000000000001</v>
      </c>
      <c r="AY491">
        <v>1.19228</v>
      </c>
      <c r="AZ491">
        <v>311.58199999999999</v>
      </c>
      <c r="BA491">
        <v>402.59899999999999</v>
      </c>
      <c r="BB491">
        <v>11500.9</v>
      </c>
      <c r="BC491">
        <v>6.8070700000000001E-3</v>
      </c>
      <c r="BD491">
        <v>8.6756100000000003E-2</v>
      </c>
      <c r="BE491">
        <v>0.42882300000000001</v>
      </c>
      <c r="BF491">
        <v>2.81833</v>
      </c>
      <c r="BG491">
        <v>40.916600000000003</v>
      </c>
      <c r="BH491">
        <v>52.356000000000002</v>
      </c>
      <c r="BI491">
        <v>3.3934000000000002</v>
      </c>
      <c r="BJ491">
        <v>32.629100000000001</v>
      </c>
      <c r="BK491">
        <v>0</v>
      </c>
      <c r="BL491">
        <v>30.022600000000001</v>
      </c>
      <c r="BM491">
        <v>60.8581</v>
      </c>
      <c r="BN491">
        <v>7.6890700000000001</v>
      </c>
      <c r="BO491">
        <v>0.86508200000000002</v>
      </c>
      <c r="BP491">
        <v>0.56515400000000005</v>
      </c>
      <c r="BQ491">
        <v>35.126399999999997</v>
      </c>
      <c r="BR491">
        <v>40343</v>
      </c>
    </row>
    <row r="492" spans="1:70" x14ac:dyDescent="0.25">
      <c r="A492">
        <v>44</v>
      </c>
      <c r="B492" s="7">
        <v>45959.536886574075</v>
      </c>
      <c r="C492" t="s">
        <v>167</v>
      </c>
      <c r="D492" s="6" t="s">
        <v>336</v>
      </c>
      <c r="E492" s="6" t="str">
        <f>VLOOKUP(F492,Germplasm!$A$1:$B$21,2,FALSE)</f>
        <v>Arve</v>
      </c>
      <c r="F492" t="s">
        <v>68</v>
      </c>
      <c r="G492" s="6" t="s">
        <v>113</v>
      </c>
      <c r="H492">
        <v>43170.5</v>
      </c>
      <c r="I492">
        <v>412.96300000000002</v>
      </c>
      <c r="J492">
        <v>92191.6</v>
      </c>
      <c r="K492">
        <v>28.387</v>
      </c>
      <c r="L492">
        <v>65.775700000000001</v>
      </c>
      <c r="M492">
        <v>1179.6300000000001</v>
      </c>
      <c r="N492">
        <v>445.31799999999998</v>
      </c>
      <c r="O492">
        <v>19680700</v>
      </c>
      <c r="P492">
        <v>0.231404</v>
      </c>
      <c r="Q492">
        <v>0.69746900000000001</v>
      </c>
      <c r="R492">
        <v>3.6918299999999999</v>
      </c>
      <c r="S492">
        <v>21.759699999999999</v>
      </c>
      <c r="T492">
        <v>44.016800000000003</v>
      </c>
      <c r="U492">
        <v>28.8416</v>
      </c>
      <c r="V492">
        <v>0.99259399999999998</v>
      </c>
      <c r="W492">
        <v>123.321</v>
      </c>
      <c r="X492">
        <v>0.78036899999999998</v>
      </c>
      <c r="Y492">
        <v>1.45242</v>
      </c>
      <c r="Z492">
        <v>3.04521</v>
      </c>
      <c r="AA492">
        <v>14.4468</v>
      </c>
      <c r="AB492">
        <v>32.939100000000003</v>
      </c>
      <c r="AC492">
        <v>47.336100000000002</v>
      </c>
      <c r="AD492">
        <v>1.6495899999999999</v>
      </c>
      <c r="AE492">
        <v>6.4888300000000001</v>
      </c>
      <c r="AF492">
        <v>0</v>
      </c>
      <c r="AG492">
        <v>99.826499999999996</v>
      </c>
      <c r="AH492">
        <v>0.172433</v>
      </c>
      <c r="AI492">
        <v>1.10534E-3</v>
      </c>
      <c r="AJ492">
        <v>0</v>
      </c>
      <c r="AK492">
        <v>0</v>
      </c>
      <c r="AL492">
        <v>0.54798199999999997</v>
      </c>
      <c r="AM492">
        <v>0.44545200000000001</v>
      </c>
      <c r="AN492">
        <v>1.97414</v>
      </c>
      <c r="AO492">
        <v>4.7618</v>
      </c>
      <c r="AP492">
        <v>13.776899999999999</v>
      </c>
      <c r="AQ492">
        <v>37.666600000000003</v>
      </c>
      <c r="AR492">
        <v>41.375</v>
      </c>
      <c r="AS492">
        <v>4.4325700000000003E-3</v>
      </c>
      <c r="AT492">
        <v>11.3452</v>
      </c>
      <c r="AU492">
        <v>41.397100000000002</v>
      </c>
      <c r="AV492">
        <v>33.878599999999999</v>
      </c>
      <c r="AW492">
        <v>9.5921299999999992</v>
      </c>
      <c r="AX492">
        <v>2.25379</v>
      </c>
      <c r="AY492">
        <v>1.5330999999999999</v>
      </c>
      <c r="AZ492">
        <v>455.88299999999998</v>
      </c>
      <c r="BA492">
        <v>473.99900000000002</v>
      </c>
      <c r="BB492">
        <v>26170.400000000001</v>
      </c>
      <c r="BC492">
        <v>-7.0048000000000003E-3</v>
      </c>
      <c r="BD492">
        <v>5.8583000000000003E-2</v>
      </c>
      <c r="BE492">
        <v>0.564828</v>
      </c>
      <c r="BF492">
        <v>3.86537</v>
      </c>
      <c r="BG492">
        <v>48.253599999999999</v>
      </c>
      <c r="BH492">
        <v>43.329300000000003</v>
      </c>
      <c r="BI492">
        <v>3.9283700000000001</v>
      </c>
      <c r="BJ492">
        <v>32.075899999999997</v>
      </c>
      <c r="BK492">
        <v>0</v>
      </c>
      <c r="BL492">
        <v>35.7898</v>
      </c>
      <c r="BM492">
        <v>52.744599999999998</v>
      </c>
      <c r="BN492">
        <v>9.2749000000000006</v>
      </c>
      <c r="BO492">
        <v>1.3507199999999999</v>
      </c>
      <c r="BP492">
        <v>0.84005700000000005</v>
      </c>
      <c r="BQ492">
        <v>37.359299999999998</v>
      </c>
      <c r="BR492">
        <v>90470</v>
      </c>
    </row>
    <row r="493" spans="1:70" x14ac:dyDescent="0.25">
      <c r="A493">
        <v>44</v>
      </c>
      <c r="B493" s="7">
        <v>45966.54310185185</v>
      </c>
      <c r="C493" t="s">
        <v>167</v>
      </c>
      <c r="D493" s="6" t="s">
        <v>337</v>
      </c>
      <c r="E493" s="6" t="str">
        <f>VLOOKUP(F493,Germplasm!$A$1:$B$21,2,FALSE)</f>
        <v>Arve</v>
      </c>
      <c r="F493" t="s">
        <v>68</v>
      </c>
      <c r="G493" s="6" t="s">
        <v>113</v>
      </c>
      <c r="H493">
        <v>48237</v>
      </c>
      <c r="I493">
        <v>435.39499999999998</v>
      </c>
      <c r="J493">
        <v>86329.9</v>
      </c>
      <c r="K493">
        <v>32.525300000000001</v>
      </c>
      <c r="L493">
        <v>81.414500000000004</v>
      </c>
      <c r="M493">
        <v>1103.17</v>
      </c>
      <c r="N493">
        <v>384.03199999999998</v>
      </c>
      <c r="O493">
        <v>25106100</v>
      </c>
      <c r="P493">
        <v>0.25196499999999999</v>
      </c>
      <c r="Q493">
        <v>0.54730199999999996</v>
      </c>
      <c r="R493">
        <v>2.84165</v>
      </c>
      <c r="S493">
        <v>18.239799999999999</v>
      </c>
      <c r="T493">
        <v>44.053400000000003</v>
      </c>
      <c r="U493">
        <v>32.352699999999999</v>
      </c>
      <c r="V493">
        <v>1.9651799999999999</v>
      </c>
      <c r="W493">
        <v>118.06399999999999</v>
      </c>
      <c r="X493">
        <v>0.82439200000000001</v>
      </c>
      <c r="Y493">
        <v>1.63798</v>
      </c>
      <c r="Z493">
        <v>3.7554500000000002</v>
      </c>
      <c r="AA493">
        <v>17.608000000000001</v>
      </c>
      <c r="AB493">
        <v>36.2958</v>
      </c>
      <c r="AC493">
        <v>39.878399999999999</v>
      </c>
      <c r="AD493">
        <v>1.7179</v>
      </c>
      <c r="AE493">
        <v>5.7955300000000003</v>
      </c>
      <c r="AF493">
        <v>0</v>
      </c>
      <c r="AG493">
        <v>99.846699999999998</v>
      </c>
      <c r="AH493">
        <v>0.15131900000000001</v>
      </c>
      <c r="AI493">
        <v>1.96518E-3</v>
      </c>
      <c r="AJ493">
        <v>0</v>
      </c>
      <c r="AK493">
        <v>0</v>
      </c>
      <c r="AL493">
        <v>0.55702099999999999</v>
      </c>
      <c r="AM493">
        <v>0.37927899999999998</v>
      </c>
      <c r="AN493">
        <v>1.71756</v>
      </c>
      <c r="AO493">
        <v>5.3138399999999999</v>
      </c>
      <c r="AP493">
        <v>12.221399999999999</v>
      </c>
      <c r="AQ493">
        <v>35.244500000000002</v>
      </c>
      <c r="AR493">
        <v>45.123399999999997</v>
      </c>
      <c r="AS493">
        <v>4.9666200000000001E-2</v>
      </c>
      <c r="AT493">
        <v>7.5698600000000003</v>
      </c>
      <c r="AU493">
        <v>38.0321</v>
      </c>
      <c r="AV493">
        <v>35.8949</v>
      </c>
      <c r="AW493">
        <v>11.792999999999999</v>
      </c>
      <c r="AX493">
        <v>3.53241</v>
      </c>
      <c r="AY493">
        <v>3.1776900000000001</v>
      </c>
      <c r="AZ493">
        <v>520.47400000000005</v>
      </c>
      <c r="BA493">
        <v>589.19899999999996</v>
      </c>
      <c r="BB493">
        <v>28079</v>
      </c>
      <c r="BC493">
        <v>1.3340100000000001E-2</v>
      </c>
      <c r="BD493">
        <v>6.1903100000000003E-2</v>
      </c>
      <c r="BE493">
        <v>0.31442799999999999</v>
      </c>
      <c r="BF493">
        <v>2.29827</v>
      </c>
      <c r="BG493">
        <v>42.927300000000002</v>
      </c>
      <c r="BH493">
        <v>49.296500000000002</v>
      </c>
      <c r="BI493">
        <v>5.1016000000000004</v>
      </c>
      <c r="BJ493">
        <v>34.311199999999999</v>
      </c>
      <c r="BK493">
        <v>0</v>
      </c>
      <c r="BL493">
        <v>31.434999999999999</v>
      </c>
      <c r="BM493">
        <v>54.151400000000002</v>
      </c>
      <c r="BN493">
        <v>10.590299999999999</v>
      </c>
      <c r="BO493">
        <v>2.5940300000000001</v>
      </c>
      <c r="BP493">
        <v>1.22922</v>
      </c>
      <c r="BQ493">
        <v>35.641399999999997</v>
      </c>
      <c r="BR493">
        <v>101772</v>
      </c>
    </row>
    <row r="494" spans="1:70" x14ac:dyDescent="0.25">
      <c r="A494">
        <v>44</v>
      </c>
      <c r="B494" s="7">
        <v>45973.564652777779</v>
      </c>
      <c r="C494" t="s">
        <v>167</v>
      </c>
      <c r="D494" s="6" t="s">
        <v>338</v>
      </c>
      <c r="E494" s="6" t="str">
        <f>VLOOKUP(F494,Germplasm!$A$1:$B$21,2,FALSE)</f>
        <v>Arve</v>
      </c>
      <c r="F494" t="s">
        <v>68</v>
      </c>
      <c r="G494" s="6" t="s">
        <v>113</v>
      </c>
      <c r="H494">
        <v>51693.2</v>
      </c>
      <c r="I494">
        <v>388.86500000000001</v>
      </c>
      <c r="J494">
        <v>110479</v>
      </c>
      <c r="K494">
        <v>26.827100000000002</v>
      </c>
      <c r="L494">
        <v>92.736000000000004</v>
      </c>
      <c r="M494">
        <v>1255.21</v>
      </c>
      <c r="N494">
        <v>424.33300000000003</v>
      </c>
      <c r="O494">
        <v>28244700</v>
      </c>
      <c r="P494">
        <v>0.21105399999999999</v>
      </c>
      <c r="Q494">
        <v>1.01576</v>
      </c>
      <c r="R494">
        <v>7.1878000000000002</v>
      </c>
      <c r="S494">
        <v>22.808900000000001</v>
      </c>
      <c r="T494">
        <v>43.370399999999997</v>
      </c>
      <c r="U494">
        <v>23.857800000000001</v>
      </c>
      <c r="V494">
        <v>1.75935</v>
      </c>
      <c r="W494">
        <v>108.12</v>
      </c>
      <c r="X494">
        <v>3.80748</v>
      </c>
      <c r="Y494">
        <v>7.2210099999999997</v>
      </c>
      <c r="Z494">
        <v>6.1646599999999996</v>
      </c>
      <c r="AA494">
        <v>17.095400000000001</v>
      </c>
      <c r="AB494">
        <v>31.5688</v>
      </c>
      <c r="AC494">
        <v>34.142699999999998</v>
      </c>
      <c r="AD494">
        <v>1.74413</v>
      </c>
      <c r="AE494">
        <v>6.5200199999999997</v>
      </c>
      <c r="AF494">
        <v>0</v>
      </c>
      <c r="AG494">
        <v>99.641999999999996</v>
      </c>
      <c r="AH494">
        <v>0.35796</v>
      </c>
      <c r="AI494">
        <v>0</v>
      </c>
      <c r="AJ494">
        <v>0</v>
      </c>
      <c r="AK494">
        <v>0</v>
      </c>
      <c r="AL494">
        <v>0.487263</v>
      </c>
      <c r="AM494">
        <v>1.11724</v>
      </c>
      <c r="AN494">
        <v>6.3464099999999997</v>
      </c>
      <c r="AO494">
        <v>11.450100000000001</v>
      </c>
      <c r="AP494">
        <v>15.255699999999999</v>
      </c>
      <c r="AQ494">
        <v>33.465600000000002</v>
      </c>
      <c r="AR494">
        <v>32.364899999999999</v>
      </c>
      <c r="AS494">
        <v>9.2755099999999993E-2</v>
      </c>
      <c r="AT494">
        <v>5.1184599999999998</v>
      </c>
      <c r="AU494">
        <v>33.2395</v>
      </c>
      <c r="AV494">
        <v>35.107799999999997</v>
      </c>
      <c r="AW494">
        <v>16.805700000000002</v>
      </c>
      <c r="AX494">
        <v>6.3528700000000002</v>
      </c>
      <c r="AY494">
        <v>3.3757100000000002</v>
      </c>
      <c r="AZ494">
        <v>546.39200000000005</v>
      </c>
      <c r="BA494">
        <v>599.399</v>
      </c>
      <c r="BB494">
        <v>29638.400000000001</v>
      </c>
      <c r="BC494">
        <v>5.91268E-2</v>
      </c>
      <c r="BD494">
        <v>4.5206299999999998E-2</v>
      </c>
      <c r="BE494">
        <v>0.29153400000000002</v>
      </c>
      <c r="BF494">
        <v>2.02413</v>
      </c>
      <c r="BG494">
        <v>35.996200000000002</v>
      </c>
      <c r="BH494">
        <v>45.838299999999997</v>
      </c>
      <c r="BI494">
        <v>15.8047</v>
      </c>
      <c r="BJ494">
        <v>33.273899999999998</v>
      </c>
      <c r="BK494">
        <v>0</v>
      </c>
      <c r="BL494">
        <v>33.018999999999998</v>
      </c>
      <c r="BM494">
        <v>54.483699999999999</v>
      </c>
      <c r="BN494">
        <v>9.04495</v>
      </c>
      <c r="BO494">
        <v>1.9466399999999999</v>
      </c>
      <c r="BP494">
        <v>1.5056499999999999</v>
      </c>
      <c r="BQ494">
        <v>35.027500000000003</v>
      </c>
      <c r="BR494">
        <v>108392</v>
      </c>
    </row>
    <row r="495" spans="1:70" x14ac:dyDescent="0.25">
      <c r="A495">
        <v>44</v>
      </c>
      <c r="B495" s="7">
        <v>45988.562557870369</v>
      </c>
      <c r="C495" t="s">
        <v>167</v>
      </c>
      <c r="D495" s="6" t="s">
        <v>339</v>
      </c>
      <c r="E495" s="6" t="str">
        <f>VLOOKUP(F495,Germplasm!$A$1:$B$21,2,FALSE)</f>
        <v>Arve</v>
      </c>
      <c r="F495" t="s">
        <v>68</v>
      </c>
      <c r="G495" s="6" t="s">
        <v>113</v>
      </c>
      <c r="H495">
        <v>26982.6</v>
      </c>
      <c r="I495">
        <v>513.529</v>
      </c>
      <c r="J495">
        <v>87531.4</v>
      </c>
      <c r="K495">
        <v>18.5443</v>
      </c>
      <c r="L495">
        <v>86.206400000000002</v>
      </c>
      <c r="M495">
        <v>1113.8900000000001</v>
      </c>
      <c r="N495">
        <v>380.49700000000001</v>
      </c>
      <c r="O495">
        <v>16138800</v>
      </c>
      <c r="P495">
        <v>0.16018199999999999</v>
      </c>
      <c r="Q495">
        <v>0.54905400000000004</v>
      </c>
      <c r="R495">
        <v>14.653700000000001</v>
      </c>
      <c r="S495">
        <v>32.5914</v>
      </c>
      <c r="T495">
        <v>35.0276</v>
      </c>
      <c r="U495">
        <v>16.548200000000001</v>
      </c>
      <c r="V495">
        <v>0.63001399999999996</v>
      </c>
      <c r="W495">
        <v>69.696799999999996</v>
      </c>
      <c r="X495">
        <v>8.7289300000000001</v>
      </c>
      <c r="Y495">
        <v>23.479800000000001</v>
      </c>
      <c r="Z495">
        <v>16.908799999999999</v>
      </c>
      <c r="AA495">
        <v>30.131699999999999</v>
      </c>
      <c r="AB495">
        <v>15.9123</v>
      </c>
      <c r="AC495">
        <v>4.8384499999999999</v>
      </c>
      <c r="AD495">
        <v>1.66231</v>
      </c>
      <c r="AE495">
        <v>9.6681500000000007</v>
      </c>
      <c r="AF495">
        <v>0</v>
      </c>
      <c r="AG495">
        <v>96.796899999999994</v>
      </c>
      <c r="AH495">
        <v>3.2015899999999999</v>
      </c>
      <c r="AI495">
        <v>1.472E-3</v>
      </c>
      <c r="AJ495">
        <v>0</v>
      </c>
      <c r="AK495">
        <v>0</v>
      </c>
      <c r="AL495">
        <v>0.31090299999999998</v>
      </c>
      <c r="AM495">
        <v>5.7908299999999997</v>
      </c>
      <c r="AN495">
        <v>23.519500000000001</v>
      </c>
      <c r="AO495">
        <v>19.163900000000002</v>
      </c>
      <c r="AP495">
        <v>21.735499999999998</v>
      </c>
      <c r="AQ495">
        <v>18.778199999999998</v>
      </c>
      <c r="AR495">
        <v>11.012</v>
      </c>
      <c r="AS495">
        <v>0.27186500000000002</v>
      </c>
      <c r="AT495">
        <v>0.30911899999999998</v>
      </c>
      <c r="AU495">
        <v>4.6132299999999997</v>
      </c>
      <c r="AV495">
        <v>29.5488</v>
      </c>
      <c r="AW495">
        <v>44.8414</v>
      </c>
      <c r="AX495">
        <v>16.980899999999998</v>
      </c>
      <c r="AY495">
        <v>3.70648</v>
      </c>
      <c r="AZ495">
        <v>598.11800000000005</v>
      </c>
      <c r="BA495">
        <v>679.80200000000002</v>
      </c>
      <c r="BB495">
        <v>16232</v>
      </c>
      <c r="BC495">
        <v>0.235926</v>
      </c>
      <c r="BD495">
        <v>2.5023900000000002E-2</v>
      </c>
      <c r="BE495">
        <v>8.0959699999999996E-2</v>
      </c>
      <c r="BF495">
        <v>0.24435100000000001</v>
      </c>
      <c r="BG495">
        <v>4.56907</v>
      </c>
      <c r="BH495">
        <v>43.915500000000002</v>
      </c>
      <c r="BI495">
        <v>51.165100000000002</v>
      </c>
      <c r="BJ495">
        <v>36.389699999999998</v>
      </c>
      <c r="BK495">
        <v>0</v>
      </c>
      <c r="BL495">
        <v>21.635400000000001</v>
      </c>
      <c r="BM495">
        <v>62.888100000000001</v>
      </c>
      <c r="BN495">
        <v>12.859400000000001</v>
      </c>
      <c r="BO495">
        <v>1.97983</v>
      </c>
      <c r="BP495">
        <v>0.637374</v>
      </c>
      <c r="BQ495">
        <v>37.007899999999999</v>
      </c>
      <c r="BR495">
        <v>67935</v>
      </c>
    </row>
    <row r="496" spans="1:70" x14ac:dyDescent="0.25">
      <c r="A496">
        <v>44</v>
      </c>
      <c r="B496" s="7">
        <v>45994.571967592594</v>
      </c>
      <c r="C496" t="s">
        <v>167</v>
      </c>
      <c r="D496" s="6" t="s">
        <v>340</v>
      </c>
      <c r="E496" s="6" t="str">
        <f>VLOOKUP(F496,Germplasm!$A$1:$B$21,2,FALSE)</f>
        <v>Arve</v>
      </c>
      <c r="F496" t="s">
        <v>68</v>
      </c>
      <c r="G496" s="6" t="s">
        <v>113</v>
      </c>
      <c r="H496">
        <v>42637.9</v>
      </c>
      <c r="I496">
        <v>493.05700000000002</v>
      </c>
      <c r="J496">
        <v>91152.2</v>
      </c>
      <c r="K496">
        <v>27.487200000000001</v>
      </c>
      <c r="L496">
        <v>78.7941</v>
      </c>
      <c r="M496">
        <v>1129.8699999999999</v>
      </c>
      <c r="N496">
        <v>387.71100000000001</v>
      </c>
      <c r="O496">
        <v>25904000</v>
      </c>
      <c r="P496">
        <v>0.11172799999999999</v>
      </c>
      <c r="Q496">
        <v>1.2321500000000001</v>
      </c>
      <c r="R496">
        <v>21.940300000000001</v>
      </c>
      <c r="S496">
        <v>40.730200000000004</v>
      </c>
      <c r="T496">
        <v>24.231200000000001</v>
      </c>
      <c r="U496">
        <v>11.147500000000001</v>
      </c>
      <c r="V496">
        <v>0.71861299999999995</v>
      </c>
      <c r="W496">
        <v>59.674199999999999</v>
      </c>
      <c r="X496">
        <v>12.475300000000001</v>
      </c>
      <c r="Y496">
        <v>31.7471</v>
      </c>
      <c r="Z496">
        <v>14.967000000000001</v>
      </c>
      <c r="AA496">
        <v>21.883900000000001</v>
      </c>
      <c r="AB496">
        <v>10.5442</v>
      </c>
      <c r="AC496">
        <v>8.3823899999999991</v>
      </c>
      <c r="AD496">
        <v>1.7017599999999999</v>
      </c>
      <c r="AE496">
        <v>9.9938900000000004</v>
      </c>
      <c r="AF496">
        <v>0</v>
      </c>
      <c r="AG496">
        <v>95.89</v>
      </c>
      <c r="AH496">
        <v>4.1057499999999996</v>
      </c>
      <c r="AI496">
        <v>4.2723700000000002E-3</v>
      </c>
      <c r="AJ496">
        <v>0</v>
      </c>
      <c r="AK496">
        <v>0</v>
      </c>
      <c r="AL496">
        <v>0.25844499999999998</v>
      </c>
      <c r="AM496">
        <v>6.3974500000000001</v>
      </c>
      <c r="AN496">
        <v>31.5899</v>
      </c>
      <c r="AO496">
        <v>22.664100000000001</v>
      </c>
      <c r="AP496">
        <v>19.316199999999998</v>
      </c>
      <c r="AQ496">
        <v>13.1623</v>
      </c>
      <c r="AR496">
        <v>6.8699700000000004</v>
      </c>
      <c r="AS496">
        <v>0.27011400000000002</v>
      </c>
      <c r="AT496">
        <v>0.93821299999999996</v>
      </c>
      <c r="AU496">
        <v>6.0744600000000002</v>
      </c>
      <c r="AV496">
        <v>26.601500000000001</v>
      </c>
      <c r="AW496">
        <v>45.328200000000002</v>
      </c>
      <c r="AX496">
        <v>16.7562</v>
      </c>
      <c r="AY496">
        <v>4.3014200000000002</v>
      </c>
      <c r="AZ496">
        <v>607.53399999999999</v>
      </c>
      <c r="BA496">
        <v>656.99900000000002</v>
      </c>
      <c r="BB496">
        <v>25055.200000000001</v>
      </c>
      <c r="BC496">
        <v>0.25340600000000002</v>
      </c>
      <c r="BD496">
        <v>3.6742400000000001E-2</v>
      </c>
      <c r="BE496">
        <v>0.21105499999999999</v>
      </c>
      <c r="BF496">
        <v>0.78697099999999998</v>
      </c>
      <c r="BG496">
        <v>5.9779</v>
      </c>
      <c r="BH496">
        <v>34.980499999999999</v>
      </c>
      <c r="BI496">
        <v>58.006900000000002</v>
      </c>
      <c r="BJ496">
        <v>34.633400000000002</v>
      </c>
      <c r="BK496">
        <v>0</v>
      </c>
      <c r="BL496">
        <v>29.0274</v>
      </c>
      <c r="BM496">
        <v>56.625999999999998</v>
      </c>
      <c r="BN496">
        <v>11.3919</v>
      </c>
      <c r="BO496">
        <v>1.9661500000000001</v>
      </c>
      <c r="BP496">
        <v>0.98862700000000003</v>
      </c>
      <c r="BQ496">
        <v>36.027099999999997</v>
      </c>
      <c r="BR496">
        <v>117031</v>
      </c>
    </row>
    <row r="497" spans="1:70" x14ac:dyDescent="0.25">
      <c r="A497">
        <v>44</v>
      </c>
      <c r="B497" s="7">
        <v>46002.563125000001</v>
      </c>
      <c r="C497" t="s">
        <v>167</v>
      </c>
      <c r="D497" s="6" t="s">
        <v>341</v>
      </c>
      <c r="E497" s="6" t="str">
        <f>VLOOKUP(F497,Germplasm!$A$1:$B$21,2,FALSE)</f>
        <v>Arve</v>
      </c>
      <c r="F497" t="s">
        <v>68</v>
      </c>
      <c r="G497" s="6" t="s">
        <v>113</v>
      </c>
      <c r="H497">
        <v>34241.1</v>
      </c>
      <c r="I497">
        <v>490.76</v>
      </c>
      <c r="J497">
        <v>112045</v>
      </c>
      <c r="K497">
        <v>16.321000000000002</v>
      </c>
      <c r="L497">
        <v>50.280099999999997</v>
      </c>
      <c r="M497">
        <v>1344.64</v>
      </c>
      <c r="N497">
        <v>524.10299999999995</v>
      </c>
      <c r="O497">
        <v>19669200</v>
      </c>
      <c r="P497">
        <v>5.39134E-2</v>
      </c>
      <c r="Q497">
        <v>1.25905</v>
      </c>
      <c r="R497">
        <v>30.963799999999999</v>
      </c>
      <c r="S497">
        <v>50.217300000000002</v>
      </c>
      <c r="T497">
        <v>13.464600000000001</v>
      </c>
      <c r="U497">
        <v>3.8836300000000001</v>
      </c>
      <c r="V497">
        <v>0.211699</v>
      </c>
      <c r="W497">
        <v>44.738399999999999</v>
      </c>
      <c r="X497">
        <v>17.2256</v>
      </c>
      <c r="Y497">
        <v>43.986400000000003</v>
      </c>
      <c r="Z497">
        <v>16.550899999999999</v>
      </c>
      <c r="AA497">
        <v>10.874700000000001</v>
      </c>
      <c r="AB497">
        <v>3.5642200000000002</v>
      </c>
      <c r="AC497">
        <v>7.7981999999999996</v>
      </c>
      <c r="AD497">
        <v>1.8724499999999999</v>
      </c>
      <c r="AE497">
        <v>13.9506</v>
      </c>
      <c r="AF497">
        <v>0</v>
      </c>
      <c r="AG497">
        <v>88.767600000000002</v>
      </c>
      <c r="AH497">
        <v>11.1829</v>
      </c>
      <c r="AI497">
        <v>4.9520300000000003E-2</v>
      </c>
      <c r="AJ497">
        <v>0</v>
      </c>
      <c r="AK497">
        <v>0</v>
      </c>
      <c r="AL497">
        <v>0.14116400000000001</v>
      </c>
      <c r="AM497">
        <v>12.073</v>
      </c>
      <c r="AN497">
        <v>50.227200000000003</v>
      </c>
      <c r="AO497">
        <v>23.846499999999999</v>
      </c>
      <c r="AP497">
        <v>9.09192</v>
      </c>
      <c r="AQ497">
        <v>3.37852</v>
      </c>
      <c r="AR497">
        <v>1.3828499999999999</v>
      </c>
      <c r="AS497">
        <v>0.27954400000000001</v>
      </c>
      <c r="AT497">
        <v>0.65861999999999998</v>
      </c>
      <c r="AU497">
        <v>4.8703200000000004</v>
      </c>
      <c r="AV497">
        <v>22.804099999999998</v>
      </c>
      <c r="AW497">
        <v>53.096899999999998</v>
      </c>
      <c r="AX497">
        <v>14.6654</v>
      </c>
      <c r="AY497">
        <v>3.9046699999999999</v>
      </c>
      <c r="AZ497">
        <v>574.43200000000002</v>
      </c>
      <c r="BA497">
        <v>644.4</v>
      </c>
      <c r="BB497">
        <v>18286.8</v>
      </c>
      <c r="BC497">
        <v>0.31940200000000002</v>
      </c>
      <c r="BD497">
        <v>6.9328399999999998E-2</v>
      </c>
      <c r="BE497">
        <v>0.21293699999999999</v>
      </c>
      <c r="BF497">
        <v>0.80594200000000005</v>
      </c>
      <c r="BG497">
        <v>4.4370200000000004</v>
      </c>
      <c r="BH497">
        <v>17.158799999999999</v>
      </c>
      <c r="BI497">
        <v>77.316000000000003</v>
      </c>
      <c r="BJ497">
        <v>31.565300000000001</v>
      </c>
      <c r="BK497">
        <v>0</v>
      </c>
      <c r="BL497">
        <v>35.021999999999998</v>
      </c>
      <c r="BM497">
        <v>54.679000000000002</v>
      </c>
      <c r="BN497">
        <v>8.1547499999999999</v>
      </c>
      <c r="BO497">
        <v>1.53884</v>
      </c>
      <c r="BP497">
        <v>0.60538499999999995</v>
      </c>
      <c r="BQ497">
        <v>32.304499999999997</v>
      </c>
      <c r="BR497">
        <v>80775</v>
      </c>
    </row>
    <row r="498" spans="1:70" x14ac:dyDescent="0.25">
      <c r="A498">
        <v>44</v>
      </c>
      <c r="B498" s="7">
        <v>46013.587511574071</v>
      </c>
      <c r="C498" t="s">
        <v>167</v>
      </c>
      <c r="D498" s="6" t="s">
        <v>342</v>
      </c>
      <c r="E498" s="6" t="str">
        <f>VLOOKUP(F498,Germplasm!$A$1:$B$21,2,FALSE)</f>
        <v>Arve</v>
      </c>
      <c r="F498" t="s">
        <v>68</v>
      </c>
      <c r="G498" s="6" t="s">
        <v>113</v>
      </c>
      <c r="H498">
        <v>28043.599999999999</v>
      </c>
      <c r="I498">
        <v>423.59100000000001</v>
      </c>
      <c r="J498">
        <v>78660.100000000006</v>
      </c>
      <c r="K498">
        <v>18.5245</v>
      </c>
      <c r="L498">
        <v>66.227599999999995</v>
      </c>
      <c r="M498">
        <v>1078.26</v>
      </c>
      <c r="N498">
        <v>402.27100000000002</v>
      </c>
      <c r="O498">
        <v>12766100</v>
      </c>
      <c r="P498">
        <v>6.2961400000000004E-3</v>
      </c>
      <c r="Q498">
        <v>1.4568099999999999</v>
      </c>
      <c r="R498">
        <v>39.834899999999998</v>
      </c>
      <c r="S498">
        <v>56.5685</v>
      </c>
      <c r="T498">
        <v>1.94241</v>
      </c>
      <c r="U498">
        <v>0.16301199999999999</v>
      </c>
      <c r="V498">
        <v>3.4318300000000003E-2</v>
      </c>
      <c r="W498">
        <v>34.358800000000002</v>
      </c>
      <c r="X498">
        <v>22.118099999999998</v>
      </c>
      <c r="Y498">
        <v>58.692799999999998</v>
      </c>
      <c r="Z498">
        <v>9.4684100000000004</v>
      </c>
      <c r="AA498">
        <v>2.5687199999999999</v>
      </c>
      <c r="AB498">
        <v>0.86482000000000003</v>
      </c>
      <c r="AC498">
        <v>6.2871100000000002</v>
      </c>
      <c r="AD498">
        <v>1.9245699999999999</v>
      </c>
      <c r="AE498">
        <v>16.645700000000001</v>
      </c>
      <c r="AF498">
        <v>0</v>
      </c>
      <c r="AG498">
        <v>84.716399999999993</v>
      </c>
      <c r="AH498">
        <v>14.901</v>
      </c>
      <c r="AI498">
        <v>0.38264900000000002</v>
      </c>
      <c r="AJ498">
        <v>0</v>
      </c>
      <c r="AK498">
        <v>0</v>
      </c>
      <c r="AL498">
        <v>8.6356500000000003E-2</v>
      </c>
      <c r="AM498">
        <v>17.148800000000001</v>
      </c>
      <c r="AN498">
        <v>60.606099999999998</v>
      </c>
      <c r="AO498">
        <v>18.017099999999999</v>
      </c>
      <c r="AP498">
        <v>3.09036</v>
      </c>
      <c r="AQ498">
        <v>0.80304699999999996</v>
      </c>
      <c r="AR498">
        <v>0.33460299999999998</v>
      </c>
      <c r="AS498">
        <v>0.28128900000000001</v>
      </c>
      <c r="AT498">
        <v>0.65204700000000004</v>
      </c>
      <c r="AU498">
        <v>3.1881699999999999</v>
      </c>
      <c r="AV498">
        <v>24.661100000000001</v>
      </c>
      <c r="AW498">
        <v>54.063299999999998</v>
      </c>
      <c r="AX498">
        <v>13.169600000000001</v>
      </c>
      <c r="AY498">
        <v>4.2657600000000002</v>
      </c>
      <c r="AZ498">
        <v>455.221</v>
      </c>
      <c r="BA498">
        <v>472.79899999999998</v>
      </c>
      <c r="BB498">
        <v>14571.4</v>
      </c>
      <c r="BC498">
        <v>0.34981400000000001</v>
      </c>
      <c r="BD498">
        <v>9.9523E-2</v>
      </c>
      <c r="BE498">
        <v>0.35176200000000002</v>
      </c>
      <c r="BF498">
        <v>0.69151300000000004</v>
      </c>
      <c r="BG498">
        <v>2.6974200000000002</v>
      </c>
      <c r="BH498">
        <v>10.3933</v>
      </c>
      <c r="BI498">
        <v>85.766499999999994</v>
      </c>
      <c r="BJ498">
        <v>29.697199999999999</v>
      </c>
      <c r="BK498">
        <v>0</v>
      </c>
      <c r="BL498">
        <v>41.868299999999998</v>
      </c>
      <c r="BM498">
        <v>49.847299999999997</v>
      </c>
      <c r="BN498">
        <v>6.3042699999999998</v>
      </c>
      <c r="BO498">
        <v>1.37616</v>
      </c>
      <c r="BP498">
        <v>0.60400200000000004</v>
      </c>
      <c r="BQ498">
        <v>31.320499999999999</v>
      </c>
      <c r="BR498">
        <v>58278</v>
      </c>
    </row>
    <row r="499" spans="1:70" x14ac:dyDescent="0.25">
      <c r="A499">
        <v>44</v>
      </c>
      <c r="B499" s="7">
        <v>46024.525509259256</v>
      </c>
      <c r="C499" t="s">
        <v>167</v>
      </c>
      <c r="D499" s="6" t="s">
        <v>343</v>
      </c>
      <c r="E499" s="6" t="str">
        <f>VLOOKUP(F499,Germplasm!$A$1:$B$21,2,FALSE)</f>
        <v>Arve</v>
      </c>
      <c r="F499" t="s">
        <v>68</v>
      </c>
      <c r="G499" s="6" t="s">
        <v>113</v>
      </c>
      <c r="H499">
        <v>26377.1</v>
      </c>
      <c r="I499">
        <v>400.858</v>
      </c>
      <c r="J499">
        <v>56641.9</v>
      </c>
      <c r="K499">
        <v>23.2254</v>
      </c>
      <c r="L499">
        <v>70.952600000000004</v>
      </c>
      <c r="M499">
        <v>930.32600000000002</v>
      </c>
      <c r="N499">
        <v>335.04599999999999</v>
      </c>
      <c r="O499">
        <v>11440000</v>
      </c>
      <c r="P499">
        <v>4.8789599999999999E-3</v>
      </c>
      <c r="Q499">
        <v>1.73237</v>
      </c>
      <c r="R499">
        <v>39.292999999999999</v>
      </c>
      <c r="S499">
        <v>56.8506</v>
      </c>
      <c r="T499">
        <v>1.79322</v>
      </c>
      <c r="U499">
        <v>0.296651</v>
      </c>
      <c r="V499">
        <v>3.4229000000000002E-2</v>
      </c>
      <c r="W499">
        <v>33.828400000000002</v>
      </c>
      <c r="X499">
        <v>22.203199999999999</v>
      </c>
      <c r="Y499">
        <v>60.718400000000003</v>
      </c>
      <c r="Z499">
        <v>8.5914800000000007</v>
      </c>
      <c r="AA499">
        <v>2.0309200000000001</v>
      </c>
      <c r="AB499">
        <v>0.78916799999999998</v>
      </c>
      <c r="AC499">
        <v>5.6668000000000003</v>
      </c>
      <c r="AD499">
        <v>2.0050500000000002</v>
      </c>
      <c r="AE499">
        <v>16.465699999999998</v>
      </c>
      <c r="AF499">
        <v>0</v>
      </c>
      <c r="AG499">
        <v>85.635199999999998</v>
      </c>
      <c r="AH499">
        <v>13.9978</v>
      </c>
      <c r="AI499">
        <v>0.36701099999999998</v>
      </c>
      <c r="AJ499">
        <v>0</v>
      </c>
      <c r="AK499">
        <v>0</v>
      </c>
      <c r="AL499">
        <v>9.6870399999999995E-2</v>
      </c>
      <c r="AM499">
        <v>14.636699999999999</v>
      </c>
      <c r="AN499">
        <v>60.828699999999998</v>
      </c>
      <c r="AO499">
        <v>19.185400000000001</v>
      </c>
      <c r="AP499">
        <v>3.76139</v>
      </c>
      <c r="AQ499">
        <v>1.1485700000000001</v>
      </c>
      <c r="AR499">
        <v>0.439272</v>
      </c>
      <c r="AS499">
        <v>0.29593399999999997</v>
      </c>
      <c r="AT499">
        <v>0.61041699999999999</v>
      </c>
      <c r="AU499">
        <v>2.7231100000000001</v>
      </c>
      <c r="AV499">
        <v>22.338200000000001</v>
      </c>
      <c r="AW499">
        <v>54.585700000000003</v>
      </c>
      <c r="AX499">
        <v>14.263999999999999</v>
      </c>
      <c r="AY499">
        <v>5.4785399999999997</v>
      </c>
      <c r="AZ499">
        <v>433.709</v>
      </c>
      <c r="BA499">
        <v>458.99900000000002</v>
      </c>
      <c r="BB499">
        <v>13155.3</v>
      </c>
      <c r="BC499">
        <v>0.35345799999999999</v>
      </c>
      <c r="BD499">
        <v>0.138818</v>
      </c>
      <c r="BE499">
        <v>0.34228999999999998</v>
      </c>
      <c r="BF499">
        <v>0.58759799999999995</v>
      </c>
      <c r="BG499">
        <v>2.2648199999999998</v>
      </c>
      <c r="BH499">
        <v>9.9834599999999991</v>
      </c>
      <c r="BI499">
        <v>86.683000000000007</v>
      </c>
      <c r="BJ499">
        <v>31.0123</v>
      </c>
      <c r="BK499">
        <v>0</v>
      </c>
      <c r="BL499">
        <v>38.414400000000001</v>
      </c>
      <c r="BM499">
        <v>51.535499999999999</v>
      </c>
      <c r="BN499">
        <v>7.3725399999999999</v>
      </c>
      <c r="BO499">
        <v>1.8217399999999999</v>
      </c>
      <c r="BP499">
        <v>0.85572499999999996</v>
      </c>
      <c r="BQ499">
        <v>29.927600000000002</v>
      </c>
      <c r="BR499">
        <v>52587</v>
      </c>
    </row>
    <row r="500" spans="1:70" x14ac:dyDescent="0.25">
      <c r="A500">
        <v>45</v>
      </c>
      <c r="B500" s="7">
        <v>45952.572280092594</v>
      </c>
      <c r="C500" t="s">
        <v>172</v>
      </c>
      <c r="D500" s="6" t="s">
        <v>344</v>
      </c>
      <c r="E500" s="6" t="str">
        <f>VLOOKUP(F500,Germplasm!$A$1:$B$21,2,FALSE)</f>
        <v>Tyra</v>
      </c>
      <c r="F500" t="s">
        <v>73</v>
      </c>
      <c r="G500" s="6" t="s">
        <v>113</v>
      </c>
      <c r="H500">
        <v>32171</v>
      </c>
      <c r="I500">
        <v>374.01900000000001</v>
      </c>
      <c r="J500">
        <v>112576</v>
      </c>
      <c r="K500">
        <v>17.693899999999999</v>
      </c>
      <c r="L500">
        <v>64.658699999999996</v>
      </c>
      <c r="M500">
        <v>1282.5899999999999</v>
      </c>
      <c r="N500">
        <v>493.31799999999998</v>
      </c>
      <c r="O500">
        <v>14386900</v>
      </c>
      <c r="P500">
        <v>0.20224400000000001</v>
      </c>
      <c r="Q500">
        <v>0.39277000000000001</v>
      </c>
      <c r="R500">
        <v>7.0756899999999998</v>
      </c>
      <c r="S500">
        <v>25.976800000000001</v>
      </c>
      <c r="T500">
        <v>41.198500000000003</v>
      </c>
      <c r="U500">
        <v>25.182500000000001</v>
      </c>
      <c r="V500">
        <v>0.17375299999999999</v>
      </c>
      <c r="W500">
        <v>117.989</v>
      </c>
      <c r="X500">
        <v>2.0631400000000002</v>
      </c>
      <c r="Y500">
        <v>3.06623</v>
      </c>
      <c r="Z500">
        <v>4.3306899999999997</v>
      </c>
      <c r="AA500">
        <v>15.2508</v>
      </c>
      <c r="AB500">
        <v>34.5199</v>
      </c>
      <c r="AC500">
        <v>40.769199999999998</v>
      </c>
      <c r="AD500">
        <v>1.6150800000000001</v>
      </c>
      <c r="AE500">
        <v>14.508900000000001</v>
      </c>
      <c r="AF500">
        <v>0</v>
      </c>
      <c r="AG500">
        <v>89.9238</v>
      </c>
      <c r="AH500">
        <v>0.94031100000000001</v>
      </c>
      <c r="AI500">
        <v>1.66161</v>
      </c>
      <c r="AJ500">
        <v>7.4743000000000004</v>
      </c>
      <c r="AK500">
        <v>0</v>
      </c>
      <c r="AL500">
        <v>0.44386799999999998</v>
      </c>
      <c r="AM500">
        <v>9.1753300000000007</v>
      </c>
      <c r="AN500">
        <v>4.89283</v>
      </c>
      <c r="AO500">
        <v>6.5646500000000003</v>
      </c>
      <c r="AP500">
        <v>16.090399999999999</v>
      </c>
      <c r="AQ500">
        <v>38.142400000000002</v>
      </c>
      <c r="AR500">
        <v>25.1343</v>
      </c>
      <c r="AS500">
        <v>2.2071199999999999E-2</v>
      </c>
      <c r="AT500">
        <v>6.8128700000000002</v>
      </c>
      <c r="AU500">
        <v>39.386499999999998</v>
      </c>
      <c r="AV500">
        <v>41.491900000000001</v>
      </c>
      <c r="AW500">
        <v>9.4556699999999996</v>
      </c>
      <c r="AX500">
        <v>1.93903</v>
      </c>
      <c r="AY500">
        <v>0.91402899999999998</v>
      </c>
      <c r="AZ500">
        <v>447.202</v>
      </c>
      <c r="BA500">
        <v>508.19900000000001</v>
      </c>
      <c r="BB500">
        <v>19919.099999999999</v>
      </c>
      <c r="BC500">
        <v>-5.2195699999999998E-3</v>
      </c>
      <c r="BD500">
        <v>0.80452000000000001</v>
      </c>
      <c r="BE500">
        <v>0.88044599999999995</v>
      </c>
      <c r="BF500">
        <v>3.7612399999999999</v>
      </c>
      <c r="BG500">
        <v>40.753100000000003</v>
      </c>
      <c r="BH500">
        <v>48.666899999999998</v>
      </c>
      <c r="BI500">
        <v>5.13375</v>
      </c>
      <c r="BJ500">
        <v>30.9129</v>
      </c>
      <c r="BK500">
        <v>0</v>
      </c>
      <c r="BL500">
        <v>37.403599999999997</v>
      </c>
      <c r="BM500">
        <v>53.924799999999998</v>
      </c>
      <c r="BN500">
        <v>6.4376199999999999</v>
      </c>
      <c r="BO500">
        <v>1.0965400000000001</v>
      </c>
      <c r="BP500">
        <v>1.1374299999999999</v>
      </c>
      <c r="BQ500">
        <v>38.289900000000003</v>
      </c>
      <c r="BR500">
        <v>68488</v>
      </c>
    </row>
    <row r="501" spans="1:70" x14ac:dyDescent="0.25">
      <c r="A501">
        <v>45</v>
      </c>
      <c r="B501" s="7">
        <v>45959.538391203707</v>
      </c>
      <c r="C501" t="s">
        <v>172</v>
      </c>
      <c r="D501" s="6" t="s">
        <v>345</v>
      </c>
      <c r="E501" s="6" t="str">
        <f>VLOOKUP(F501,Germplasm!$A$1:$B$21,2,FALSE)</f>
        <v>Tyra</v>
      </c>
      <c r="F501" t="s">
        <v>73</v>
      </c>
      <c r="G501" s="6" t="s">
        <v>113</v>
      </c>
      <c r="H501">
        <v>49838.5</v>
      </c>
      <c r="I501">
        <v>405.40800000000002</v>
      </c>
      <c r="J501">
        <v>185661</v>
      </c>
      <c r="K501">
        <v>16.211099999999998</v>
      </c>
      <c r="L501">
        <v>93.653199999999998</v>
      </c>
      <c r="M501">
        <v>1613.26</v>
      </c>
      <c r="N501">
        <v>551.10500000000002</v>
      </c>
      <c r="O501">
        <v>24256800</v>
      </c>
      <c r="P501">
        <v>0.20077600000000001</v>
      </c>
      <c r="Q501">
        <v>0.81142700000000001</v>
      </c>
      <c r="R501">
        <v>6.6979800000000003</v>
      </c>
      <c r="S501">
        <v>26.122199999999999</v>
      </c>
      <c r="T501">
        <v>42.031199999999998</v>
      </c>
      <c r="U501">
        <v>23.642499999999998</v>
      </c>
      <c r="V501">
        <v>0.69471499999999997</v>
      </c>
      <c r="W501">
        <v>119.658</v>
      </c>
      <c r="X501">
        <v>2.0804399999999998</v>
      </c>
      <c r="Y501">
        <v>3.1002800000000001</v>
      </c>
      <c r="Z501">
        <v>4.3396499999999998</v>
      </c>
      <c r="AA501">
        <v>13.634</v>
      </c>
      <c r="AB501">
        <v>32.711799999999997</v>
      </c>
      <c r="AC501">
        <v>44.133800000000001</v>
      </c>
      <c r="AD501">
        <v>1.6558900000000001</v>
      </c>
      <c r="AE501">
        <v>12.257400000000001</v>
      </c>
      <c r="AF501">
        <v>0</v>
      </c>
      <c r="AG501">
        <v>92.035799999999995</v>
      </c>
      <c r="AH501">
        <v>0.985568</v>
      </c>
      <c r="AI501">
        <v>1.3866499999999999</v>
      </c>
      <c r="AJ501">
        <v>5.59199</v>
      </c>
      <c r="AK501">
        <v>0</v>
      </c>
      <c r="AL501">
        <v>0.45532800000000001</v>
      </c>
      <c r="AM501">
        <v>7.1333299999999999</v>
      </c>
      <c r="AN501">
        <v>5.7346399999999997</v>
      </c>
      <c r="AO501">
        <v>7.65205</v>
      </c>
      <c r="AP501">
        <v>15.531000000000001</v>
      </c>
      <c r="AQ501">
        <v>36.238199999999999</v>
      </c>
      <c r="AR501">
        <v>27.710799999999999</v>
      </c>
      <c r="AS501">
        <v>1.9581899999999999E-2</v>
      </c>
      <c r="AT501">
        <v>7.5918400000000004</v>
      </c>
      <c r="AU501">
        <v>41.464300000000001</v>
      </c>
      <c r="AV501">
        <v>38.226900000000001</v>
      </c>
      <c r="AW501">
        <v>8.8163900000000002</v>
      </c>
      <c r="AX501">
        <v>2.22031</v>
      </c>
      <c r="AY501">
        <v>1.68028</v>
      </c>
      <c r="AZ501">
        <v>486.70800000000003</v>
      </c>
      <c r="BA501">
        <v>604.79899999999998</v>
      </c>
      <c r="BB501">
        <v>30097.7</v>
      </c>
      <c r="BC501">
        <v>-1.5684E-3</v>
      </c>
      <c r="BD501">
        <v>0.50112100000000004</v>
      </c>
      <c r="BE501">
        <v>1.04948</v>
      </c>
      <c r="BF501">
        <v>3.71163</v>
      </c>
      <c r="BG501">
        <v>43.792999999999999</v>
      </c>
      <c r="BH501">
        <v>44.712800000000001</v>
      </c>
      <c r="BI501">
        <v>6.2320500000000001</v>
      </c>
      <c r="BJ501">
        <v>30.801300000000001</v>
      </c>
      <c r="BK501">
        <v>0</v>
      </c>
      <c r="BL501">
        <v>39.651499999999999</v>
      </c>
      <c r="BM501">
        <v>50.599299999999999</v>
      </c>
      <c r="BN501">
        <v>6.8628499999999999</v>
      </c>
      <c r="BO501">
        <v>1.3153300000000001</v>
      </c>
      <c r="BP501">
        <v>1.57098</v>
      </c>
      <c r="BQ501">
        <v>37.195099999999996</v>
      </c>
      <c r="BR501">
        <v>107958</v>
      </c>
    </row>
    <row r="502" spans="1:70" x14ac:dyDescent="0.25">
      <c r="A502">
        <v>45</v>
      </c>
      <c r="B502" s="7">
        <v>45966.541342592594</v>
      </c>
      <c r="C502" t="s">
        <v>172</v>
      </c>
      <c r="D502" s="6" t="s">
        <v>346</v>
      </c>
      <c r="E502" s="6" t="str">
        <f>VLOOKUP(F502,Germplasm!$A$1:$B$21,2,FALSE)</f>
        <v>Tyra</v>
      </c>
      <c r="F502" t="s">
        <v>73</v>
      </c>
      <c r="G502" s="6" t="s">
        <v>113</v>
      </c>
      <c r="H502">
        <v>56497</v>
      </c>
      <c r="I502">
        <v>488.56099999999998</v>
      </c>
      <c r="J502">
        <v>174239</v>
      </c>
      <c r="K502">
        <v>19.998699999999999</v>
      </c>
      <c r="L502">
        <v>74.327299999999994</v>
      </c>
      <c r="M502">
        <v>1573.64</v>
      </c>
      <c r="N502">
        <v>555.54700000000003</v>
      </c>
      <c r="O502">
        <v>32367600</v>
      </c>
      <c r="P502">
        <v>0.20567299999999999</v>
      </c>
      <c r="Q502">
        <v>0.82645900000000005</v>
      </c>
      <c r="R502">
        <v>5.8956</v>
      </c>
      <c r="S502">
        <v>25.933499999999999</v>
      </c>
      <c r="T502">
        <v>41.101399999999998</v>
      </c>
      <c r="U502">
        <v>25.606000000000002</v>
      </c>
      <c r="V502">
        <v>0.63700000000000001</v>
      </c>
      <c r="W502">
        <v>111.88200000000001</v>
      </c>
      <c r="X502">
        <v>2.0303399999999998</v>
      </c>
      <c r="Y502">
        <v>3.80559</v>
      </c>
      <c r="Z502">
        <v>6.2342399999999998</v>
      </c>
      <c r="AA502">
        <v>19.5016</v>
      </c>
      <c r="AB502">
        <v>34.701599999999999</v>
      </c>
      <c r="AC502">
        <v>33.726700000000001</v>
      </c>
      <c r="AD502">
        <v>1.6213599999999999</v>
      </c>
      <c r="AE502">
        <v>11.2113</v>
      </c>
      <c r="AF502">
        <v>0</v>
      </c>
      <c r="AG502">
        <v>93.028099999999995</v>
      </c>
      <c r="AH502">
        <v>0.85927799999999999</v>
      </c>
      <c r="AI502">
        <v>1.4187000000000001</v>
      </c>
      <c r="AJ502">
        <v>4.6939599999999997</v>
      </c>
      <c r="AK502">
        <v>0</v>
      </c>
      <c r="AL502">
        <v>0.44592399999999999</v>
      </c>
      <c r="AM502">
        <v>6.95404</v>
      </c>
      <c r="AN502">
        <v>5.6360299999999999</v>
      </c>
      <c r="AO502">
        <v>8.8598199999999991</v>
      </c>
      <c r="AP502">
        <v>17.064</v>
      </c>
      <c r="AQ502">
        <v>36.347799999999999</v>
      </c>
      <c r="AR502">
        <v>25.138400000000001</v>
      </c>
      <c r="AS502">
        <v>6.6651000000000002E-2</v>
      </c>
      <c r="AT502">
        <v>4.9908299999999999</v>
      </c>
      <c r="AU502">
        <v>33.1143</v>
      </c>
      <c r="AV502">
        <v>42.846800000000002</v>
      </c>
      <c r="AW502">
        <v>13.167400000000001</v>
      </c>
      <c r="AX502">
        <v>3.6623800000000002</v>
      </c>
      <c r="AY502">
        <v>2.2183099999999998</v>
      </c>
      <c r="AZ502">
        <v>572.90899999999999</v>
      </c>
      <c r="BA502">
        <v>641.4</v>
      </c>
      <c r="BB502">
        <v>34845.4</v>
      </c>
      <c r="BC502">
        <v>2.3910399999999998E-2</v>
      </c>
      <c r="BD502">
        <v>0.58553200000000005</v>
      </c>
      <c r="BE502">
        <v>0.81452400000000003</v>
      </c>
      <c r="BF502">
        <v>2.9918100000000001</v>
      </c>
      <c r="BG502">
        <v>33.711799999999997</v>
      </c>
      <c r="BH502">
        <v>53.158099999999997</v>
      </c>
      <c r="BI502">
        <v>8.7382299999999997</v>
      </c>
      <c r="BJ502">
        <v>31.601199999999999</v>
      </c>
      <c r="BK502">
        <v>0</v>
      </c>
      <c r="BL502">
        <v>37.277900000000002</v>
      </c>
      <c r="BM502">
        <v>51.917700000000004</v>
      </c>
      <c r="BN502">
        <v>7.8356899999999996</v>
      </c>
      <c r="BO502">
        <v>1.34337</v>
      </c>
      <c r="BP502">
        <v>1.6253200000000001</v>
      </c>
      <c r="BQ502">
        <v>38.1295</v>
      </c>
      <c r="BR502">
        <v>134066</v>
      </c>
    </row>
    <row r="503" spans="1:70" x14ac:dyDescent="0.25">
      <c r="A503">
        <v>45</v>
      </c>
      <c r="B503" s="7">
        <v>45973.566122685188</v>
      </c>
      <c r="C503" t="s">
        <v>172</v>
      </c>
      <c r="D503" s="6" t="s">
        <v>347</v>
      </c>
      <c r="E503" s="6" t="str">
        <f>VLOOKUP(F503,Germplasm!$A$1:$B$21,2,FALSE)</f>
        <v>Tyra</v>
      </c>
      <c r="F503" t="s">
        <v>73</v>
      </c>
      <c r="G503" s="6" t="s">
        <v>113</v>
      </c>
      <c r="H503">
        <v>67973.399999999994</v>
      </c>
      <c r="I503">
        <v>432.26299999999998</v>
      </c>
      <c r="J503">
        <v>199733</v>
      </c>
      <c r="K503">
        <v>20.425899999999999</v>
      </c>
      <c r="L503">
        <v>93.329599999999999</v>
      </c>
      <c r="M503">
        <v>1641.9</v>
      </c>
      <c r="N503">
        <v>547.24699999999996</v>
      </c>
      <c r="O503">
        <v>38447700</v>
      </c>
      <c r="P503">
        <v>0.20203199999999999</v>
      </c>
      <c r="Q503">
        <v>0.78568199999999999</v>
      </c>
      <c r="R503">
        <v>6.5665199999999997</v>
      </c>
      <c r="S503">
        <v>26.723500000000001</v>
      </c>
      <c r="T503">
        <v>40.3489</v>
      </c>
      <c r="U503">
        <v>24.962199999999999</v>
      </c>
      <c r="V503">
        <v>0.61316800000000005</v>
      </c>
      <c r="W503">
        <v>104.63800000000001</v>
      </c>
      <c r="X503">
        <v>2.6962600000000001</v>
      </c>
      <c r="Y503">
        <v>5.8577199999999996</v>
      </c>
      <c r="Z503">
        <v>7.7637799999999997</v>
      </c>
      <c r="AA503">
        <v>22.785399999999999</v>
      </c>
      <c r="AB503">
        <v>34.385899999999999</v>
      </c>
      <c r="AC503">
        <v>26.510999999999999</v>
      </c>
      <c r="AD503">
        <v>1.66612</v>
      </c>
      <c r="AE503">
        <v>10.9861</v>
      </c>
      <c r="AF503">
        <v>0</v>
      </c>
      <c r="AG503">
        <v>93.979500000000002</v>
      </c>
      <c r="AH503">
        <v>0.85546299999999997</v>
      </c>
      <c r="AI503">
        <v>1.37042</v>
      </c>
      <c r="AJ503">
        <v>3.7946599999999999</v>
      </c>
      <c r="AK503">
        <v>0</v>
      </c>
      <c r="AL503">
        <v>0.42778300000000002</v>
      </c>
      <c r="AM503">
        <v>6.0192500000000004</v>
      </c>
      <c r="AN503">
        <v>6.9264099999999997</v>
      </c>
      <c r="AO503">
        <v>11.4628</v>
      </c>
      <c r="AP503">
        <v>19.1129</v>
      </c>
      <c r="AQ503">
        <v>36.129100000000001</v>
      </c>
      <c r="AR503">
        <v>20.349599999999999</v>
      </c>
      <c r="AS503">
        <v>0.101284</v>
      </c>
      <c r="AT503">
        <v>3.2305999999999999</v>
      </c>
      <c r="AU503">
        <v>26.94</v>
      </c>
      <c r="AV503">
        <v>45.065600000000003</v>
      </c>
      <c r="AW503">
        <v>17.418800000000001</v>
      </c>
      <c r="AX503">
        <v>4.9706000000000001</v>
      </c>
      <c r="AY503">
        <v>2.3744900000000002</v>
      </c>
      <c r="AZ503">
        <v>565.62900000000002</v>
      </c>
      <c r="BA503">
        <v>626.99900000000002</v>
      </c>
      <c r="BB503">
        <v>40797.4</v>
      </c>
      <c r="BC503">
        <v>5.7585200000000003E-2</v>
      </c>
      <c r="BD503">
        <v>0.20094300000000001</v>
      </c>
      <c r="BE503">
        <v>0.69716400000000001</v>
      </c>
      <c r="BF503">
        <v>2.03592</v>
      </c>
      <c r="BG503">
        <v>27.2346</v>
      </c>
      <c r="BH503">
        <v>57.2378</v>
      </c>
      <c r="BI503">
        <v>12.593500000000001</v>
      </c>
      <c r="BJ503">
        <v>31.899699999999999</v>
      </c>
      <c r="BK503">
        <v>0</v>
      </c>
      <c r="BL503">
        <v>36.471499999999999</v>
      </c>
      <c r="BM503">
        <v>52.161900000000003</v>
      </c>
      <c r="BN503">
        <v>8.6231200000000001</v>
      </c>
      <c r="BO503">
        <v>1.3135600000000001</v>
      </c>
      <c r="BP503">
        <v>1.4298599999999999</v>
      </c>
      <c r="BQ503">
        <v>36.935400000000001</v>
      </c>
      <c r="BR503">
        <v>154770</v>
      </c>
    </row>
    <row r="504" spans="1:70" x14ac:dyDescent="0.25">
      <c r="A504">
        <v>45</v>
      </c>
      <c r="B504" s="7">
        <v>45988.565000000002</v>
      </c>
      <c r="C504" t="s">
        <v>172</v>
      </c>
      <c r="D504" s="6" t="s">
        <v>348</v>
      </c>
      <c r="E504" s="6" t="str">
        <f>VLOOKUP(F504,Germplasm!$A$1:$B$21,2,FALSE)</f>
        <v>Tyra</v>
      </c>
      <c r="F504" t="s">
        <v>73</v>
      </c>
      <c r="G504" s="6" t="s">
        <v>113</v>
      </c>
      <c r="H504">
        <v>60881.9</v>
      </c>
      <c r="I504">
        <v>398.43099999999998</v>
      </c>
      <c r="J504">
        <v>178260</v>
      </c>
      <c r="K504">
        <v>20.6707</v>
      </c>
      <c r="L504">
        <v>78.152799999999999</v>
      </c>
      <c r="M504">
        <v>1597.34</v>
      </c>
      <c r="N504">
        <v>594.41999999999996</v>
      </c>
      <c r="O504">
        <v>31897300</v>
      </c>
      <c r="P504">
        <v>0.14961099999999999</v>
      </c>
      <c r="Q504">
        <v>1.1963299999999999</v>
      </c>
      <c r="R504">
        <v>10.749499999999999</v>
      </c>
      <c r="S504">
        <v>38.259799999999998</v>
      </c>
      <c r="T504">
        <v>35.046500000000002</v>
      </c>
      <c r="U504">
        <v>14.3399</v>
      </c>
      <c r="V504">
        <v>0.40796300000000002</v>
      </c>
      <c r="W504">
        <v>79.189800000000005</v>
      </c>
      <c r="X504">
        <v>5.3344399999999998</v>
      </c>
      <c r="Y504">
        <v>17.867699999999999</v>
      </c>
      <c r="Z504">
        <v>17.299800000000001</v>
      </c>
      <c r="AA504">
        <v>27.3812</v>
      </c>
      <c r="AB504">
        <v>18.208500000000001</v>
      </c>
      <c r="AC504">
        <v>13.9084</v>
      </c>
      <c r="AD504">
        <v>1.6522699999999999</v>
      </c>
      <c r="AE504">
        <v>13.305899999999999</v>
      </c>
      <c r="AF504">
        <v>0</v>
      </c>
      <c r="AG504">
        <v>92.699700000000007</v>
      </c>
      <c r="AH504">
        <v>2.2233000000000001</v>
      </c>
      <c r="AI504">
        <v>1.2595099999999999</v>
      </c>
      <c r="AJ504">
        <v>3.81751</v>
      </c>
      <c r="AK504">
        <v>0</v>
      </c>
      <c r="AL504">
        <v>0.287358</v>
      </c>
      <c r="AM504">
        <v>9.0833899999999996</v>
      </c>
      <c r="AN504">
        <v>17.872399999999999</v>
      </c>
      <c r="AO504">
        <v>24.468399999999999</v>
      </c>
      <c r="AP504">
        <v>24.702300000000001</v>
      </c>
      <c r="AQ504">
        <v>18.932300000000001</v>
      </c>
      <c r="AR504">
        <v>4.9412599999999998</v>
      </c>
      <c r="AS504">
        <v>0.21918499999999999</v>
      </c>
      <c r="AT504">
        <v>1.5585899999999999</v>
      </c>
      <c r="AU504">
        <v>12.413</v>
      </c>
      <c r="AV504">
        <v>35.364400000000003</v>
      </c>
      <c r="AW504">
        <v>31.363399999999999</v>
      </c>
      <c r="AX504">
        <v>15.228400000000001</v>
      </c>
      <c r="AY504">
        <v>4.0722399999999999</v>
      </c>
      <c r="AZ504">
        <v>523.91999999999996</v>
      </c>
      <c r="BA504">
        <v>585</v>
      </c>
      <c r="BB504">
        <v>36847.5</v>
      </c>
      <c r="BC504">
        <v>0.17552200000000001</v>
      </c>
      <c r="BD504">
        <v>0.47584500000000002</v>
      </c>
      <c r="BE504">
        <v>0.60623199999999999</v>
      </c>
      <c r="BF504">
        <v>1.4564299999999999</v>
      </c>
      <c r="BG504">
        <v>11.433</v>
      </c>
      <c r="BH504">
        <v>44.936399999999999</v>
      </c>
      <c r="BI504">
        <v>41.091999999999999</v>
      </c>
      <c r="BJ504">
        <v>34.193100000000001</v>
      </c>
      <c r="BK504">
        <v>0</v>
      </c>
      <c r="BL504">
        <v>32.557699999999997</v>
      </c>
      <c r="BM504">
        <v>52.291899999999998</v>
      </c>
      <c r="BN504">
        <v>11.8108</v>
      </c>
      <c r="BO504">
        <v>1.7844199999999999</v>
      </c>
      <c r="BP504">
        <v>1.5552299999999999</v>
      </c>
      <c r="BQ504">
        <v>37.293999999999997</v>
      </c>
      <c r="BR504">
        <v>148788</v>
      </c>
    </row>
    <row r="505" spans="1:70" x14ac:dyDescent="0.25">
      <c r="A505">
        <v>45</v>
      </c>
      <c r="B505" s="7">
        <v>45994.573449074072</v>
      </c>
      <c r="C505" t="s">
        <v>172</v>
      </c>
      <c r="D505" s="6" t="s">
        <v>349</v>
      </c>
      <c r="E505" s="6" t="str">
        <f>VLOOKUP(F505,Germplasm!$A$1:$B$21,2,FALSE)</f>
        <v>Tyra</v>
      </c>
      <c r="F505" t="s">
        <v>73</v>
      </c>
      <c r="G505" s="6" t="s">
        <v>113</v>
      </c>
      <c r="H505">
        <v>45992.800000000003</v>
      </c>
      <c r="I505">
        <v>425.51799999999997</v>
      </c>
      <c r="J505">
        <v>167397</v>
      </c>
      <c r="K505">
        <v>15.937900000000001</v>
      </c>
      <c r="L505">
        <v>69.239999999999995</v>
      </c>
      <c r="M505">
        <v>1543.36</v>
      </c>
      <c r="N505">
        <v>566.827</v>
      </c>
      <c r="O505">
        <v>24275000</v>
      </c>
      <c r="P505">
        <v>0.101121</v>
      </c>
      <c r="Q505">
        <v>0.99345499999999998</v>
      </c>
      <c r="R505">
        <v>18.508700000000001</v>
      </c>
      <c r="S505">
        <v>48.150799999999997</v>
      </c>
      <c r="T505">
        <v>23.667400000000001</v>
      </c>
      <c r="U505">
        <v>8.4406300000000005</v>
      </c>
      <c r="V505">
        <v>0.23902699999999999</v>
      </c>
      <c r="W505">
        <v>62.714199999999998</v>
      </c>
      <c r="X505">
        <v>9.6049500000000005</v>
      </c>
      <c r="Y505">
        <v>31.694400000000002</v>
      </c>
      <c r="Z505">
        <v>16.4695</v>
      </c>
      <c r="AA505">
        <v>20.908300000000001</v>
      </c>
      <c r="AB505">
        <v>10.9336</v>
      </c>
      <c r="AC505">
        <v>10.3893</v>
      </c>
      <c r="AD505">
        <v>1.7239</v>
      </c>
      <c r="AE505">
        <v>16.0062</v>
      </c>
      <c r="AF505">
        <v>0</v>
      </c>
      <c r="AG505">
        <v>89.341800000000006</v>
      </c>
      <c r="AH505">
        <v>4.43973</v>
      </c>
      <c r="AI505">
        <v>0.92716200000000004</v>
      </c>
      <c r="AJ505">
        <v>5.2912699999999999</v>
      </c>
      <c r="AK505">
        <v>0</v>
      </c>
      <c r="AL505">
        <v>0.21082899999999999</v>
      </c>
      <c r="AM505">
        <v>13.2949</v>
      </c>
      <c r="AN505">
        <v>31.222899999999999</v>
      </c>
      <c r="AO505">
        <v>24.020299999999999</v>
      </c>
      <c r="AP505">
        <v>17.0717</v>
      </c>
      <c r="AQ505">
        <v>11.9056</v>
      </c>
      <c r="AR505">
        <v>2.4845700000000002</v>
      </c>
      <c r="AS505">
        <v>0.237539</v>
      </c>
      <c r="AT505">
        <v>1.10456</v>
      </c>
      <c r="AU505">
        <v>8.4060799999999993</v>
      </c>
      <c r="AV505">
        <v>31.3583</v>
      </c>
      <c r="AW505">
        <v>42.008000000000003</v>
      </c>
      <c r="AX505">
        <v>14.2697</v>
      </c>
      <c r="AY505">
        <v>2.85338</v>
      </c>
      <c r="AZ505">
        <v>527.79899999999998</v>
      </c>
      <c r="BA505">
        <v>607.19899999999996</v>
      </c>
      <c r="BB505">
        <v>26679.5</v>
      </c>
      <c r="BC505">
        <v>0.23422299999999999</v>
      </c>
      <c r="BD505">
        <v>0.41736299999999998</v>
      </c>
      <c r="BE505">
        <v>0.49019099999999999</v>
      </c>
      <c r="BF505">
        <v>1.1241699999999999</v>
      </c>
      <c r="BG505">
        <v>7.4733200000000002</v>
      </c>
      <c r="BH505">
        <v>34.932400000000001</v>
      </c>
      <c r="BI505">
        <v>55.5625</v>
      </c>
      <c r="BJ505">
        <v>32.769199999999998</v>
      </c>
      <c r="BK505">
        <v>0</v>
      </c>
      <c r="BL505">
        <v>33.149099999999997</v>
      </c>
      <c r="BM505">
        <v>55.697000000000003</v>
      </c>
      <c r="BN505">
        <v>8.3444599999999998</v>
      </c>
      <c r="BO505">
        <v>1.30531</v>
      </c>
      <c r="BP505">
        <v>1.5041899999999999</v>
      </c>
      <c r="BQ505">
        <v>35.494900000000001</v>
      </c>
      <c r="BR505">
        <v>107101</v>
      </c>
    </row>
    <row r="506" spans="1:70" x14ac:dyDescent="0.25">
      <c r="A506">
        <v>45</v>
      </c>
      <c r="B506" s="7">
        <v>46002.564097222225</v>
      </c>
      <c r="C506" t="s">
        <v>172</v>
      </c>
      <c r="D506" s="6" t="s">
        <v>350</v>
      </c>
      <c r="E506" s="6" t="str">
        <f>VLOOKUP(F506,Germplasm!$A$1:$B$21,2,FALSE)</f>
        <v>Tyra</v>
      </c>
      <c r="F506" t="s">
        <v>73</v>
      </c>
      <c r="G506" s="6" t="s">
        <v>113</v>
      </c>
      <c r="H506">
        <v>39487.199999999997</v>
      </c>
      <c r="I506">
        <v>403.43900000000002</v>
      </c>
      <c r="J506">
        <v>133143</v>
      </c>
      <c r="K506">
        <v>16.619700000000002</v>
      </c>
      <c r="L506">
        <v>87.484099999999998</v>
      </c>
      <c r="M506">
        <v>1369.29</v>
      </c>
      <c r="N506">
        <v>460.29</v>
      </c>
      <c r="O506">
        <v>19185800</v>
      </c>
      <c r="P506">
        <v>5.0368200000000002E-2</v>
      </c>
      <c r="Q506">
        <v>1.14327</v>
      </c>
      <c r="R506">
        <v>29.758900000000001</v>
      </c>
      <c r="S506">
        <v>52.501899999999999</v>
      </c>
      <c r="T506">
        <v>13.532299999999999</v>
      </c>
      <c r="U506">
        <v>2.9543599999999999</v>
      </c>
      <c r="V506">
        <v>0.10929899999999999</v>
      </c>
      <c r="W506">
        <v>49.311</v>
      </c>
      <c r="X506">
        <v>15.627599999999999</v>
      </c>
      <c r="Y506">
        <v>39.799100000000003</v>
      </c>
      <c r="Z506">
        <v>14.6144</v>
      </c>
      <c r="AA506">
        <v>13.535600000000001</v>
      </c>
      <c r="AB506">
        <v>5.0124599999999999</v>
      </c>
      <c r="AC506">
        <v>11.4108</v>
      </c>
      <c r="AD506">
        <v>1.7844899999999999</v>
      </c>
      <c r="AE506">
        <v>19.401199999999999</v>
      </c>
      <c r="AF506">
        <v>0</v>
      </c>
      <c r="AG506">
        <v>82.222499999999997</v>
      </c>
      <c r="AH506">
        <v>10.6709</v>
      </c>
      <c r="AI506">
        <v>1.3028500000000001</v>
      </c>
      <c r="AJ506">
        <v>5.8037900000000002</v>
      </c>
      <c r="AK506">
        <v>0</v>
      </c>
      <c r="AL506">
        <v>0.13502600000000001</v>
      </c>
      <c r="AM506">
        <v>19.081399999999999</v>
      </c>
      <c r="AN506">
        <v>41.478999999999999</v>
      </c>
      <c r="AO506">
        <v>24.1311</v>
      </c>
      <c r="AP506">
        <v>10.797700000000001</v>
      </c>
      <c r="AQ506">
        <v>3.54894</v>
      </c>
      <c r="AR506">
        <v>0.96183300000000005</v>
      </c>
      <c r="AS506">
        <v>0.23557900000000001</v>
      </c>
      <c r="AT506">
        <v>1.7422299999999999</v>
      </c>
      <c r="AU506">
        <v>7.7984999999999998</v>
      </c>
      <c r="AV506">
        <v>29.940300000000001</v>
      </c>
      <c r="AW506">
        <v>44.956899999999997</v>
      </c>
      <c r="AX506">
        <v>12.748699999999999</v>
      </c>
      <c r="AY506">
        <v>2.8133599999999999</v>
      </c>
      <c r="AZ506">
        <v>485.87299999999999</v>
      </c>
      <c r="BA506">
        <v>555.6</v>
      </c>
      <c r="BB506">
        <v>22128</v>
      </c>
      <c r="BC506">
        <v>0.260602</v>
      </c>
      <c r="BD506">
        <v>0.58912299999999995</v>
      </c>
      <c r="BE506">
        <v>0.96620499999999998</v>
      </c>
      <c r="BF506">
        <v>1.5597000000000001</v>
      </c>
      <c r="BG506">
        <v>6.4235100000000003</v>
      </c>
      <c r="BH506">
        <v>24.8492</v>
      </c>
      <c r="BI506">
        <v>65.612300000000005</v>
      </c>
      <c r="BJ506">
        <v>30.377700000000001</v>
      </c>
      <c r="BK506">
        <v>0</v>
      </c>
      <c r="BL506">
        <v>40.394799999999996</v>
      </c>
      <c r="BM506">
        <v>50.856900000000003</v>
      </c>
      <c r="BN506">
        <v>5.9644599999999999</v>
      </c>
      <c r="BO506">
        <v>1.40777</v>
      </c>
      <c r="BP506">
        <v>1.37608</v>
      </c>
      <c r="BQ506">
        <v>34.113599999999998</v>
      </c>
      <c r="BR506">
        <v>91492</v>
      </c>
    </row>
    <row r="507" spans="1:70" x14ac:dyDescent="0.25">
      <c r="A507">
        <v>45</v>
      </c>
      <c r="B507" s="7">
        <v>46013.58866898148</v>
      </c>
      <c r="C507" t="s">
        <v>172</v>
      </c>
      <c r="D507" s="6" t="s">
        <v>351</v>
      </c>
      <c r="E507" s="6" t="str">
        <f>VLOOKUP(F507,Germplasm!$A$1:$B$21,2,FALSE)</f>
        <v>Tyra</v>
      </c>
      <c r="F507" t="s">
        <v>73</v>
      </c>
      <c r="G507" s="6" t="s">
        <v>113</v>
      </c>
      <c r="H507">
        <v>27628.9</v>
      </c>
      <c r="I507">
        <v>400.40100000000001</v>
      </c>
      <c r="J507">
        <v>95890</v>
      </c>
      <c r="K507">
        <v>16.099599999999999</v>
      </c>
      <c r="L507">
        <v>77.226299999999995</v>
      </c>
      <c r="M507">
        <v>1174.1099999999999</v>
      </c>
      <c r="N507">
        <v>415.46899999999999</v>
      </c>
      <c r="O507">
        <v>13246400</v>
      </c>
      <c r="P507">
        <v>8.1005999999999995E-3</v>
      </c>
      <c r="Q507">
        <v>1.39547</v>
      </c>
      <c r="R507">
        <v>36.070900000000002</v>
      </c>
      <c r="S507">
        <v>60.525199999999998</v>
      </c>
      <c r="T507">
        <v>1.61791</v>
      </c>
      <c r="U507">
        <v>0.29605700000000001</v>
      </c>
      <c r="V507">
        <v>9.4418100000000005E-2</v>
      </c>
      <c r="W507">
        <v>38.141300000000001</v>
      </c>
      <c r="X507">
        <v>19.531700000000001</v>
      </c>
      <c r="Y507">
        <v>53.293399999999998</v>
      </c>
      <c r="Z507">
        <v>10.6388</v>
      </c>
      <c r="AA507">
        <v>4.4680600000000004</v>
      </c>
      <c r="AB507">
        <v>1.99078</v>
      </c>
      <c r="AC507">
        <v>10.0771</v>
      </c>
      <c r="AD507">
        <v>1.7896700000000001</v>
      </c>
      <c r="AE507">
        <v>23.9788</v>
      </c>
      <c r="AF507">
        <v>0</v>
      </c>
      <c r="AG507">
        <v>73.911799999999999</v>
      </c>
      <c r="AH507">
        <v>15.6366</v>
      </c>
      <c r="AI507">
        <v>1.8067500000000001</v>
      </c>
      <c r="AJ507">
        <v>8.6448599999999995</v>
      </c>
      <c r="AK507">
        <v>0</v>
      </c>
      <c r="AL507">
        <v>7.19249E-2</v>
      </c>
      <c r="AM507">
        <v>27.6389</v>
      </c>
      <c r="AN507">
        <v>52.270800000000001</v>
      </c>
      <c r="AO507">
        <v>14.759600000000001</v>
      </c>
      <c r="AP507">
        <v>3.6278999999999999</v>
      </c>
      <c r="AQ507">
        <v>1.1938299999999999</v>
      </c>
      <c r="AR507">
        <v>0.50889799999999996</v>
      </c>
      <c r="AS507">
        <v>0.23738699999999999</v>
      </c>
      <c r="AT507">
        <v>1.4754799999999999</v>
      </c>
      <c r="AU507">
        <v>6.3452200000000003</v>
      </c>
      <c r="AV507">
        <v>31.954899999999999</v>
      </c>
      <c r="AW507">
        <v>46.003999999999998</v>
      </c>
      <c r="AX507">
        <v>11.0549</v>
      </c>
      <c r="AY507">
        <v>3.1654100000000001</v>
      </c>
      <c r="AZ507">
        <v>479.44099999999997</v>
      </c>
      <c r="BA507">
        <v>520.79899999999998</v>
      </c>
      <c r="BB507">
        <v>15437.9</v>
      </c>
      <c r="BC507">
        <v>0.28934799999999999</v>
      </c>
      <c r="BD507">
        <v>0.79215199999999997</v>
      </c>
      <c r="BE507">
        <v>0.84176200000000001</v>
      </c>
      <c r="BF507">
        <v>1.4242699999999999</v>
      </c>
      <c r="BG507">
        <v>4.7593100000000002</v>
      </c>
      <c r="BH507">
        <v>17.945799999999998</v>
      </c>
      <c r="BI507">
        <v>74.236699999999999</v>
      </c>
      <c r="BJ507">
        <v>29.226900000000001</v>
      </c>
      <c r="BK507">
        <v>0</v>
      </c>
      <c r="BL507">
        <v>46.815399999999997</v>
      </c>
      <c r="BM507">
        <v>44.719000000000001</v>
      </c>
      <c r="BN507">
        <v>4.7545099999999998</v>
      </c>
      <c r="BO507">
        <v>1.60511</v>
      </c>
      <c r="BP507">
        <v>2.1059999999999999</v>
      </c>
      <c r="BQ507">
        <v>33.988999999999997</v>
      </c>
      <c r="BR507">
        <v>62488</v>
      </c>
    </row>
    <row r="508" spans="1:70" x14ac:dyDescent="0.25">
      <c r="A508">
        <v>45</v>
      </c>
      <c r="B508" s="7">
        <v>46013.58929398148</v>
      </c>
      <c r="C508" t="s">
        <v>172</v>
      </c>
      <c r="D508" s="6" t="s">
        <v>352</v>
      </c>
      <c r="E508" s="6" t="str">
        <f>VLOOKUP(F508,Germplasm!$A$1:$B$21,2,FALSE)</f>
        <v>Tyra</v>
      </c>
      <c r="F508" t="s">
        <v>73</v>
      </c>
      <c r="G508" s="6" t="s">
        <v>113</v>
      </c>
      <c r="H508">
        <v>28139.5</v>
      </c>
      <c r="I508">
        <v>399.39600000000002</v>
      </c>
      <c r="J508">
        <v>95722.5</v>
      </c>
      <c r="K508">
        <v>16.447700000000001</v>
      </c>
      <c r="L508">
        <v>76.965500000000006</v>
      </c>
      <c r="M508">
        <v>1174.45</v>
      </c>
      <c r="N508">
        <v>415.25200000000001</v>
      </c>
      <c r="O508">
        <v>13471200</v>
      </c>
      <c r="P508">
        <v>7.4505200000000004E-3</v>
      </c>
      <c r="Q508">
        <v>1.43388</v>
      </c>
      <c r="R508">
        <v>36.607900000000001</v>
      </c>
      <c r="S508">
        <v>60.106999999999999</v>
      </c>
      <c r="T508">
        <v>1.49977</v>
      </c>
      <c r="U508">
        <v>0.25100800000000001</v>
      </c>
      <c r="V508">
        <v>0.10040300000000001</v>
      </c>
      <c r="W508">
        <v>37.6995</v>
      </c>
      <c r="X508">
        <v>20.017900000000001</v>
      </c>
      <c r="Y508">
        <v>53.467799999999997</v>
      </c>
      <c r="Z508">
        <v>10.601900000000001</v>
      </c>
      <c r="AA508">
        <v>4.1024099999999999</v>
      </c>
      <c r="AB508">
        <v>2.0347300000000001</v>
      </c>
      <c r="AC508">
        <v>9.7751900000000003</v>
      </c>
      <c r="AD508">
        <v>1.7873000000000001</v>
      </c>
      <c r="AE508">
        <v>23.999199999999998</v>
      </c>
      <c r="AF508">
        <v>0</v>
      </c>
      <c r="AG508">
        <v>73.851200000000006</v>
      </c>
      <c r="AH508">
        <v>15.758599999999999</v>
      </c>
      <c r="AI508">
        <v>1.8182400000000001</v>
      </c>
      <c r="AJ508">
        <v>8.5719200000000004</v>
      </c>
      <c r="AK508">
        <v>0</v>
      </c>
      <c r="AL508">
        <v>7.4615200000000007E-2</v>
      </c>
      <c r="AM508">
        <v>26.296199999999999</v>
      </c>
      <c r="AN508">
        <v>53.2498</v>
      </c>
      <c r="AO508">
        <v>15.0997</v>
      </c>
      <c r="AP508">
        <v>3.6960899999999999</v>
      </c>
      <c r="AQ508">
        <v>1.1844399999999999</v>
      </c>
      <c r="AR508">
        <v>0.47377799999999998</v>
      </c>
      <c r="AS508">
        <v>0.23850499999999999</v>
      </c>
      <c r="AT508">
        <v>1.35701</v>
      </c>
      <c r="AU508">
        <v>6.1496899999999997</v>
      </c>
      <c r="AV508">
        <v>31.620699999999999</v>
      </c>
      <c r="AW508">
        <v>47.062399999999997</v>
      </c>
      <c r="AX508">
        <v>10.7729</v>
      </c>
      <c r="AY508">
        <v>3.0371999999999999</v>
      </c>
      <c r="AZ508">
        <v>478.72899999999998</v>
      </c>
      <c r="BA508">
        <v>522.29899999999998</v>
      </c>
      <c r="BB508">
        <v>15744.1</v>
      </c>
      <c r="BC508">
        <v>0.29065600000000003</v>
      </c>
      <c r="BD508">
        <v>0.746749</v>
      </c>
      <c r="BE508">
        <v>0.68085899999999999</v>
      </c>
      <c r="BF508">
        <v>1.39937</v>
      </c>
      <c r="BG508">
        <v>4.67659</v>
      </c>
      <c r="BH508">
        <v>17.892199999999999</v>
      </c>
      <c r="BI508">
        <v>74.604299999999995</v>
      </c>
      <c r="BJ508">
        <v>29.0549</v>
      </c>
      <c r="BK508">
        <v>0</v>
      </c>
      <c r="BL508">
        <v>46.728299999999997</v>
      </c>
      <c r="BM508">
        <v>45.217500000000001</v>
      </c>
      <c r="BN508">
        <v>4.5134400000000001</v>
      </c>
      <c r="BO508">
        <v>1.65038</v>
      </c>
      <c r="BP508">
        <v>1.8904000000000001</v>
      </c>
      <c r="BQ508">
        <v>34.0413</v>
      </c>
      <c r="BR508">
        <v>63743</v>
      </c>
    </row>
    <row r="509" spans="1:70" x14ac:dyDescent="0.25">
      <c r="A509">
        <v>45</v>
      </c>
      <c r="B509" s="7">
        <v>46024.526770833334</v>
      </c>
      <c r="C509" t="s">
        <v>172</v>
      </c>
      <c r="D509" s="6" t="s">
        <v>353</v>
      </c>
      <c r="E509" s="6" t="str">
        <f>VLOOKUP(F509,Germplasm!$A$1:$B$21,2,FALSE)</f>
        <v>Tyra</v>
      </c>
      <c r="F509" t="s">
        <v>73</v>
      </c>
      <c r="G509" s="6" t="s">
        <v>113</v>
      </c>
      <c r="H509">
        <v>30886.799999999999</v>
      </c>
      <c r="I509">
        <v>230.03100000000001</v>
      </c>
      <c r="J509">
        <v>118368</v>
      </c>
      <c r="K509">
        <v>14.8233</v>
      </c>
      <c r="L509">
        <v>70.022499999999994</v>
      </c>
      <c r="M509">
        <v>1332.51</v>
      </c>
      <c r="N509">
        <v>481.44400000000002</v>
      </c>
      <c r="O509">
        <v>8268630</v>
      </c>
      <c r="P509">
        <v>6.0137200000000002E-3</v>
      </c>
      <c r="Q509">
        <v>1.29599</v>
      </c>
      <c r="R509">
        <v>38.216299999999997</v>
      </c>
      <c r="S509">
        <v>58.681800000000003</v>
      </c>
      <c r="T509">
        <v>1.40557</v>
      </c>
      <c r="U509">
        <v>0.33459</v>
      </c>
      <c r="V509">
        <v>6.5749100000000005E-2</v>
      </c>
      <c r="W509">
        <v>37.417499999999997</v>
      </c>
      <c r="X509">
        <v>20.320900000000002</v>
      </c>
      <c r="Y509">
        <v>54.523499999999999</v>
      </c>
      <c r="Z509">
        <v>9.0879899999999996</v>
      </c>
      <c r="AA509">
        <v>3.9537100000000001</v>
      </c>
      <c r="AB509">
        <v>2.0338400000000001</v>
      </c>
      <c r="AC509">
        <v>10.0801</v>
      </c>
      <c r="AD509">
        <v>1.76033</v>
      </c>
      <c r="AE509">
        <v>26.248799999999999</v>
      </c>
      <c r="AF509">
        <v>0</v>
      </c>
      <c r="AG509">
        <v>64.502799999999993</v>
      </c>
      <c r="AH509">
        <v>25.941700000000001</v>
      </c>
      <c r="AI509">
        <v>1.79714</v>
      </c>
      <c r="AJ509">
        <v>7.7583900000000003</v>
      </c>
      <c r="AK509">
        <v>0</v>
      </c>
      <c r="AL509">
        <v>7.3162599999999994E-2</v>
      </c>
      <c r="AM509">
        <v>24.467400000000001</v>
      </c>
      <c r="AN509">
        <v>56.763399999999997</v>
      </c>
      <c r="AO509">
        <v>14.115600000000001</v>
      </c>
      <c r="AP509">
        <v>3.2056300000000002</v>
      </c>
      <c r="AQ509">
        <v>1.0592900000000001</v>
      </c>
      <c r="AR509">
        <v>0.38865</v>
      </c>
      <c r="AS509">
        <v>0.237867</v>
      </c>
      <c r="AT509">
        <v>1.53122</v>
      </c>
      <c r="AU509">
        <v>6.6990999999999996</v>
      </c>
      <c r="AV509">
        <v>31.869299999999999</v>
      </c>
      <c r="AW509">
        <v>45.8461</v>
      </c>
      <c r="AX509">
        <v>10.528600000000001</v>
      </c>
      <c r="AY509">
        <v>3.5256099999999999</v>
      </c>
      <c r="AZ509">
        <v>267.70800000000003</v>
      </c>
      <c r="BA509">
        <v>282.59899999999999</v>
      </c>
      <c r="BB509">
        <v>17546</v>
      </c>
      <c r="BC509">
        <v>0.28250700000000001</v>
      </c>
      <c r="BD509">
        <v>0.80798300000000001</v>
      </c>
      <c r="BE509">
        <v>0.89564900000000003</v>
      </c>
      <c r="BF509">
        <v>1.52684</v>
      </c>
      <c r="BG509">
        <v>4.9998500000000003</v>
      </c>
      <c r="BH509">
        <v>16.543900000000001</v>
      </c>
      <c r="BI509">
        <v>75.225700000000003</v>
      </c>
      <c r="BJ509">
        <v>28.913699999999999</v>
      </c>
      <c r="BK509">
        <v>0</v>
      </c>
      <c r="BL509">
        <v>47.4694</v>
      </c>
      <c r="BM509">
        <v>43.881</v>
      </c>
      <c r="BN509">
        <v>4.8625100000000003</v>
      </c>
      <c r="BO509">
        <v>1.7781499999999999</v>
      </c>
      <c r="BP509">
        <v>2.0089999999999999</v>
      </c>
      <c r="BQ509">
        <v>34.640999999999998</v>
      </c>
      <c r="BR509">
        <v>68442</v>
      </c>
    </row>
    <row r="510" spans="1:70" x14ac:dyDescent="0.25">
      <c r="A510">
        <v>45</v>
      </c>
      <c r="B510" s="7">
        <v>45952.572280092594</v>
      </c>
      <c r="C510" t="s">
        <v>170</v>
      </c>
      <c r="D510" s="6" t="s">
        <v>344</v>
      </c>
      <c r="E510" s="6" t="str">
        <f>VLOOKUP(F510,Germplasm!$A$1:$B$21,2,FALSE)</f>
        <v>Ismena</v>
      </c>
      <c r="F510" t="s">
        <v>63</v>
      </c>
      <c r="G510" s="6" t="s">
        <v>113</v>
      </c>
      <c r="H510">
        <v>27717.9</v>
      </c>
      <c r="I510">
        <v>216.995</v>
      </c>
      <c r="J510">
        <v>128322</v>
      </c>
      <c r="K510">
        <v>12.6556</v>
      </c>
      <c r="L510">
        <v>65.524199999999993</v>
      </c>
      <c r="M510">
        <v>1371.67</v>
      </c>
      <c r="N510">
        <v>497.81400000000002</v>
      </c>
      <c r="O510">
        <v>7363650</v>
      </c>
      <c r="P510">
        <v>0.225854</v>
      </c>
      <c r="Q510">
        <v>0.55913500000000005</v>
      </c>
      <c r="R510">
        <v>4.4056300000000004</v>
      </c>
      <c r="S510">
        <v>20.693300000000001</v>
      </c>
      <c r="T510">
        <v>44.895899999999997</v>
      </c>
      <c r="U510">
        <v>29.248999999999999</v>
      </c>
      <c r="V510">
        <v>0.19702900000000001</v>
      </c>
      <c r="W510">
        <v>116.706</v>
      </c>
      <c r="X510">
        <v>1.19282</v>
      </c>
      <c r="Y510">
        <v>2.6181700000000001</v>
      </c>
      <c r="Z510">
        <v>4.2938000000000001</v>
      </c>
      <c r="AA510">
        <v>16.593</v>
      </c>
      <c r="AB510">
        <v>36.890500000000003</v>
      </c>
      <c r="AC510">
        <v>38.411700000000003</v>
      </c>
      <c r="AD510">
        <v>1.7067699999999999</v>
      </c>
      <c r="AE510">
        <v>7.2132500000000004</v>
      </c>
      <c r="AF510">
        <v>0</v>
      </c>
      <c r="AG510">
        <v>99.861500000000007</v>
      </c>
      <c r="AH510">
        <v>0.133127</v>
      </c>
      <c r="AI510">
        <v>5.3251000000000001E-3</v>
      </c>
      <c r="AJ510">
        <v>0</v>
      </c>
      <c r="AK510">
        <v>0</v>
      </c>
      <c r="AL510">
        <v>0.51278999999999997</v>
      </c>
      <c r="AM510">
        <v>0.85379099999999997</v>
      </c>
      <c r="AN510">
        <v>3.2039300000000002</v>
      </c>
      <c r="AO510">
        <v>5.8966599999999998</v>
      </c>
      <c r="AP510">
        <v>15.8368</v>
      </c>
      <c r="AQ510">
        <v>43.149299999999997</v>
      </c>
      <c r="AR510">
        <v>31.0595</v>
      </c>
      <c r="AS510">
        <v>3.1214100000000002E-2</v>
      </c>
      <c r="AT510">
        <v>7.4196400000000002</v>
      </c>
      <c r="AU510">
        <v>36.5124</v>
      </c>
      <c r="AV510">
        <v>41.759399999999999</v>
      </c>
      <c r="AW510">
        <v>11.170299999999999</v>
      </c>
      <c r="AX510">
        <v>2.0821100000000001</v>
      </c>
      <c r="AY510">
        <v>1.0561400000000001</v>
      </c>
      <c r="AZ510">
        <v>265.66399999999999</v>
      </c>
      <c r="BA510">
        <v>271.12400000000002</v>
      </c>
      <c r="BB510">
        <v>16239.9</v>
      </c>
      <c r="BC510">
        <v>1.35707E-2</v>
      </c>
      <c r="BD510">
        <v>6.3901200000000005E-2</v>
      </c>
      <c r="BE510">
        <v>0.51830900000000002</v>
      </c>
      <c r="BF510">
        <v>2.9820500000000001</v>
      </c>
      <c r="BG510">
        <v>40.367800000000003</v>
      </c>
      <c r="BH510">
        <v>50.904400000000003</v>
      </c>
      <c r="BI510">
        <v>5.16357</v>
      </c>
      <c r="BJ510">
        <v>30.944700000000001</v>
      </c>
      <c r="BK510">
        <v>0</v>
      </c>
      <c r="BL510">
        <v>34.405500000000004</v>
      </c>
      <c r="BM510">
        <v>57.890900000000002</v>
      </c>
      <c r="BN510">
        <v>6.8640499999999998</v>
      </c>
      <c r="BO510">
        <v>0.62481100000000001</v>
      </c>
      <c r="BP510">
        <v>0.214779</v>
      </c>
      <c r="BQ510">
        <v>35.890500000000003</v>
      </c>
      <c r="BR510">
        <v>56337</v>
      </c>
    </row>
    <row r="511" spans="1:70" x14ac:dyDescent="0.25">
      <c r="A511">
        <v>45</v>
      </c>
      <c r="B511" s="7">
        <v>45959.538391203707</v>
      </c>
      <c r="C511" t="s">
        <v>170</v>
      </c>
      <c r="D511" s="6" t="s">
        <v>345</v>
      </c>
      <c r="E511" s="6" t="str">
        <f>VLOOKUP(F511,Germplasm!$A$1:$B$21,2,FALSE)</f>
        <v>Ismena</v>
      </c>
      <c r="F511" t="s">
        <v>63</v>
      </c>
      <c r="G511" s="6" t="s">
        <v>113</v>
      </c>
      <c r="H511">
        <v>57187.5</v>
      </c>
      <c r="I511">
        <v>404.25</v>
      </c>
      <c r="J511">
        <v>202479</v>
      </c>
      <c r="K511">
        <v>16.020600000000002</v>
      </c>
      <c r="L511">
        <v>96.046099999999996</v>
      </c>
      <c r="M511">
        <v>1668.37</v>
      </c>
      <c r="N511">
        <v>548.99199999999996</v>
      </c>
      <c r="O511">
        <v>27188800</v>
      </c>
      <c r="P511">
        <v>0.209342</v>
      </c>
      <c r="Q511">
        <v>0.87586200000000003</v>
      </c>
      <c r="R511">
        <v>4.4666399999999999</v>
      </c>
      <c r="S511">
        <v>24.6691</v>
      </c>
      <c r="T511">
        <v>46.185000000000002</v>
      </c>
      <c r="U511">
        <v>23.248100000000001</v>
      </c>
      <c r="V511">
        <v>0.55536200000000002</v>
      </c>
      <c r="W511">
        <v>125.28700000000001</v>
      </c>
      <c r="X511">
        <v>0.99371699999999996</v>
      </c>
      <c r="Y511">
        <v>1.86449</v>
      </c>
      <c r="Z511">
        <v>3.15327</v>
      </c>
      <c r="AA511">
        <v>12.1145</v>
      </c>
      <c r="AB511">
        <v>30.910399999999999</v>
      </c>
      <c r="AC511">
        <v>50.9636</v>
      </c>
      <c r="AD511">
        <v>1.7629600000000001</v>
      </c>
      <c r="AE511">
        <v>6.5319500000000001</v>
      </c>
      <c r="AF511">
        <v>0</v>
      </c>
      <c r="AG511">
        <v>99.839799999999997</v>
      </c>
      <c r="AH511">
        <v>0.16025</v>
      </c>
      <c r="AI511">
        <v>0</v>
      </c>
      <c r="AJ511">
        <v>0</v>
      </c>
      <c r="AK511">
        <v>0</v>
      </c>
      <c r="AL511">
        <v>0.511073</v>
      </c>
      <c r="AM511">
        <v>0.77750699999999995</v>
      </c>
      <c r="AN511">
        <v>2.9955699999999998</v>
      </c>
      <c r="AO511">
        <v>6.1963200000000001</v>
      </c>
      <c r="AP511">
        <v>18.2744</v>
      </c>
      <c r="AQ511">
        <v>41.0349</v>
      </c>
      <c r="AR511">
        <v>30.721299999999999</v>
      </c>
      <c r="AS511">
        <v>-7.2911699999999996E-3</v>
      </c>
      <c r="AT511">
        <v>10.6952</v>
      </c>
      <c r="AU511">
        <v>45.3354</v>
      </c>
      <c r="AV511">
        <v>34.041600000000003</v>
      </c>
      <c r="AW511">
        <v>6.8466399999999998</v>
      </c>
      <c r="AX511">
        <v>1.5846899999999999</v>
      </c>
      <c r="AY511">
        <v>1.49651</v>
      </c>
      <c r="AZ511">
        <v>475.43299999999999</v>
      </c>
      <c r="BA511">
        <v>524.99900000000002</v>
      </c>
      <c r="BB511">
        <v>32438.3</v>
      </c>
      <c r="BC511">
        <v>-1.5529100000000001E-2</v>
      </c>
      <c r="BD511">
        <v>0.108529</v>
      </c>
      <c r="BE511">
        <v>0.69950199999999996</v>
      </c>
      <c r="BF511">
        <v>4.6396100000000002</v>
      </c>
      <c r="BG511">
        <v>50.582099999999997</v>
      </c>
      <c r="BH511">
        <v>40.171799999999998</v>
      </c>
      <c r="BI511">
        <v>3.7985099999999998</v>
      </c>
      <c r="BJ511">
        <v>29.790400000000002</v>
      </c>
      <c r="BK511">
        <v>0</v>
      </c>
      <c r="BL511">
        <v>40.902700000000003</v>
      </c>
      <c r="BM511">
        <v>51.280700000000003</v>
      </c>
      <c r="BN511">
        <v>6.0843999999999996</v>
      </c>
      <c r="BO511">
        <v>0.783443</v>
      </c>
      <c r="BP511">
        <v>0.94877900000000004</v>
      </c>
      <c r="BQ511">
        <v>34.6004</v>
      </c>
      <c r="BR511">
        <v>117941</v>
      </c>
    </row>
    <row r="512" spans="1:70" x14ac:dyDescent="0.25">
      <c r="A512">
        <v>45</v>
      </c>
      <c r="B512" s="7">
        <v>45966.541342592594</v>
      </c>
      <c r="C512" t="s">
        <v>170</v>
      </c>
      <c r="D512" s="6" t="s">
        <v>346</v>
      </c>
      <c r="E512" s="6" t="str">
        <f>VLOOKUP(F512,Germplasm!$A$1:$B$21,2,FALSE)</f>
        <v>Ismena</v>
      </c>
      <c r="F512" t="s">
        <v>63</v>
      </c>
      <c r="G512" s="6" t="s">
        <v>113</v>
      </c>
      <c r="H512">
        <v>76924.399999999994</v>
      </c>
      <c r="I512">
        <v>449.00400000000002</v>
      </c>
      <c r="J512">
        <v>240281</v>
      </c>
      <c r="K512">
        <v>18.874500000000001</v>
      </c>
      <c r="L512">
        <v>88.937899999999999</v>
      </c>
      <c r="M512">
        <v>1805.97</v>
      </c>
      <c r="N512">
        <v>629.44100000000003</v>
      </c>
      <c r="O512">
        <v>41948100</v>
      </c>
      <c r="P512">
        <v>0.225409</v>
      </c>
      <c r="Q512">
        <v>0.71826199999999996</v>
      </c>
      <c r="R512">
        <v>4.0977600000000001</v>
      </c>
      <c r="S512">
        <v>21.0976</v>
      </c>
      <c r="T512">
        <v>45.680100000000003</v>
      </c>
      <c r="U512">
        <v>27.683299999999999</v>
      </c>
      <c r="V512">
        <v>0.72299599999999997</v>
      </c>
      <c r="W512">
        <v>121.95699999999999</v>
      </c>
      <c r="X512">
        <v>1.16022</v>
      </c>
      <c r="Y512">
        <v>1.82938</v>
      </c>
      <c r="Z512">
        <v>3.0576400000000001</v>
      </c>
      <c r="AA512">
        <v>12.537100000000001</v>
      </c>
      <c r="AB512">
        <v>35.833799999999997</v>
      </c>
      <c r="AC512">
        <v>45.581899999999997</v>
      </c>
      <c r="AD512">
        <v>1.69617</v>
      </c>
      <c r="AE512">
        <v>6.3100399999999999</v>
      </c>
      <c r="AF512">
        <v>0</v>
      </c>
      <c r="AG512">
        <v>99.748599999999996</v>
      </c>
      <c r="AH512">
        <v>0.234293</v>
      </c>
      <c r="AI512">
        <v>1.5974499999999999E-2</v>
      </c>
      <c r="AJ512">
        <v>1.1833E-3</v>
      </c>
      <c r="AK512">
        <v>0</v>
      </c>
      <c r="AL512">
        <v>0.51935200000000004</v>
      </c>
      <c r="AM512">
        <v>0.82298400000000005</v>
      </c>
      <c r="AN512">
        <v>3.2333599999999998</v>
      </c>
      <c r="AO512">
        <v>6.7779400000000001</v>
      </c>
      <c r="AP512">
        <v>15.483499999999999</v>
      </c>
      <c r="AQ512">
        <v>38.274999999999999</v>
      </c>
      <c r="AR512">
        <v>35.407299999999999</v>
      </c>
      <c r="AS512">
        <v>1.08206E-2</v>
      </c>
      <c r="AT512">
        <v>7.6441100000000004</v>
      </c>
      <c r="AU512">
        <v>44.1785</v>
      </c>
      <c r="AV512">
        <v>37.028399999999998</v>
      </c>
      <c r="AW512">
        <v>7.7973499999999998</v>
      </c>
      <c r="AX512">
        <v>1.83944</v>
      </c>
      <c r="AY512">
        <v>1.5122599999999999</v>
      </c>
      <c r="AZ512">
        <v>545.31500000000005</v>
      </c>
      <c r="BA512">
        <v>659.4</v>
      </c>
      <c r="BB512">
        <v>45351.9</v>
      </c>
      <c r="BC512">
        <v>-2.6301300000000001E-3</v>
      </c>
      <c r="BD512">
        <v>6.3306500000000002E-2</v>
      </c>
      <c r="BE512">
        <v>0.38516400000000001</v>
      </c>
      <c r="BF512">
        <v>3.3682599999999998</v>
      </c>
      <c r="BG512">
        <v>48.0047</v>
      </c>
      <c r="BH512">
        <v>43.888599999999997</v>
      </c>
      <c r="BI512">
        <v>4.2900499999999999</v>
      </c>
      <c r="BJ512">
        <v>30.707000000000001</v>
      </c>
      <c r="BK512">
        <v>0</v>
      </c>
      <c r="BL512">
        <v>36.977499999999999</v>
      </c>
      <c r="BM512">
        <v>54.799799999999998</v>
      </c>
      <c r="BN512">
        <v>6.4720500000000003</v>
      </c>
      <c r="BO512">
        <v>0.91883199999999998</v>
      </c>
      <c r="BP512">
        <v>0.83185900000000002</v>
      </c>
      <c r="BQ512">
        <v>36.179900000000004</v>
      </c>
      <c r="BR512">
        <v>169019</v>
      </c>
    </row>
    <row r="513" spans="1:70" x14ac:dyDescent="0.25">
      <c r="A513">
        <v>45</v>
      </c>
      <c r="B513" s="7">
        <v>45973.566122685188</v>
      </c>
      <c r="C513" t="s">
        <v>170</v>
      </c>
      <c r="D513" s="6" t="s">
        <v>347</v>
      </c>
      <c r="E513" s="6" t="str">
        <f>VLOOKUP(F513,Germplasm!$A$1:$B$21,2,FALSE)</f>
        <v>Ismena</v>
      </c>
      <c r="F513" t="s">
        <v>63</v>
      </c>
      <c r="G513" s="6" t="s">
        <v>113</v>
      </c>
      <c r="H513">
        <v>96025.4</v>
      </c>
      <c r="I513">
        <v>579.95299999999997</v>
      </c>
      <c r="J513">
        <v>274226</v>
      </c>
      <c r="K513">
        <v>20.357700000000001</v>
      </c>
      <c r="L513">
        <v>82.579800000000006</v>
      </c>
      <c r="M513">
        <v>1909.65</v>
      </c>
      <c r="N513">
        <v>659.89400000000001</v>
      </c>
      <c r="O513">
        <v>66060900</v>
      </c>
      <c r="P513">
        <v>0.23056399999999999</v>
      </c>
      <c r="Q513">
        <v>0.54649000000000003</v>
      </c>
      <c r="R513">
        <v>3.7274099999999999</v>
      </c>
      <c r="S513">
        <v>20.723099999999999</v>
      </c>
      <c r="T513">
        <v>45.660800000000002</v>
      </c>
      <c r="U513">
        <v>28.647400000000001</v>
      </c>
      <c r="V513">
        <v>0.69470699999999996</v>
      </c>
      <c r="W513">
        <v>117.33199999999999</v>
      </c>
      <c r="X513">
        <v>1.10015</v>
      </c>
      <c r="Y513">
        <v>2.34565</v>
      </c>
      <c r="Z513">
        <v>4.0348499999999996</v>
      </c>
      <c r="AA513">
        <v>15.715299999999999</v>
      </c>
      <c r="AB513">
        <v>37.8431</v>
      </c>
      <c r="AC513">
        <v>38.960999999999999</v>
      </c>
      <c r="AD513">
        <v>1.7200800000000001</v>
      </c>
      <c r="AE513">
        <v>6.54779</v>
      </c>
      <c r="AF513">
        <v>0</v>
      </c>
      <c r="AG513">
        <v>99.842699999999994</v>
      </c>
      <c r="AH513">
        <v>0.153476</v>
      </c>
      <c r="AI513">
        <v>3.3468299999999999E-3</v>
      </c>
      <c r="AJ513">
        <v>4.7811899999999999E-4</v>
      </c>
      <c r="AK513">
        <v>0</v>
      </c>
      <c r="AL513">
        <v>0.50367200000000001</v>
      </c>
      <c r="AM513">
        <v>0.75303699999999996</v>
      </c>
      <c r="AN513">
        <v>3.64757</v>
      </c>
      <c r="AO513">
        <v>7.8162900000000004</v>
      </c>
      <c r="AP513">
        <v>17.196999999999999</v>
      </c>
      <c r="AQ513">
        <v>39.905700000000003</v>
      </c>
      <c r="AR513">
        <v>30.680399999999999</v>
      </c>
      <c r="AS513">
        <v>4.1578499999999997E-2</v>
      </c>
      <c r="AT513">
        <v>5.2617000000000003</v>
      </c>
      <c r="AU513">
        <v>39.798099999999998</v>
      </c>
      <c r="AV513">
        <v>39.54</v>
      </c>
      <c r="AW513">
        <v>10.7864</v>
      </c>
      <c r="AX513">
        <v>2.87636</v>
      </c>
      <c r="AY513">
        <v>1.7374799999999999</v>
      </c>
      <c r="AZ513">
        <v>687.952</v>
      </c>
      <c r="BA513">
        <v>817.79899999999998</v>
      </c>
      <c r="BB513">
        <v>55826.1</v>
      </c>
      <c r="BC513">
        <v>1.76172E-2</v>
      </c>
      <c r="BD513">
        <v>5.9286699999999998E-2</v>
      </c>
      <c r="BE513">
        <v>0.33803</v>
      </c>
      <c r="BF513">
        <v>2.5039099999999999</v>
      </c>
      <c r="BG513">
        <v>42.158099999999997</v>
      </c>
      <c r="BH513">
        <v>48.573099999999997</v>
      </c>
      <c r="BI513">
        <v>6.3675899999999999</v>
      </c>
      <c r="BJ513">
        <v>31.277100000000001</v>
      </c>
      <c r="BK513">
        <v>0</v>
      </c>
      <c r="BL513">
        <v>35.799199999999999</v>
      </c>
      <c r="BM513">
        <v>54.671900000000001</v>
      </c>
      <c r="BN513">
        <v>7.8134199999999998</v>
      </c>
      <c r="BO513">
        <v>1.11402</v>
      </c>
      <c r="BP513">
        <v>0.60147399999999995</v>
      </c>
      <c r="BQ513">
        <v>35.605400000000003</v>
      </c>
      <c r="BR513">
        <v>209153</v>
      </c>
    </row>
    <row r="514" spans="1:70" x14ac:dyDescent="0.25">
      <c r="A514">
        <v>45</v>
      </c>
      <c r="B514" s="7">
        <v>45988.565000000002</v>
      </c>
      <c r="C514" t="s">
        <v>170</v>
      </c>
      <c r="D514" s="6" t="s">
        <v>348</v>
      </c>
      <c r="E514" s="6" t="str">
        <f>VLOOKUP(F514,Germplasm!$A$1:$B$21,2,FALSE)</f>
        <v>Ismena</v>
      </c>
      <c r="F514" t="s">
        <v>63</v>
      </c>
      <c r="G514" s="6" t="s">
        <v>113</v>
      </c>
      <c r="H514">
        <v>60171.5</v>
      </c>
      <c r="I514">
        <v>496.43</v>
      </c>
      <c r="J514">
        <v>152058</v>
      </c>
      <c r="K514">
        <v>22.712700000000002</v>
      </c>
      <c r="L514">
        <v>79.771699999999996</v>
      </c>
      <c r="M514">
        <v>1426.11</v>
      </c>
      <c r="N514">
        <v>498.23899999999998</v>
      </c>
      <c r="O514">
        <v>42466900</v>
      </c>
      <c r="P514">
        <v>0.19930999999999999</v>
      </c>
      <c r="Q514">
        <v>0.79627700000000001</v>
      </c>
      <c r="R514">
        <v>7.5822500000000002</v>
      </c>
      <c r="S514">
        <v>24.8934</v>
      </c>
      <c r="T514">
        <v>43.700600000000001</v>
      </c>
      <c r="U514">
        <v>22.4465</v>
      </c>
      <c r="V514">
        <v>0.58089100000000005</v>
      </c>
      <c r="W514">
        <v>96.412300000000002</v>
      </c>
      <c r="X514">
        <v>3.9826899999999998</v>
      </c>
      <c r="Y514">
        <v>8.3367599999999999</v>
      </c>
      <c r="Z514">
        <v>8.0417500000000004</v>
      </c>
      <c r="AA514">
        <v>28.186299999999999</v>
      </c>
      <c r="AB514">
        <v>32.995199999999997</v>
      </c>
      <c r="AC514">
        <v>18.4573</v>
      </c>
      <c r="AD514">
        <v>1.7422599999999999</v>
      </c>
      <c r="AE514">
        <v>7.4769500000000004</v>
      </c>
      <c r="AF514">
        <v>0</v>
      </c>
      <c r="AG514">
        <v>98.370900000000006</v>
      </c>
      <c r="AH514">
        <v>1.6291</v>
      </c>
      <c r="AI514">
        <v>0</v>
      </c>
      <c r="AJ514">
        <v>0</v>
      </c>
      <c r="AK514">
        <v>0</v>
      </c>
      <c r="AL514">
        <v>0.401509</v>
      </c>
      <c r="AM514">
        <v>2.34836</v>
      </c>
      <c r="AN514">
        <v>11.036300000000001</v>
      </c>
      <c r="AO514">
        <v>15.533300000000001</v>
      </c>
      <c r="AP514">
        <v>23.701000000000001</v>
      </c>
      <c r="AQ514">
        <v>33.171500000000002</v>
      </c>
      <c r="AR514">
        <v>14.2096</v>
      </c>
      <c r="AS514">
        <v>0.14666199999999999</v>
      </c>
      <c r="AT514">
        <v>1.50901</v>
      </c>
      <c r="AU514">
        <v>19.4572</v>
      </c>
      <c r="AV514">
        <v>44.883299999999998</v>
      </c>
      <c r="AW514">
        <v>25.228300000000001</v>
      </c>
      <c r="AX514">
        <v>6.5314300000000003</v>
      </c>
      <c r="AY514">
        <v>2.39079</v>
      </c>
      <c r="AZ514">
        <v>705.76400000000001</v>
      </c>
      <c r="BA514">
        <v>783</v>
      </c>
      <c r="BB514">
        <v>34536.5</v>
      </c>
      <c r="BC514">
        <v>0.10996599999999999</v>
      </c>
      <c r="BD514">
        <v>3.8508500000000001E-2</v>
      </c>
      <c r="BE514">
        <v>0.16578200000000001</v>
      </c>
      <c r="BF514">
        <v>1.0508200000000001</v>
      </c>
      <c r="BG514">
        <v>19.711099999999998</v>
      </c>
      <c r="BH514">
        <v>57.645899999999997</v>
      </c>
      <c r="BI514">
        <v>21.387899999999998</v>
      </c>
      <c r="BJ514">
        <v>32.0901</v>
      </c>
      <c r="BK514">
        <v>0</v>
      </c>
      <c r="BL514">
        <v>33.74</v>
      </c>
      <c r="BM514">
        <v>55.5501</v>
      </c>
      <c r="BN514">
        <v>8.7832000000000008</v>
      </c>
      <c r="BO514">
        <v>1.2596799999999999</v>
      </c>
      <c r="BP514">
        <v>0.667045</v>
      </c>
      <c r="BQ514">
        <v>35.073099999999997</v>
      </c>
      <c r="BR514">
        <v>153213</v>
      </c>
    </row>
    <row r="515" spans="1:70" x14ac:dyDescent="0.25">
      <c r="A515">
        <v>45</v>
      </c>
      <c r="B515" s="7">
        <v>45994.573449074072</v>
      </c>
      <c r="C515" t="s">
        <v>170</v>
      </c>
      <c r="D515" s="6" t="s">
        <v>349</v>
      </c>
      <c r="E515" s="6" t="str">
        <f>VLOOKUP(F515,Germplasm!$A$1:$B$21,2,FALSE)</f>
        <v>Ismena</v>
      </c>
      <c r="F515" t="s">
        <v>63</v>
      </c>
      <c r="G515" s="6" t="s">
        <v>113</v>
      </c>
      <c r="H515">
        <v>56477.599999999999</v>
      </c>
      <c r="I515">
        <v>523.32299999999998</v>
      </c>
      <c r="J515">
        <v>165114</v>
      </c>
      <c r="K515">
        <v>18.808299999999999</v>
      </c>
      <c r="L515">
        <v>77.8322</v>
      </c>
      <c r="M515">
        <v>1493.85</v>
      </c>
      <c r="N515">
        <v>539.74199999999996</v>
      </c>
      <c r="O515">
        <v>40491600</v>
      </c>
      <c r="P515">
        <v>0.185089</v>
      </c>
      <c r="Q515">
        <v>0.84681099999999998</v>
      </c>
      <c r="R515">
        <v>8.4055499999999999</v>
      </c>
      <c r="S515">
        <v>28.760300000000001</v>
      </c>
      <c r="T515">
        <v>41.066499999999998</v>
      </c>
      <c r="U515">
        <v>20.554600000000001</v>
      </c>
      <c r="V515">
        <v>0.36618899999999999</v>
      </c>
      <c r="W515">
        <v>86.295900000000003</v>
      </c>
      <c r="X515">
        <v>4.6925499999999998</v>
      </c>
      <c r="Y515">
        <v>12.3772</v>
      </c>
      <c r="Z515">
        <v>12.696099999999999</v>
      </c>
      <c r="AA515">
        <v>32.441299999999998</v>
      </c>
      <c r="AB515">
        <v>26.017700000000001</v>
      </c>
      <c r="AC515">
        <v>11.7753</v>
      </c>
      <c r="AD515">
        <v>1.81863</v>
      </c>
      <c r="AE515">
        <v>9.0753000000000004</v>
      </c>
      <c r="AF515">
        <v>0</v>
      </c>
      <c r="AG515">
        <v>97.388599999999997</v>
      </c>
      <c r="AH515">
        <v>2.5945999999999998</v>
      </c>
      <c r="AI515">
        <v>1.3732100000000001E-2</v>
      </c>
      <c r="AJ515">
        <v>3.05157E-3</v>
      </c>
      <c r="AK515">
        <v>0</v>
      </c>
      <c r="AL515">
        <v>0.33760099999999998</v>
      </c>
      <c r="AM515">
        <v>4.8489500000000003</v>
      </c>
      <c r="AN515">
        <v>16.341899999999999</v>
      </c>
      <c r="AO515">
        <v>19.266100000000002</v>
      </c>
      <c r="AP515">
        <v>25.811699999999998</v>
      </c>
      <c r="AQ515">
        <v>25.7255</v>
      </c>
      <c r="AR515">
        <v>8.0058000000000007</v>
      </c>
      <c r="AS515">
        <v>0.19417699999999999</v>
      </c>
      <c r="AT515">
        <v>0.85215099999999999</v>
      </c>
      <c r="AU515">
        <v>12.022399999999999</v>
      </c>
      <c r="AV515">
        <v>40.986400000000003</v>
      </c>
      <c r="AW515">
        <v>34.702500000000001</v>
      </c>
      <c r="AX515">
        <v>8.7480899999999995</v>
      </c>
      <c r="AY515">
        <v>2.6884299999999999</v>
      </c>
      <c r="AZ515">
        <v>716.94799999999998</v>
      </c>
      <c r="BA515">
        <v>763.19899999999996</v>
      </c>
      <c r="BB515">
        <v>31055.1</v>
      </c>
      <c r="BC515">
        <v>0.16658000000000001</v>
      </c>
      <c r="BD515">
        <v>6.3320100000000004E-2</v>
      </c>
      <c r="BE515">
        <v>0.14723800000000001</v>
      </c>
      <c r="BF515">
        <v>0.70948999999999995</v>
      </c>
      <c r="BG515">
        <v>11.952999999999999</v>
      </c>
      <c r="BH515">
        <v>52.526699999999998</v>
      </c>
      <c r="BI515">
        <v>34.600200000000001</v>
      </c>
      <c r="BJ515">
        <v>33.188699999999997</v>
      </c>
      <c r="BK515">
        <v>0</v>
      </c>
      <c r="BL515">
        <v>30.440999999999999</v>
      </c>
      <c r="BM515">
        <v>58.766399999999997</v>
      </c>
      <c r="BN515">
        <v>8.8365899999999993</v>
      </c>
      <c r="BO515">
        <v>1.2671699999999999</v>
      </c>
      <c r="BP515">
        <v>0.68889199999999995</v>
      </c>
      <c r="BQ515">
        <v>33.398699999999998</v>
      </c>
      <c r="BR515">
        <v>131080</v>
      </c>
    </row>
    <row r="516" spans="1:70" x14ac:dyDescent="0.25">
      <c r="A516">
        <v>45</v>
      </c>
      <c r="B516" s="7">
        <v>46002.564097222225</v>
      </c>
      <c r="C516" t="s">
        <v>170</v>
      </c>
      <c r="D516" s="6" t="s">
        <v>350</v>
      </c>
      <c r="E516" s="6" t="str">
        <f>VLOOKUP(F516,Germplasm!$A$1:$B$21,2,FALSE)</f>
        <v>Ismena</v>
      </c>
      <c r="F516" t="s">
        <v>63</v>
      </c>
      <c r="G516" s="6" t="s">
        <v>113</v>
      </c>
      <c r="H516">
        <v>50250.5</v>
      </c>
      <c r="I516">
        <v>537.35400000000004</v>
      </c>
      <c r="J516">
        <v>178780</v>
      </c>
      <c r="K516">
        <v>15.3703</v>
      </c>
      <c r="L516">
        <v>64.292900000000003</v>
      </c>
      <c r="M516">
        <v>1616.28</v>
      </c>
      <c r="N516">
        <v>617.63</v>
      </c>
      <c r="O516">
        <v>34409900</v>
      </c>
      <c r="P516">
        <v>0.13117300000000001</v>
      </c>
      <c r="Q516">
        <v>1.17624</v>
      </c>
      <c r="R516">
        <v>14.978400000000001</v>
      </c>
      <c r="S516">
        <v>40.293300000000002</v>
      </c>
      <c r="T516">
        <v>30.789200000000001</v>
      </c>
      <c r="U516">
        <v>12.439299999999999</v>
      </c>
      <c r="V516">
        <v>0.32369799999999999</v>
      </c>
      <c r="W516">
        <v>66.482100000000003</v>
      </c>
      <c r="X516">
        <v>8.03444</v>
      </c>
      <c r="Y516">
        <v>26.136299999999999</v>
      </c>
      <c r="Z516">
        <v>19.2563</v>
      </c>
      <c r="AA516">
        <v>25.204699999999999</v>
      </c>
      <c r="AB516">
        <v>12.4779</v>
      </c>
      <c r="AC516">
        <v>8.8903499999999998</v>
      </c>
      <c r="AD516">
        <v>1.8286899999999999</v>
      </c>
      <c r="AE516">
        <v>11.947699999999999</v>
      </c>
      <c r="AF516">
        <v>0</v>
      </c>
      <c r="AG516">
        <v>92.313599999999994</v>
      </c>
      <c r="AH516">
        <v>7.6687000000000003</v>
      </c>
      <c r="AI516">
        <v>1.76563E-2</v>
      </c>
      <c r="AJ516">
        <v>0</v>
      </c>
      <c r="AK516">
        <v>0</v>
      </c>
      <c r="AL516">
        <v>0.227683</v>
      </c>
      <c r="AM516">
        <v>10.1767</v>
      </c>
      <c r="AN516">
        <v>31.316299999999998</v>
      </c>
      <c r="AO516">
        <v>22.759799999999998</v>
      </c>
      <c r="AP516">
        <v>19.283200000000001</v>
      </c>
      <c r="AQ516">
        <v>13.174099999999999</v>
      </c>
      <c r="AR516">
        <v>3.2899500000000002</v>
      </c>
      <c r="AS516">
        <v>0.25629600000000002</v>
      </c>
      <c r="AT516">
        <v>0.84750000000000003</v>
      </c>
      <c r="AU516">
        <v>6.8783700000000003</v>
      </c>
      <c r="AV516">
        <v>29.726400000000002</v>
      </c>
      <c r="AW516">
        <v>42.433</v>
      </c>
      <c r="AX516">
        <v>16.9937</v>
      </c>
      <c r="AY516">
        <v>3.1209500000000001</v>
      </c>
      <c r="AZ516">
        <v>684.76900000000001</v>
      </c>
      <c r="BA516">
        <v>747.6</v>
      </c>
      <c r="BB516">
        <v>27478.9</v>
      </c>
      <c r="BC516">
        <v>0.26164799999999999</v>
      </c>
      <c r="BD516">
        <v>8.0714300000000003E-2</v>
      </c>
      <c r="BE516">
        <v>0.24466499999999999</v>
      </c>
      <c r="BF516">
        <v>0.85843000000000003</v>
      </c>
      <c r="BG516">
        <v>6.5420600000000002</v>
      </c>
      <c r="BH516">
        <v>34.4709</v>
      </c>
      <c r="BI516">
        <v>57.803199999999997</v>
      </c>
      <c r="BJ516">
        <v>34.052</v>
      </c>
      <c r="BK516">
        <v>0</v>
      </c>
      <c r="BL516">
        <v>29.739899999999999</v>
      </c>
      <c r="BM516">
        <v>58.047899999999998</v>
      </c>
      <c r="BN516">
        <v>10.0985</v>
      </c>
      <c r="BO516">
        <v>1.2989999999999999</v>
      </c>
      <c r="BP516">
        <v>0.81471000000000005</v>
      </c>
      <c r="BQ516">
        <v>33.188000000000002</v>
      </c>
      <c r="BR516">
        <v>118938</v>
      </c>
    </row>
    <row r="517" spans="1:70" x14ac:dyDescent="0.25">
      <c r="A517">
        <v>45</v>
      </c>
      <c r="B517" s="7">
        <v>46013.58866898148</v>
      </c>
      <c r="C517" t="s">
        <v>170</v>
      </c>
      <c r="D517" s="6" t="s">
        <v>351</v>
      </c>
      <c r="E517" s="6" t="str">
        <f>VLOOKUP(F517,Germplasm!$A$1:$B$21,2,FALSE)</f>
        <v>Ismena</v>
      </c>
      <c r="F517" t="s">
        <v>63</v>
      </c>
      <c r="G517" s="6" t="s">
        <v>113</v>
      </c>
      <c r="H517">
        <v>28570</v>
      </c>
      <c r="I517">
        <v>554.83000000000004</v>
      </c>
      <c r="J517">
        <v>102844</v>
      </c>
      <c r="K517">
        <v>15.2766</v>
      </c>
      <c r="L517">
        <v>76.134699999999995</v>
      </c>
      <c r="M517">
        <v>1247.8</v>
      </c>
      <c r="N517">
        <v>456.37400000000002</v>
      </c>
      <c r="O517">
        <v>18785700</v>
      </c>
      <c r="P517">
        <v>3.3612900000000001E-2</v>
      </c>
      <c r="Q517">
        <v>1.39524</v>
      </c>
      <c r="R517">
        <v>27.4297</v>
      </c>
      <c r="S517">
        <v>63.310200000000002</v>
      </c>
      <c r="T517">
        <v>6.2340799999999996</v>
      </c>
      <c r="U517">
        <v>1.5581799999999999</v>
      </c>
      <c r="V517">
        <v>7.2568900000000006E-2</v>
      </c>
      <c r="W517">
        <v>40.672499999999999</v>
      </c>
      <c r="X517">
        <v>14.375500000000001</v>
      </c>
      <c r="Y517">
        <v>55.494700000000002</v>
      </c>
      <c r="Z517">
        <v>14.8451</v>
      </c>
      <c r="AA517">
        <v>5.8548099999999996</v>
      </c>
      <c r="AB517">
        <v>2.0401500000000001</v>
      </c>
      <c r="AC517">
        <v>7.38971</v>
      </c>
      <c r="AD517">
        <v>1.8184499999999999</v>
      </c>
      <c r="AE517">
        <v>15.863099999999999</v>
      </c>
      <c r="AF517">
        <v>0</v>
      </c>
      <c r="AG517">
        <v>81.992000000000004</v>
      </c>
      <c r="AH517">
        <v>17.897099999999998</v>
      </c>
      <c r="AI517">
        <v>0.104061</v>
      </c>
      <c r="AJ517">
        <v>6.8461299999999998E-3</v>
      </c>
      <c r="AK517">
        <v>0</v>
      </c>
      <c r="AL517">
        <v>7.4089199999999994E-2</v>
      </c>
      <c r="AM517">
        <v>27.244800000000001</v>
      </c>
      <c r="AN517">
        <v>51.428100000000001</v>
      </c>
      <c r="AO517">
        <v>13.2555</v>
      </c>
      <c r="AP517">
        <v>5.6151900000000001</v>
      </c>
      <c r="AQ517">
        <v>2.0346700000000002</v>
      </c>
      <c r="AR517">
        <v>0.42172100000000001</v>
      </c>
      <c r="AS517">
        <v>0.26357799999999998</v>
      </c>
      <c r="AT517">
        <v>0.68598199999999998</v>
      </c>
      <c r="AU517">
        <v>4.0529099999999998</v>
      </c>
      <c r="AV517">
        <v>26.552</v>
      </c>
      <c r="AW517">
        <v>54.527999999999999</v>
      </c>
      <c r="AX517">
        <v>11.126300000000001</v>
      </c>
      <c r="AY517">
        <v>3.0547399999999998</v>
      </c>
      <c r="AZ517">
        <v>657.53399999999999</v>
      </c>
      <c r="BA517">
        <v>693.59900000000005</v>
      </c>
      <c r="BB517">
        <v>15711.2</v>
      </c>
      <c r="BC517">
        <v>0.34812199999999999</v>
      </c>
      <c r="BD517">
        <v>0.17663000000000001</v>
      </c>
      <c r="BE517">
        <v>0.39707500000000001</v>
      </c>
      <c r="BF517">
        <v>0.90916600000000003</v>
      </c>
      <c r="BG517">
        <v>3.2546499999999998</v>
      </c>
      <c r="BH517">
        <v>13.862</v>
      </c>
      <c r="BI517">
        <v>81.400400000000005</v>
      </c>
      <c r="BJ517">
        <v>28.816099999999999</v>
      </c>
      <c r="BK517">
        <v>0</v>
      </c>
      <c r="BL517">
        <v>42.747199999999999</v>
      </c>
      <c r="BM517">
        <v>50.454599999999999</v>
      </c>
      <c r="BN517">
        <v>5.01</v>
      </c>
      <c r="BO517">
        <v>1.0789500000000001</v>
      </c>
      <c r="BP517">
        <v>0.70925899999999997</v>
      </c>
      <c r="BQ517">
        <v>33.380899999999997</v>
      </c>
      <c r="BR517">
        <v>73034</v>
      </c>
    </row>
    <row r="518" spans="1:70" x14ac:dyDescent="0.25">
      <c r="A518">
        <v>45</v>
      </c>
      <c r="B518" s="7">
        <v>46013.58929398148</v>
      </c>
      <c r="C518" t="s">
        <v>170</v>
      </c>
      <c r="D518" s="6" t="s">
        <v>352</v>
      </c>
      <c r="E518" s="6" t="str">
        <f>VLOOKUP(F518,Germplasm!$A$1:$B$21,2,FALSE)</f>
        <v>Ismena</v>
      </c>
      <c r="F518" t="s">
        <v>63</v>
      </c>
      <c r="G518" s="6" t="s">
        <v>113</v>
      </c>
      <c r="H518">
        <v>28761.8</v>
      </c>
      <c r="I518">
        <v>555.74800000000005</v>
      </c>
      <c r="J518">
        <v>107870</v>
      </c>
      <c r="K518">
        <v>14.6251</v>
      </c>
      <c r="L518">
        <v>73.657200000000003</v>
      </c>
      <c r="M518">
        <v>1278.53</v>
      </c>
      <c r="N518">
        <v>478.59199999999998</v>
      </c>
      <c r="O518">
        <v>18838900</v>
      </c>
      <c r="P518">
        <v>3.2365499999999998E-2</v>
      </c>
      <c r="Q518">
        <v>1.4385699999999999</v>
      </c>
      <c r="R518">
        <v>27.853300000000001</v>
      </c>
      <c r="S518">
        <v>62.9009</v>
      </c>
      <c r="T518">
        <v>6.2120300000000004</v>
      </c>
      <c r="U518">
        <v>1.52712</v>
      </c>
      <c r="V518">
        <v>6.8114300000000003E-2</v>
      </c>
      <c r="W518">
        <v>40.376899999999999</v>
      </c>
      <c r="X518">
        <v>14.839399999999999</v>
      </c>
      <c r="Y518">
        <v>55.221600000000002</v>
      </c>
      <c r="Z518">
        <v>14.689500000000001</v>
      </c>
      <c r="AA518">
        <v>5.79244</v>
      </c>
      <c r="AB518">
        <v>1.9943900000000001</v>
      </c>
      <c r="AC518">
        <v>7.4626000000000001</v>
      </c>
      <c r="AD518">
        <v>1.8231299999999999</v>
      </c>
      <c r="AE518">
        <v>15.9109</v>
      </c>
      <c r="AF518">
        <v>0</v>
      </c>
      <c r="AG518">
        <v>81.817599999999999</v>
      </c>
      <c r="AH518">
        <v>18.093900000000001</v>
      </c>
      <c r="AI518">
        <v>8.8548600000000005E-2</v>
      </c>
      <c r="AJ518">
        <v>0</v>
      </c>
      <c r="AK518">
        <v>0</v>
      </c>
      <c r="AL518">
        <v>7.4945499999999998E-2</v>
      </c>
      <c r="AM518">
        <v>26.852</v>
      </c>
      <c r="AN518">
        <v>51.813200000000002</v>
      </c>
      <c r="AO518">
        <v>13.127000000000001</v>
      </c>
      <c r="AP518">
        <v>5.6494</v>
      </c>
      <c r="AQ518">
        <v>2.1456</v>
      </c>
      <c r="AR518">
        <v>0.412773</v>
      </c>
      <c r="AS518">
        <v>0.262542</v>
      </c>
      <c r="AT518">
        <v>0.71383799999999997</v>
      </c>
      <c r="AU518">
        <v>3.9424600000000001</v>
      </c>
      <c r="AV518">
        <v>26.8874</v>
      </c>
      <c r="AW518">
        <v>54.5473</v>
      </c>
      <c r="AX518">
        <v>10.9092</v>
      </c>
      <c r="AY518">
        <v>2.9997500000000001</v>
      </c>
      <c r="AZ518">
        <v>654.99800000000005</v>
      </c>
      <c r="BA518">
        <v>683.399</v>
      </c>
      <c r="BB518">
        <v>15776</v>
      </c>
      <c r="BC518">
        <v>0.34688799999999997</v>
      </c>
      <c r="BD518">
        <v>0.15257599999999999</v>
      </c>
      <c r="BE518">
        <v>0.42503299999999999</v>
      </c>
      <c r="BF518">
        <v>0.85960300000000001</v>
      </c>
      <c r="BG518">
        <v>3.2177199999999999</v>
      </c>
      <c r="BH518">
        <v>14.0288</v>
      </c>
      <c r="BI518">
        <v>81.316199999999995</v>
      </c>
      <c r="BJ518">
        <v>28.7364</v>
      </c>
      <c r="BK518">
        <v>0</v>
      </c>
      <c r="BL518">
        <v>43.027799999999999</v>
      </c>
      <c r="BM518">
        <v>50.272500000000001</v>
      </c>
      <c r="BN518">
        <v>4.9042300000000001</v>
      </c>
      <c r="BO518">
        <v>1.06667</v>
      </c>
      <c r="BP518">
        <v>0.728823</v>
      </c>
      <c r="BQ518">
        <v>33.284500000000001</v>
      </c>
      <c r="BR518">
        <v>73406</v>
      </c>
    </row>
    <row r="519" spans="1:70" x14ac:dyDescent="0.25">
      <c r="A519">
        <v>45</v>
      </c>
      <c r="B519" s="7">
        <v>46024.526770833334</v>
      </c>
      <c r="C519" t="s">
        <v>170</v>
      </c>
      <c r="D519" s="6" t="s">
        <v>353</v>
      </c>
      <c r="E519" s="6" t="str">
        <f>VLOOKUP(F519,Germplasm!$A$1:$B$21,2,FALSE)</f>
        <v>Ismena</v>
      </c>
      <c r="F519" t="s">
        <v>63</v>
      </c>
      <c r="G519" s="6" t="s">
        <v>113</v>
      </c>
      <c r="H519">
        <v>32075.599999999999</v>
      </c>
      <c r="I519">
        <v>513.63</v>
      </c>
      <c r="J519">
        <v>95220.6</v>
      </c>
      <c r="K519">
        <v>17.5899</v>
      </c>
      <c r="L519">
        <v>83.925899999999999</v>
      </c>
      <c r="M519">
        <v>1165.27</v>
      </c>
      <c r="N519">
        <v>404.48599999999999</v>
      </c>
      <c r="O519">
        <v>20354400</v>
      </c>
      <c r="P519">
        <v>1.4533799999999999E-2</v>
      </c>
      <c r="Q519">
        <v>1.3073699999999999</v>
      </c>
      <c r="R519">
        <v>31.674099999999999</v>
      </c>
      <c r="S519">
        <v>64.7209</v>
      </c>
      <c r="T519">
        <v>2.0283600000000002</v>
      </c>
      <c r="U519">
        <v>0.23721900000000001</v>
      </c>
      <c r="V519">
        <v>3.1984600000000002E-2</v>
      </c>
      <c r="W519">
        <v>37.22</v>
      </c>
      <c r="X519">
        <v>15.7791</v>
      </c>
      <c r="Y519">
        <v>57.575000000000003</v>
      </c>
      <c r="Z519">
        <v>12.004899999999999</v>
      </c>
      <c r="AA519">
        <v>3.41303</v>
      </c>
      <c r="AB519">
        <v>1.34735</v>
      </c>
      <c r="AC519">
        <v>9.8805899999999998</v>
      </c>
      <c r="AD519">
        <v>1.9150499999999999</v>
      </c>
      <c r="AE519">
        <v>18.463100000000001</v>
      </c>
      <c r="AF519">
        <v>0</v>
      </c>
      <c r="AG519">
        <v>74.660200000000003</v>
      </c>
      <c r="AH519">
        <v>25.198599999999999</v>
      </c>
      <c r="AI519">
        <v>0.141266</v>
      </c>
      <c r="AJ519">
        <v>0</v>
      </c>
      <c r="AK519">
        <v>0</v>
      </c>
      <c r="AL519">
        <v>5.0747399999999998E-2</v>
      </c>
      <c r="AM519">
        <v>31.273</v>
      </c>
      <c r="AN519">
        <v>52.804000000000002</v>
      </c>
      <c r="AO519">
        <v>11.141299999999999</v>
      </c>
      <c r="AP519">
        <v>3.59694</v>
      </c>
      <c r="AQ519">
        <v>0.93288599999999999</v>
      </c>
      <c r="AR519">
        <v>0.25187900000000002</v>
      </c>
      <c r="AS519">
        <v>0.22511</v>
      </c>
      <c r="AT519">
        <v>0.84226199999999996</v>
      </c>
      <c r="AU519">
        <v>5.7279200000000001</v>
      </c>
      <c r="AV519">
        <v>33.518599999999999</v>
      </c>
      <c r="AW519">
        <v>52.397500000000001</v>
      </c>
      <c r="AX519">
        <v>5.5226800000000003</v>
      </c>
      <c r="AY519">
        <v>1.9910399999999999</v>
      </c>
      <c r="AZ519">
        <v>634.577</v>
      </c>
      <c r="BA519">
        <v>668.99900000000002</v>
      </c>
      <c r="BB519">
        <v>16749.2</v>
      </c>
      <c r="BC519">
        <v>0.32079800000000003</v>
      </c>
      <c r="BD519">
        <v>0.11727700000000001</v>
      </c>
      <c r="BE519">
        <v>0.48509999999999998</v>
      </c>
      <c r="BF519">
        <v>1.42865</v>
      </c>
      <c r="BG519">
        <v>4.5391500000000002</v>
      </c>
      <c r="BH519">
        <v>13.9053</v>
      </c>
      <c r="BI519">
        <v>79.524500000000003</v>
      </c>
      <c r="BJ519">
        <v>24.792100000000001</v>
      </c>
      <c r="BK519">
        <v>0</v>
      </c>
      <c r="BL519">
        <v>56.043799999999997</v>
      </c>
      <c r="BM519">
        <v>40.267299999999999</v>
      </c>
      <c r="BN519">
        <v>2.40551</v>
      </c>
      <c r="BO519">
        <v>0.76096799999999998</v>
      </c>
      <c r="BP519">
        <v>0.52241599999999999</v>
      </c>
      <c r="BQ519">
        <v>31.499300000000002</v>
      </c>
      <c r="BR519">
        <v>75036</v>
      </c>
    </row>
    <row r="520" spans="1:70" x14ac:dyDescent="0.25">
      <c r="A520">
        <v>45</v>
      </c>
      <c r="B520" s="7">
        <v>45952.572280092594</v>
      </c>
      <c r="C520" t="s">
        <v>173</v>
      </c>
      <c r="D520" s="6" t="s">
        <v>344</v>
      </c>
      <c r="E520" s="6" t="str">
        <f>VLOOKUP(F520,Germplasm!$A$1:$B$21,2,FALSE)</f>
        <v>Kinnan</v>
      </c>
      <c r="F520" t="s">
        <v>71</v>
      </c>
      <c r="G520" s="6" t="s">
        <v>113</v>
      </c>
      <c r="H520">
        <v>31165.9</v>
      </c>
      <c r="I520">
        <v>204.648</v>
      </c>
      <c r="J520">
        <v>139036</v>
      </c>
      <c r="K520">
        <v>13.535600000000001</v>
      </c>
      <c r="L520">
        <v>71.425700000000006</v>
      </c>
      <c r="M520">
        <v>1488.86</v>
      </c>
      <c r="N520">
        <v>514.89300000000003</v>
      </c>
      <c r="O520">
        <v>8343830</v>
      </c>
      <c r="P520">
        <v>0.223717</v>
      </c>
      <c r="Q520">
        <v>0.48621900000000001</v>
      </c>
      <c r="R520">
        <v>4.5339099999999997</v>
      </c>
      <c r="S520">
        <v>20.941500000000001</v>
      </c>
      <c r="T520">
        <v>45.616300000000003</v>
      </c>
      <c r="U520">
        <v>28.196000000000002</v>
      </c>
      <c r="V520">
        <v>0.226076</v>
      </c>
      <c r="W520">
        <v>119.843</v>
      </c>
      <c r="X520">
        <v>0.93372599999999994</v>
      </c>
      <c r="Y520">
        <v>2.0269400000000002</v>
      </c>
      <c r="Z520">
        <v>3.4933399999999999</v>
      </c>
      <c r="AA520">
        <v>15.079000000000001</v>
      </c>
      <c r="AB520">
        <v>36.463299999999997</v>
      </c>
      <c r="AC520">
        <v>42.003700000000002</v>
      </c>
      <c r="AD520">
        <v>1.6560600000000001</v>
      </c>
      <c r="AE520">
        <v>7.1155400000000002</v>
      </c>
      <c r="AF520">
        <v>0</v>
      </c>
      <c r="AG520">
        <v>99.787899999999993</v>
      </c>
      <c r="AH520">
        <v>0.18426799999999999</v>
      </c>
      <c r="AI520">
        <v>1.7033099999999999E-2</v>
      </c>
      <c r="AJ520">
        <v>1.08393E-2</v>
      </c>
      <c r="AK520">
        <v>0</v>
      </c>
      <c r="AL520">
        <v>0.51702400000000004</v>
      </c>
      <c r="AM520">
        <v>0.63022599999999995</v>
      </c>
      <c r="AN520">
        <v>2.86002</v>
      </c>
      <c r="AO520">
        <v>6.5329800000000002</v>
      </c>
      <c r="AP520">
        <v>14.869899999999999</v>
      </c>
      <c r="AQ520">
        <v>42.587499999999999</v>
      </c>
      <c r="AR520">
        <v>32.519399999999997</v>
      </c>
      <c r="AS520">
        <v>1.9318200000000001E-2</v>
      </c>
      <c r="AT520">
        <v>7.7516299999999996</v>
      </c>
      <c r="AU520">
        <v>40.0976</v>
      </c>
      <c r="AV520">
        <v>39.897799999999997</v>
      </c>
      <c r="AW520">
        <v>9.3357100000000006</v>
      </c>
      <c r="AX520">
        <v>1.7729900000000001</v>
      </c>
      <c r="AY520">
        <v>1.14432</v>
      </c>
      <c r="AZ520">
        <v>267.72300000000001</v>
      </c>
      <c r="BA520">
        <v>311.399</v>
      </c>
      <c r="BB520">
        <v>18819.3</v>
      </c>
      <c r="BC520">
        <v>2.6874300000000002E-3</v>
      </c>
      <c r="BD520">
        <v>5.5744799999999997E-2</v>
      </c>
      <c r="BE520">
        <v>0.473831</v>
      </c>
      <c r="BF520">
        <v>3.5785100000000001</v>
      </c>
      <c r="BG520">
        <v>43.741100000000003</v>
      </c>
      <c r="BH520">
        <v>48.1434</v>
      </c>
      <c r="BI520">
        <v>4.0074300000000003</v>
      </c>
      <c r="BJ520">
        <v>30.432099999999998</v>
      </c>
      <c r="BK520">
        <v>0</v>
      </c>
      <c r="BL520">
        <v>36.147399999999998</v>
      </c>
      <c r="BM520">
        <v>56.720300000000002</v>
      </c>
      <c r="BN520">
        <v>6.1737399999999996</v>
      </c>
      <c r="BO520">
        <v>0.685971</v>
      </c>
      <c r="BP520">
        <v>0.27252999999999999</v>
      </c>
      <c r="BQ520">
        <v>37.177700000000002</v>
      </c>
      <c r="BR520">
        <v>64580</v>
      </c>
    </row>
    <row r="521" spans="1:70" x14ac:dyDescent="0.25">
      <c r="A521">
        <v>45</v>
      </c>
      <c r="B521" s="7">
        <v>45959.538391203707</v>
      </c>
      <c r="C521" t="s">
        <v>173</v>
      </c>
      <c r="D521" s="6" t="s">
        <v>345</v>
      </c>
      <c r="E521" s="6" t="str">
        <f>VLOOKUP(F521,Germplasm!$A$1:$B$21,2,FALSE)</f>
        <v>Kinnan</v>
      </c>
      <c r="F521" t="s">
        <v>71</v>
      </c>
      <c r="G521" s="6" t="s">
        <v>113</v>
      </c>
      <c r="H521">
        <v>52634.8</v>
      </c>
      <c r="I521">
        <v>312.04000000000002</v>
      </c>
      <c r="J521">
        <v>208501</v>
      </c>
      <c r="K521">
        <v>14.821199999999999</v>
      </c>
      <c r="L521">
        <v>84.341399999999993</v>
      </c>
      <c r="M521">
        <v>1725.93</v>
      </c>
      <c r="N521">
        <v>599.26300000000003</v>
      </c>
      <c r="O521">
        <v>21222700</v>
      </c>
      <c r="P521">
        <v>0.20840800000000001</v>
      </c>
      <c r="Q521">
        <v>0.77479299999999995</v>
      </c>
      <c r="R521">
        <v>4.8037200000000002</v>
      </c>
      <c r="S521">
        <v>24.797799999999999</v>
      </c>
      <c r="T521">
        <v>46.161700000000003</v>
      </c>
      <c r="U521">
        <v>22.946400000000001</v>
      </c>
      <c r="V521">
        <v>0.51563800000000004</v>
      </c>
      <c r="W521">
        <v>123.893</v>
      </c>
      <c r="X521">
        <v>1.04196</v>
      </c>
      <c r="Y521">
        <v>1.9948699999999999</v>
      </c>
      <c r="Z521">
        <v>3.6059100000000002</v>
      </c>
      <c r="AA521">
        <v>12.9747</v>
      </c>
      <c r="AB521">
        <v>31.649000000000001</v>
      </c>
      <c r="AC521">
        <v>48.733600000000003</v>
      </c>
      <c r="AD521">
        <v>1.7032700000000001</v>
      </c>
      <c r="AE521">
        <v>6.64208</v>
      </c>
      <c r="AF521">
        <v>0</v>
      </c>
      <c r="AG521">
        <v>99.688299999999998</v>
      </c>
      <c r="AH521">
        <v>0.29299700000000001</v>
      </c>
      <c r="AI521">
        <v>1.7811299999999999E-2</v>
      </c>
      <c r="AJ521">
        <v>8.9056699999999999E-4</v>
      </c>
      <c r="AK521">
        <v>0</v>
      </c>
      <c r="AL521">
        <v>0.51122199999999995</v>
      </c>
      <c r="AM521">
        <v>0.87275599999999998</v>
      </c>
      <c r="AN521">
        <v>3.2461199999999999</v>
      </c>
      <c r="AO521">
        <v>6.7041899999999996</v>
      </c>
      <c r="AP521">
        <v>17.2013</v>
      </c>
      <c r="AQ521">
        <v>40.1601</v>
      </c>
      <c r="AR521">
        <v>31.8155</v>
      </c>
      <c r="AS521">
        <v>-1.3913300000000001E-3</v>
      </c>
      <c r="AT521">
        <v>10.123100000000001</v>
      </c>
      <c r="AU521">
        <v>43.821199999999997</v>
      </c>
      <c r="AV521">
        <v>35.5336</v>
      </c>
      <c r="AW521">
        <v>7.5662599999999998</v>
      </c>
      <c r="AX521">
        <v>1.64933</v>
      </c>
      <c r="AY521">
        <v>1.30646</v>
      </c>
      <c r="AZ521">
        <v>403.20699999999999</v>
      </c>
      <c r="BA521">
        <v>415.19900000000001</v>
      </c>
      <c r="BB521">
        <v>30902.3</v>
      </c>
      <c r="BC521">
        <v>-1.0122000000000001E-2</v>
      </c>
      <c r="BD521">
        <v>7.5698199999999993E-2</v>
      </c>
      <c r="BE521">
        <v>0.63408399999999998</v>
      </c>
      <c r="BF521">
        <v>4.4332399999999996</v>
      </c>
      <c r="BG521">
        <v>48.801299999999998</v>
      </c>
      <c r="BH521">
        <v>41.914499999999997</v>
      </c>
      <c r="BI521">
        <v>4.14114</v>
      </c>
      <c r="BJ521">
        <v>29.536100000000001</v>
      </c>
      <c r="BK521">
        <v>0</v>
      </c>
      <c r="BL521">
        <v>40.881500000000003</v>
      </c>
      <c r="BM521">
        <v>51.694699999999997</v>
      </c>
      <c r="BN521">
        <v>5.9347399999999997</v>
      </c>
      <c r="BO521">
        <v>0.76855899999999999</v>
      </c>
      <c r="BP521">
        <v>0.72046900000000003</v>
      </c>
      <c r="BQ521">
        <v>35.9968</v>
      </c>
      <c r="BR521">
        <v>112288</v>
      </c>
    </row>
    <row r="522" spans="1:70" x14ac:dyDescent="0.25">
      <c r="A522">
        <v>45</v>
      </c>
      <c r="B522" s="7">
        <v>45966.541342592594</v>
      </c>
      <c r="C522" t="s">
        <v>173</v>
      </c>
      <c r="D522" s="6" t="s">
        <v>346</v>
      </c>
      <c r="E522" s="6" t="str">
        <f>VLOOKUP(F522,Germplasm!$A$1:$B$21,2,FALSE)</f>
        <v>Kinnan</v>
      </c>
      <c r="F522" t="s">
        <v>71</v>
      </c>
      <c r="G522" s="6" t="s">
        <v>113</v>
      </c>
      <c r="H522">
        <v>72115.399999999994</v>
      </c>
      <c r="I522">
        <v>432.34500000000003</v>
      </c>
      <c r="J522">
        <v>231757</v>
      </c>
      <c r="K522">
        <v>18.784600000000001</v>
      </c>
      <c r="L522">
        <v>75.231099999999998</v>
      </c>
      <c r="M522">
        <v>1807.33</v>
      </c>
      <c r="N522">
        <v>638.726</v>
      </c>
      <c r="O522">
        <v>39551400</v>
      </c>
      <c r="P522">
        <v>0.23142599999999999</v>
      </c>
      <c r="Q522">
        <v>0.57482999999999995</v>
      </c>
      <c r="R522">
        <v>3.4675400000000001</v>
      </c>
      <c r="S522">
        <v>20.045400000000001</v>
      </c>
      <c r="T522">
        <v>46.4375</v>
      </c>
      <c r="U522">
        <v>28.898</v>
      </c>
      <c r="V522">
        <v>0.57668600000000003</v>
      </c>
      <c r="W522">
        <v>115.375</v>
      </c>
      <c r="X522">
        <v>0.93247400000000003</v>
      </c>
      <c r="Y522">
        <v>2.2492000000000001</v>
      </c>
      <c r="Z522">
        <v>5.0373400000000004</v>
      </c>
      <c r="AA522">
        <v>18.431699999999999</v>
      </c>
      <c r="AB522">
        <v>37.511800000000001</v>
      </c>
      <c r="AC522">
        <v>35.837499999999999</v>
      </c>
      <c r="AD522">
        <v>1.6565099999999999</v>
      </c>
      <c r="AE522">
        <v>6.2857399999999997</v>
      </c>
      <c r="AF522">
        <v>0</v>
      </c>
      <c r="AG522">
        <v>99.833500000000001</v>
      </c>
      <c r="AH522">
        <v>0.16273399999999999</v>
      </c>
      <c r="AI522">
        <v>3.7125700000000001E-3</v>
      </c>
      <c r="AJ522">
        <v>0</v>
      </c>
      <c r="AK522">
        <v>0</v>
      </c>
      <c r="AL522">
        <v>0.50764799999999999</v>
      </c>
      <c r="AM522">
        <v>0.65217499999999995</v>
      </c>
      <c r="AN522">
        <v>3.3611200000000001</v>
      </c>
      <c r="AO522">
        <v>7.5340499999999997</v>
      </c>
      <c r="AP522">
        <v>17.329699999999999</v>
      </c>
      <c r="AQ522">
        <v>39.761000000000003</v>
      </c>
      <c r="AR522">
        <v>31.361999999999998</v>
      </c>
      <c r="AS522">
        <v>5.6321900000000001E-2</v>
      </c>
      <c r="AT522">
        <v>5.4816099999999999</v>
      </c>
      <c r="AU522">
        <v>35.939599999999999</v>
      </c>
      <c r="AV522">
        <v>40.3872</v>
      </c>
      <c r="AW522">
        <v>12.6976</v>
      </c>
      <c r="AX522">
        <v>3.6370800000000001</v>
      </c>
      <c r="AY522">
        <v>1.8569100000000001</v>
      </c>
      <c r="AZ522">
        <v>548.44600000000003</v>
      </c>
      <c r="BA522">
        <v>609</v>
      </c>
      <c r="BB522">
        <v>43534.5</v>
      </c>
      <c r="BC522">
        <v>2.4261999999999999E-2</v>
      </c>
      <c r="BD522">
        <v>7.7345300000000006E-2</v>
      </c>
      <c r="BE522">
        <v>0.42509000000000002</v>
      </c>
      <c r="BF522">
        <v>2.7293599999999998</v>
      </c>
      <c r="BG522">
        <v>38.188099999999999</v>
      </c>
      <c r="BH522">
        <v>51.208100000000002</v>
      </c>
      <c r="BI522">
        <v>7.3719299999999999</v>
      </c>
      <c r="BJ522">
        <v>31.950500000000002</v>
      </c>
      <c r="BK522">
        <v>0</v>
      </c>
      <c r="BL522">
        <v>33.818399999999997</v>
      </c>
      <c r="BM522">
        <v>56.121699999999997</v>
      </c>
      <c r="BN522">
        <v>8.33596</v>
      </c>
      <c r="BO522">
        <v>1.0061100000000001</v>
      </c>
      <c r="BP522">
        <v>0.71776399999999996</v>
      </c>
      <c r="BQ522">
        <v>37.188000000000002</v>
      </c>
      <c r="BR522">
        <v>161613</v>
      </c>
    </row>
    <row r="523" spans="1:70" x14ac:dyDescent="0.25">
      <c r="A523">
        <v>45</v>
      </c>
      <c r="B523" s="7">
        <v>45973.566122685188</v>
      </c>
      <c r="C523" t="s">
        <v>173</v>
      </c>
      <c r="D523" s="6" t="s">
        <v>347</v>
      </c>
      <c r="E523" s="6" t="str">
        <f>VLOOKUP(F523,Germplasm!$A$1:$B$21,2,FALSE)</f>
        <v>Kinnan</v>
      </c>
      <c r="F523" t="s">
        <v>71</v>
      </c>
      <c r="G523" s="6" t="s">
        <v>113</v>
      </c>
      <c r="H523">
        <v>88348.1</v>
      </c>
      <c r="I523">
        <v>426.19600000000003</v>
      </c>
      <c r="J523">
        <v>284139</v>
      </c>
      <c r="K523">
        <v>18.8142</v>
      </c>
      <c r="L523">
        <v>92.957300000000004</v>
      </c>
      <c r="M523">
        <v>1971.68</v>
      </c>
      <c r="N523">
        <v>672.827</v>
      </c>
      <c r="O523">
        <v>51436000</v>
      </c>
      <c r="P523">
        <v>0.21523700000000001</v>
      </c>
      <c r="Q523">
        <v>0.632297</v>
      </c>
      <c r="R523">
        <v>5.8713300000000004</v>
      </c>
      <c r="S523">
        <v>21.793900000000001</v>
      </c>
      <c r="T523">
        <v>44.603499999999997</v>
      </c>
      <c r="U523">
        <v>26.6845</v>
      </c>
      <c r="V523">
        <v>0.41447699999999998</v>
      </c>
      <c r="W523">
        <v>107.38500000000001</v>
      </c>
      <c r="X523">
        <v>2.5188700000000002</v>
      </c>
      <c r="Y523">
        <v>6.3203899999999997</v>
      </c>
      <c r="Z523">
        <v>5.7221599999999997</v>
      </c>
      <c r="AA523">
        <v>19.023599999999998</v>
      </c>
      <c r="AB523">
        <v>38.1877</v>
      </c>
      <c r="AC523">
        <v>28.2273</v>
      </c>
      <c r="AD523">
        <v>1.65265</v>
      </c>
      <c r="AE523">
        <v>7.0718100000000002</v>
      </c>
      <c r="AF523">
        <v>0</v>
      </c>
      <c r="AG523">
        <v>99.590199999999996</v>
      </c>
      <c r="AH523">
        <v>0.406219</v>
      </c>
      <c r="AI523">
        <v>3.61313E-3</v>
      </c>
      <c r="AJ523">
        <v>0</v>
      </c>
      <c r="AK523">
        <v>0</v>
      </c>
      <c r="AL523">
        <v>0.47920699999999999</v>
      </c>
      <c r="AM523">
        <v>1.30382</v>
      </c>
      <c r="AN523">
        <v>6.5309900000000001</v>
      </c>
      <c r="AO523">
        <v>9.9933899999999998</v>
      </c>
      <c r="AP523">
        <v>16.0944</v>
      </c>
      <c r="AQ523">
        <v>36.969000000000001</v>
      </c>
      <c r="AR523">
        <v>29.1084</v>
      </c>
      <c r="AS523">
        <v>8.8812299999999997E-2</v>
      </c>
      <c r="AT523">
        <v>3.3060100000000001</v>
      </c>
      <c r="AU523">
        <v>29.780899999999999</v>
      </c>
      <c r="AV523">
        <v>43.774099999999997</v>
      </c>
      <c r="AW523">
        <v>16.664300000000001</v>
      </c>
      <c r="AX523">
        <v>4.9695999999999998</v>
      </c>
      <c r="AY523">
        <v>1.5051300000000001</v>
      </c>
      <c r="AZ523">
        <v>582.19600000000003</v>
      </c>
      <c r="BA523">
        <v>637.19899999999996</v>
      </c>
      <c r="BB523">
        <v>53458.5</v>
      </c>
      <c r="BC523">
        <v>5.8049700000000003E-2</v>
      </c>
      <c r="BD523">
        <v>5.8326200000000002E-2</v>
      </c>
      <c r="BE523">
        <v>0.33963399999999999</v>
      </c>
      <c r="BF523">
        <v>1.7735300000000001</v>
      </c>
      <c r="BG523">
        <v>30.914400000000001</v>
      </c>
      <c r="BH523">
        <v>53.978099999999998</v>
      </c>
      <c r="BI523">
        <v>12.936</v>
      </c>
      <c r="BJ523">
        <v>31.671500000000002</v>
      </c>
      <c r="BK523">
        <v>0</v>
      </c>
      <c r="BL523">
        <v>32.061300000000003</v>
      </c>
      <c r="BM523">
        <v>59.666699999999999</v>
      </c>
      <c r="BN523">
        <v>6.8912699999999996</v>
      </c>
      <c r="BO523">
        <v>0.75101399999999996</v>
      </c>
      <c r="BP523">
        <v>0.62971600000000005</v>
      </c>
      <c r="BQ523">
        <v>37.295699999999997</v>
      </c>
      <c r="BR523">
        <v>193738</v>
      </c>
    </row>
    <row r="524" spans="1:70" x14ac:dyDescent="0.25">
      <c r="A524">
        <v>45</v>
      </c>
      <c r="B524" s="7">
        <v>45988.565000000002</v>
      </c>
      <c r="C524" t="s">
        <v>173</v>
      </c>
      <c r="D524" s="6" t="s">
        <v>348</v>
      </c>
      <c r="E524" s="6" t="str">
        <f>VLOOKUP(F524,Germplasm!$A$1:$B$21,2,FALSE)</f>
        <v>Kinnan</v>
      </c>
      <c r="F524" t="s">
        <v>71</v>
      </c>
      <c r="G524" s="6" t="s">
        <v>113</v>
      </c>
      <c r="H524">
        <v>63286.6</v>
      </c>
      <c r="I524">
        <v>447.54599999999999</v>
      </c>
      <c r="J524">
        <v>180577</v>
      </c>
      <c r="K524">
        <v>21.551500000000001</v>
      </c>
      <c r="L524">
        <v>74.860900000000001</v>
      </c>
      <c r="M524">
        <v>1628.36</v>
      </c>
      <c r="N524">
        <v>592.58699999999999</v>
      </c>
      <c r="O524">
        <v>39772100</v>
      </c>
      <c r="P524">
        <v>0.19259000000000001</v>
      </c>
      <c r="Q524">
        <v>0.86882400000000004</v>
      </c>
      <c r="R524">
        <v>7.2267900000000003</v>
      </c>
      <c r="S524">
        <v>26.059899999999999</v>
      </c>
      <c r="T524">
        <v>44.794899999999998</v>
      </c>
      <c r="U524">
        <v>20.568100000000001</v>
      </c>
      <c r="V524">
        <v>0.48146800000000001</v>
      </c>
      <c r="W524">
        <v>96.081500000000005</v>
      </c>
      <c r="X524">
        <v>3.52576</v>
      </c>
      <c r="Y524">
        <v>9.5045500000000001</v>
      </c>
      <c r="Z524">
        <v>9.8850899999999999</v>
      </c>
      <c r="AA524">
        <v>27.5562</v>
      </c>
      <c r="AB524">
        <v>28.761199999999999</v>
      </c>
      <c r="AC524">
        <v>20.767199999999999</v>
      </c>
      <c r="AD524">
        <v>1.62619</v>
      </c>
      <c r="AE524">
        <v>7.7144300000000001</v>
      </c>
      <c r="AF524">
        <v>0</v>
      </c>
      <c r="AG524">
        <v>99.302999999999997</v>
      </c>
      <c r="AH524">
        <v>0.694241</v>
      </c>
      <c r="AI524">
        <v>2.7278599999999999E-3</v>
      </c>
      <c r="AJ524">
        <v>0</v>
      </c>
      <c r="AK524">
        <v>0</v>
      </c>
      <c r="AL524">
        <v>0.416796</v>
      </c>
      <c r="AM524">
        <v>2.7149000000000001</v>
      </c>
      <c r="AN524">
        <v>10.304500000000001</v>
      </c>
      <c r="AO524">
        <v>12.868</v>
      </c>
      <c r="AP524">
        <v>21.007300000000001</v>
      </c>
      <c r="AQ524">
        <v>37.353999999999999</v>
      </c>
      <c r="AR524">
        <v>15.7514</v>
      </c>
      <c r="AS524">
        <v>0.15079999999999999</v>
      </c>
      <c r="AT524">
        <v>2.0097499999999999</v>
      </c>
      <c r="AU524">
        <v>21.319600000000001</v>
      </c>
      <c r="AV524">
        <v>39.418999999999997</v>
      </c>
      <c r="AW524">
        <v>26.724900000000002</v>
      </c>
      <c r="AX524">
        <v>7.9155699999999998</v>
      </c>
      <c r="AY524">
        <v>2.6112500000000001</v>
      </c>
      <c r="AZ524">
        <v>628.44399999999996</v>
      </c>
      <c r="BA524">
        <v>690.6</v>
      </c>
      <c r="BB524">
        <v>38917.1</v>
      </c>
      <c r="BC524">
        <v>0.10759299999999999</v>
      </c>
      <c r="BD524">
        <v>4.9101499999999999E-2</v>
      </c>
      <c r="BE524">
        <v>0.26528499999999999</v>
      </c>
      <c r="BF524">
        <v>1.3768899999999999</v>
      </c>
      <c r="BG524">
        <v>21.634</v>
      </c>
      <c r="BH524">
        <v>54.006900000000002</v>
      </c>
      <c r="BI524">
        <v>22.6678</v>
      </c>
      <c r="BJ524">
        <v>32.4373</v>
      </c>
      <c r="BK524">
        <v>0</v>
      </c>
      <c r="BL524">
        <v>32.301299999999998</v>
      </c>
      <c r="BM524">
        <v>56.967300000000002</v>
      </c>
      <c r="BN524">
        <v>8.6848299999999998</v>
      </c>
      <c r="BO524">
        <v>1.07341</v>
      </c>
      <c r="BP524">
        <v>0.97316499999999995</v>
      </c>
      <c r="BQ524">
        <v>38.000999999999998</v>
      </c>
      <c r="BR524">
        <v>146635</v>
      </c>
    </row>
    <row r="525" spans="1:70" x14ac:dyDescent="0.25">
      <c r="A525">
        <v>45</v>
      </c>
      <c r="B525" s="7">
        <v>45994.573449074072</v>
      </c>
      <c r="C525" t="s">
        <v>173</v>
      </c>
      <c r="D525" s="6" t="s">
        <v>349</v>
      </c>
      <c r="E525" s="6" t="str">
        <f>VLOOKUP(F525,Germplasm!$A$1:$B$21,2,FALSE)</f>
        <v>Kinnan</v>
      </c>
      <c r="F525" t="s">
        <v>71</v>
      </c>
      <c r="G525" s="6" t="s">
        <v>113</v>
      </c>
      <c r="H525">
        <v>51295</v>
      </c>
      <c r="I525">
        <v>474.24400000000003</v>
      </c>
      <c r="J525">
        <v>148614</v>
      </c>
      <c r="K525">
        <v>19.553799999999999</v>
      </c>
      <c r="L525">
        <v>66.950400000000002</v>
      </c>
      <c r="M525">
        <v>1455.29</v>
      </c>
      <c r="N525">
        <v>543.899</v>
      </c>
      <c r="O525">
        <v>33338900</v>
      </c>
      <c r="P525">
        <v>0.17283100000000001</v>
      </c>
      <c r="Q525">
        <v>0.785964</v>
      </c>
      <c r="R525">
        <v>9.0957399999999993</v>
      </c>
      <c r="S525">
        <v>32.482399999999998</v>
      </c>
      <c r="T525">
        <v>39.307099999999998</v>
      </c>
      <c r="U525">
        <v>17.971699999999998</v>
      </c>
      <c r="V525">
        <v>0.357095</v>
      </c>
      <c r="W525">
        <v>89.880899999999997</v>
      </c>
      <c r="X525">
        <v>4.3843899999999998</v>
      </c>
      <c r="Y525">
        <v>14.835000000000001</v>
      </c>
      <c r="Z525">
        <v>11.5192</v>
      </c>
      <c r="AA525">
        <v>25.285499999999999</v>
      </c>
      <c r="AB525">
        <v>24.459700000000002</v>
      </c>
      <c r="AC525">
        <v>19.516200000000001</v>
      </c>
      <c r="AD525">
        <v>1.7651600000000001</v>
      </c>
      <c r="AE525">
        <v>8.3458299999999994</v>
      </c>
      <c r="AF525">
        <v>0</v>
      </c>
      <c r="AG525">
        <v>99.046599999999998</v>
      </c>
      <c r="AH525">
        <v>0.94989100000000004</v>
      </c>
      <c r="AI525">
        <v>2.6582799999999998E-3</v>
      </c>
      <c r="AJ525">
        <v>8.8609300000000002E-4</v>
      </c>
      <c r="AK525">
        <v>0</v>
      </c>
      <c r="AL525">
        <v>0.37587799999999999</v>
      </c>
      <c r="AM525">
        <v>3.4061400000000002</v>
      </c>
      <c r="AN525">
        <v>14.9626</v>
      </c>
      <c r="AO525">
        <v>16.0976</v>
      </c>
      <c r="AP525">
        <v>21.634799999999998</v>
      </c>
      <c r="AQ525">
        <v>31.559100000000001</v>
      </c>
      <c r="AR525">
        <v>12.339700000000001</v>
      </c>
      <c r="AS525">
        <v>0.17538599999999999</v>
      </c>
      <c r="AT525">
        <v>1.6357299999999999</v>
      </c>
      <c r="AU525">
        <v>19.616299999999999</v>
      </c>
      <c r="AV525">
        <v>35.921300000000002</v>
      </c>
      <c r="AW525">
        <v>28.406400000000001</v>
      </c>
      <c r="AX525">
        <v>11.7301</v>
      </c>
      <c r="AY525">
        <v>2.6901799999999998</v>
      </c>
      <c r="AZ525">
        <v>649.94399999999996</v>
      </c>
      <c r="BA525">
        <v>727.19899999999996</v>
      </c>
      <c r="BB525">
        <v>29059.7</v>
      </c>
      <c r="BC525">
        <v>0.137152</v>
      </c>
      <c r="BD525">
        <v>4.16464E-2</v>
      </c>
      <c r="BE525">
        <v>0.25430900000000001</v>
      </c>
      <c r="BF525">
        <v>1.3893899999999999</v>
      </c>
      <c r="BG525">
        <v>19.565799999999999</v>
      </c>
      <c r="BH525">
        <v>48.8414</v>
      </c>
      <c r="BI525">
        <v>29.907399999999999</v>
      </c>
      <c r="BJ525">
        <v>32.549700000000001</v>
      </c>
      <c r="BK525">
        <v>0</v>
      </c>
      <c r="BL525">
        <v>33.615699999999997</v>
      </c>
      <c r="BM525">
        <v>54.269599999999997</v>
      </c>
      <c r="BN525">
        <v>10.2379</v>
      </c>
      <c r="BO525">
        <v>1.0615399999999999</v>
      </c>
      <c r="BP525">
        <v>0.81520499999999996</v>
      </c>
      <c r="BQ525">
        <v>34.549500000000002</v>
      </c>
      <c r="BR525">
        <v>112855</v>
      </c>
    </row>
    <row r="526" spans="1:70" x14ac:dyDescent="0.25">
      <c r="A526">
        <v>45</v>
      </c>
      <c r="B526" s="7">
        <v>46002.564097222225</v>
      </c>
      <c r="C526" t="s">
        <v>173</v>
      </c>
      <c r="D526" s="6" t="s">
        <v>350</v>
      </c>
      <c r="E526" s="6" t="str">
        <f>VLOOKUP(F526,Germplasm!$A$1:$B$21,2,FALSE)</f>
        <v>Kinnan</v>
      </c>
      <c r="F526" t="s">
        <v>71</v>
      </c>
      <c r="G526" s="6" t="s">
        <v>113</v>
      </c>
      <c r="H526">
        <v>49773.2</v>
      </c>
      <c r="I526">
        <v>503.73200000000003</v>
      </c>
      <c r="J526">
        <v>147402</v>
      </c>
      <c r="K526">
        <v>17.8565</v>
      </c>
      <c r="L526">
        <v>61.960700000000003</v>
      </c>
      <c r="M526">
        <v>1448.15</v>
      </c>
      <c r="N526">
        <v>545.66999999999996</v>
      </c>
      <c r="O526">
        <v>32874700</v>
      </c>
      <c r="P526">
        <v>0.14568999999999999</v>
      </c>
      <c r="Q526">
        <v>0.92571499999999995</v>
      </c>
      <c r="R526">
        <v>12.575900000000001</v>
      </c>
      <c r="S526">
        <v>37.572899999999997</v>
      </c>
      <c r="T526">
        <v>35.869900000000001</v>
      </c>
      <c r="U526">
        <v>12.7133</v>
      </c>
      <c r="V526">
        <v>0.34225100000000003</v>
      </c>
      <c r="W526">
        <v>80.282399999999996</v>
      </c>
      <c r="X526">
        <v>6.3343699999999998</v>
      </c>
      <c r="Y526">
        <v>20.5778</v>
      </c>
      <c r="Z526">
        <v>13.728300000000001</v>
      </c>
      <c r="AA526">
        <v>22.684100000000001</v>
      </c>
      <c r="AB526">
        <v>19.471900000000002</v>
      </c>
      <c r="AC526">
        <v>17.203600000000002</v>
      </c>
      <c r="AD526">
        <v>1.8910199999999999</v>
      </c>
      <c r="AE526">
        <v>9.0181299999999993</v>
      </c>
      <c r="AF526">
        <v>0</v>
      </c>
      <c r="AG526">
        <v>98.266900000000007</v>
      </c>
      <c r="AH526">
        <v>1.73037</v>
      </c>
      <c r="AI526">
        <v>2.7307199999999998E-3</v>
      </c>
      <c r="AJ526">
        <v>0</v>
      </c>
      <c r="AK526">
        <v>0</v>
      </c>
      <c r="AL526">
        <v>0.31418000000000001</v>
      </c>
      <c r="AM526">
        <v>4.32</v>
      </c>
      <c r="AN526">
        <v>21.900400000000001</v>
      </c>
      <c r="AO526">
        <v>21.044799999999999</v>
      </c>
      <c r="AP526">
        <v>22.777000000000001</v>
      </c>
      <c r="AQ526">
        <v>23.231200000000001</v>
      </c>
      <c r="AR526">
        <v>6.72668</v>
      </c>
      <c r="AS526">
        <v>0.199459</v>
      </c>
      <c r="AT526">
        <v>1.5037199999999999</v>
      </c>
      <c r="AU526">
        <v>16.3279</v>
      </c>
      <c r="AV526">
        <v>34.217799999999997</v>
      </c>
      <c r="AW526">
        <v>30.6096</v>
      </c>
      <c r="AX526">
        <v>14.2362</v>
      </c>
      <c r="AY526">
        <v>3.1048300000000002</v>
      </c>
      <c r="AZ526">
        <v>660.49</v>
      </c>
      <c r="BA526">
        <v>730.8</v>
      </c>
      <c r="BB526">
        <v>26320.799999999999</v>
      </c>
      <c r="BC526">
        <v>0.17766199999999999</v>
      </c>
      <c r="BD526">
        <v>3.0037999999999999E-2</v>
      </c>
      <c r="BE526">
        <v>0.20116300000000001</v>
      </c>
      <c r="BF526">
        <v>1.3462499999999999</v>
      </c>
      <c r="BG526">
        <v>16.250499999999999</v>
      </c>
      <c r="BH526">
        <v>41.241199999999999</v>
      </c>
      <c r="BI526">
        <v>40.930799999999998</v>
      </c>
      <c r="BJ526">
        <v>32.176299999999998</v>
      </c>
      <c r="BK526">
        <v>0</v>
      </c>
      <c r="BL526">
        <v>35.421100000000003</v>
      </c>
      <c r="BM526">
        <v>52.323399999999999</v>
      </c>
      <c r="BN526">
        <v>10.237500000000001</v>
      </c>
      <c r="BO526">
        <v>1.21699</v>
      </c>
      <c r="BP526">
        <v>0.80101199999999995</v>
      </c>
      <c r="BQ526">
        <v>31.9605</v>
      </c>
      <c r="BR526">
        <v>109861</v>
      </c>
    </row>
    <row r="527" spans="1:70" x14ac:dyDescent="0.25">
      <c r="A527">
        <v>45</v>
      </c>
      <c r="B527" s="7">
        <v>46013.58866898148</v>
      </c>
      <c r="C527" t="s">
        <v>173</v>
      </c>
      <c r="D527" s="6" t="s">
        <v>351</v>
      </c>
      <c r="E527" s="6" t="str">
        <f>VLOOKUP(F527,Germplasm!$A$1:$B$21,2,FALSE)</f>
        <v>Kinnan</v>
      </c>
      <c r="F527" t="s">
        <v>71</v>
      </c>
      <c r="G527" s="6" t="s">
        <v>113</v>
      </c>
      <c r="H527">
        <v>38802.199999999997</v>
      </c>
      <c r="I527">
        <v>516.72699999999998</v>
      </c>
      <c r="J527">
        <v>139208</v>
      </c>
      <c r="K527">
        <v>13.932399999999999</v>
      </c>
      <c r="L527">
        <v>79.566000000000003</v>
      </c>
      <c r="M527">
        <v>1428.62</v>
      </c>
      <c r="N527">
        <v>499.55200000000002</v>
      </c>
      <c r="O527">
        <v>25088900</v>
      </c>
      <c r="P527">
        <v>7.01011E-2</v>
      </c>
      <c r="Q527">
        <v>1.2701199999999999</v>
      </c>
      <c r="R527">
        <v>24.081499999999998</v>
      </c>
      <c r="S527">
        <v>53.182899999999997</v>
      </c>
      <c r="T527">
        <v>16.776399999999999</v>
      </c>
      <c r="U527">
        <v>4.4481200000000003</v>
      </c>
      <c r="V527">
        <v>0.24105199999999999</v>
      </c>
      <c r="W527">
        <v>56.427199999999999</v>
      </c>
      <c r="X527">
        <v>12.653600000000001</v>
      </c>
      <c r="Y527">
        <v>37.4604</v>
      </c>
      <c r="Z527">
        <v>13.591900000000001</v>
      </c>
      <c r="AA527">
        <v>12.934699999999999</v>
      </c>
      <c r="AB527">
        <v>8.7373399999999997</v>
      </c>
      <c r="AC527">
        <v>14.622</v>
      </c>
      <c r="AD527">
        <v>2.0006200000000001</v>
      </c>
      <c r="AE527">
        <v>11.634600000000001</v>
      </c>
      <c r="AF527">
        <v>0</v>
      </c>
      <c r="AG527">
        <v>94.676299999999998</v>
      </c>
      <c r="AH527">
        <v>5.3204500000000001</v>
      </c>
      <c r="AI527">
        <v>2.16191E-3</v>
      </c>
      <c r="AJ527">
        <v>1.08095E-3</v>
      </c>
      <c r="AK527">
        <v>0</v>
      </c>
      <c r="AL527">
        <v>0.186669</v>
      </c>
      <c r="AM527">
        <v>9.2724100000000007</v>
      </c>
      <c r="AN527">
        <v>41.748600000000003</v>
      </c>
      <c r="AO527">
        <v>25.706099999999999</v>
      </c>
      <c r="AP527">
        <v>13.653499999999999</v>
      </c>
      <c r="AQ527">
        <v>6.9256599999999997</v>
      </c>
      <c r="AR527">
        <v>2.69373</v>
      </c>
      <c r="AS527">
        <v>0.22960800000000001</v>
      </c>
      <c r="AT527">
        <v>1.01393</v>
      </c>
      <c r="AU527">
        <v>11.981299999999999</v>
      </c>
      <c r="AV527">
        <v>29.769400000000001</v>
      </c>
      <c r="AW527">
        <v>40.430900000000001</v>
      </c>
      <c r="AX527">
        <v>13.566000000000001</v>
      </c>
      <c r="AY527">
        <v>3.2385299999999999</v>
      </c>
      <c r="AZ527">
        <v>646.58600000000001</v>
      </c>
      <c r="BA527">
        <v>707.399</v>
      </c>
      <c r="BB527">
        <v>19395.099999999999</v>
      </c>
      <c r="BC527">
        <v>0.25424999999999998</v>
      </c>
      <c r="BD527">
        <v>3.78333E-2</v>
      </c>
      <c r="BE527">
        <v>0.235648</v>
      </c>
      <c r="BF527">
        <v>1.41821</v>
      </c>
      <c r="BG527">
        <v>11.3035</v>
      </c>
      <c r="BH527">
        <v>26.7363</v>
      </c>
      <c r="BI527">
        <v>60.268500000000003</v>
      </c>
      <c r="BJ527">
        <v>29.395800000000001</v>
      </c>
      <c r="BK527">
        <v>0</v>
      </c>
      <c r="BL527">
        <v>42.522500000000001</v>
      </c>
      <c r="BM527">
        <v>48.847200000000001</v>
      </c>
      <c r="BN527">
        <v>6.7116300000000004</v>
      </c>
      <c r="BO527">
        <v>1.4333400000000001</v>
      </c>
      <c r="BP527">
        <v>0.485348</v>
      </c>
      <c r="BQ527">
        <v>30.013999999999999</v>
      </c>
      <c r="BR527">
        <v>92511</v>
      </c>
    </row>
    <row r="528" spans="1:70" x14ac:dyDescent="0.25">
      <c r="A528">
        <v>45</v>
      </c>
      <c r="B528" s="7">
        <v>46013.58929398148</v>
      </c>
      <c r="C528" t="s">
        <v>173</v>
      </c>
      <c r="D528" s="6" t="s">
        <v>352</v>
      </c>
      <c r="E528" s="6" t="str">
        <f>VLOOKUP(F528,Germplasm!$A$1:$B$21,2,FALSE)</f>
        <v>Kinnan</v>
      </c>
      <c r="F528" t="s">
        <v>71</v>
      </c>
      <c r="G528" s="6" t="s">
        <v>113</v>
      </c>
      <c r="H528">
        <v>40479.1</v>
      </c>
      <c r="I528">
        <v>514.33399999999995</v>
      </c>
      <c r="J528">
        <v>136962</v>
      </c>
      <c r="K528">
        <v>14.7805</v>
      </c>
      <c r="L528">
        <v>74.877399999999994</v>
      </c>
      <c r="M528">
        <v>1415.36</v>
      </c>
      <c r="N528">
        <v>499.25200000000001</v>
      </c>
      <c r="O528">
        <v>26157300</v>
      </c>
      <c r="P528">
        <v>7.3116799999999996E-2</v>
      </c>
      <c r="Q528">
        <v>1.24071</v>
      </c>
      <c r="R528">
        <v>23.856400000000001</v>
      </c>
      <c r="S528">
        <v>52.760300000000001</v>
      </c>
      <c r="T528">
        <v>16.7913</v>
      </c>
      <c r="U528">
        <v>5.06412</v>
      </c>
      <c r="V528">
        <v>0.28720000000000001</v>
      </c>
      <c r="W528">
        <v>56.758299999999998</v>
      </c>
      <c r="X528">
        <v>12.5898</v>
      </c>
      <c r="Y528">
        <v>37.3371</v>
      </c>
      <c r="Z528">
        <v>13.5632</v>
      </c>
      <c r="AA528">
        <v>13.2029</v>
      </c>
      <c r="AB528">
        <v>9.0034700000000001</v>
      </c>
      <c r="AC528">
        <v>14.303599999999999</v>
      </c>
      <c r="AD528">
        <v>1.9995799999999999</v>
      </c>
      <c r="AE528">
        <v>11.508900000000001</v>
      </c>
      <c r="AF528">
        <v>0</v>
      </c>
      <c r="AG528">
        <v>94.734300000000005</v>
      </c>
      <c r="AH528">
        <v>5.2583799999999998</v>
      </c>
      <c r="AI528">
        <v>7.3105499999999999E-3</v>
      </c>
      <c r="AJ528">
        <v>0</v>
      </c>
      <c r="AK528">
        <v>0</v>
      </c>
      <c r="AL528">
        <v>0.19167799999999999</v>
      </c>
      <c r="AM528">
        <v>8.9575200000000006</v>
      </c>
      <c r="AN528">
        <v>41.403799999999997</v>
      </c>
      <c r="AO528">
        <v>25.512799999999999</v>
      </c>
      <c r="AP528">
        <v>13.548500000000001</v>
      </c>
      <c r="AQ528">
        <v>7.4160300000000001</v>
      </c>
      <c r="AR528">
        <v>3.1612900000000002</v>
      </c>
      <c r="AS528">
        <v>0.231574</v>
      </c>
      <c r="AT528">
        <v>1.05063</v>
      </c>
      <c r="AU528">
        <v>11.762700000000001</v>
      </c>
      <c r="AV528">
        <v>29.4678</v>
      </c>
      <c r="AW528">
        <v>40.854500000000002</v>
      </c>
      <c r="AX528">
        <v>13.4733</v>
      </c>
      <c r="AY528">
        <v>3.3910499999999999</v>
      </c>
      <c r="AZ528">
        <v>646.19399999999996</v>
      </c>
      <c r="BA528">
        <v>706.19899999999996</v>
      </c>
      <c r="BB528">
        <v>20243.7</v>
      </c>
      <c r="BC528">
        <v>0.25298199999999998</v>
      </c>
      <c r="BD528">
        <v>3.1330900000000002E-2</v>
      </c>
      <c r="BE528">
        <v>0.26004699999999997</v>
      </c>
      <c r="BF528">
        <v>1.38483</v>
      </c>
      <c r="BG528">
        <v>11.136100000000001</v>
      </c>
      <c r="BH528">
        <v>27.201499999999999</v>
      </c>
      <c r="BI528">
        <v>59.986199999999997</v>
      </c>
      <c r="BJ528">
        <v>29.668399999999998</v>
      </c>
      <c r="BK528">
        <v>0</v>
      </c>
      <c r="BL528">
        <v>41.929099999999998</v>
      </c>
      <c r="BM528">
        <v>49.1175</v>
      </c>
      <c r="BN528">
        <v>6.8959400000000004</v>
      </c>
      <c r="BO528">
        <v>1.5038899999999999</v>
      </c>
      <c r="BP528">
        <v>0.55351300000000003</v>
      </c>
      <c r="BQ528">
        <v>30.032399999999999</v>
      </c>
      <c r="BR528">
        <v>95752</v>
      </c>
    </row>
    <row r="529" spans="1:70" x14ac:dyDescent="0.25">
      <c r="A529">
        <v>45</v>
      </c>
      <c r="B529" s="7">
        <v>46024.526770833334</v>
      </c>
      <c r="C529" t="s">
        <v>173</v>
      </c>
      <c r="D529" s="6" t="s">
        <v>353</v>
      </c>
      <c r="E529" s="6" t="str">
        <f>VLOOKUP(F529,Germplasm!$A$1:$B$21,2,FALSE)</f>
        <v>Kinnan</v>
      </c>
      <c r="F529" t="s">
        <v>71</v>
      </c>
      <c r="G529" s="6" t="s">
        <v>113</v>
      </c>
      <c r="H529">
        <v>44460.6</v>
      </c>
      <c r="I529">
        <v>514.39700000000005</v>
      </c>
      <c r="J529">
        <v>139432</v>
      </c>
      <c r="K529">
        <v>15.450100000000001</v>
      </c>
      <c r="L529">
        <v>64.490099999999998</v>
      </c>
      <c r="M529">
        <v>1497.24</v>
      </c>
      <c r="N529">
        <v>540.73599999999999</v>
      </c>
      <c r="O529">
        <v>28436900</v>
      </c>
      <c r="P529">
        <v>3.2907600000000002E-2</v>
      </c>
      <c r="Q529">
        <v>1.3510500000000001</v>
      </c>
      <c r="R529">
        <v>31.290600000000001</v>
      </c>
      <c r="S529">
        <v>58.160200000000003</v>
      </c>
      <c r="T529">
        <v>7.4263199999999996</v>
      </c>
      <c r="U529">
        <v>1.65716</v>
      </c>
      <c r="V529">
        <v>0.114665</v>
      </c>
      <c r="W529">
        <v>44.310200000000002</v>
      </c>
      <c r="X529">
        <v>15.854699999999999</v>
      </c>
      <c r="Y529">
        <v>46.644799999999996</v>
      </c>
      <c r="Z529">
        <v>11.8484</v>
      </c>
      <c r="AA529">
        <v>7.3106499999999999</v>
      </c>
      <c r="AB529">
        <v>4.2236700000000003</v>
      </c>
      <c r="AC529">
        <v>14.117800000000001</v>
      </c>
      <c r="AD529">
        <v>2.0638700000000001</v>
      </c>
      <c r="AE529">
        <v>14.2362</v>
      </c>
      <c r="AF529">
        <v>0</v>
      </c>
      <c r="AG529">
        <v>87.553299999999993</v>
      </c>
      <c r="AH529">
        <v>12.340999999999999</v>
      </c>
      <c r="AI529">
        <v>0.10569099999999999</v>
      </c>
      <c r="AJ529">
        <v>0</v>
      </c>
      <c r="AK529">
        <v>0</v>
      </c>
      <c r="AL529">
        <v>0.12609699999999999</v>
      </c>
      <c r="AM529">
        <v>16.463899999999999</v>
      </c>
      <c r="AN529">
        <v>47.957999999999998</v>
      </c>
      <c r="AO529">
        <v>21.9389</v>
      </c>
      <c r="AP529">
        <v>9.1971399999999992</v>
      </c>
      <c r="AQ529">
        <v>3.4379599999999999</v>
      </c>
      <c r="AR529">
        <v>1.00407</v>
      </c>
      <c r="AS529">
        <v>0.22089600000000001</v>
      </c>
      <c r="AT529">
        <v>0.96717600000000004</v>
      </c>
      <c r="AU529">
        <v>10.2531</v>
      </c>
      <c r="AV529">
        <v>32.512099999999997</v>
      </c>
      <c r="AW529">
        <v>43.9786</v>
      </c>
      <c r="AX529">
        <v>9.5182099999999998</v>
      </c>
      <c r="AY529">
        <v>2.7709100000000002</v>
      </c>
      <c r="AZ529">
        <v>639.59799999999996</v>
      </c>
      <c r="BA529">
        <v>676.79899999999998</v>
      </c>
      <c r="BB529">
        <v>21542.400000000001</v>
      </c>
      <c r="BC529">
        <v>0.27469399999999999</v>
      </c>
      <c r="BD529">
        <v>2.6921400000000002E-2</v>
      </c>
      <c r="BE529">
        <v>0.234316</v>
      </c>
      <c r="BF529">
        <v>1.57341</v>
      </c>
      <c r="BG529">
        <v>9.3846000000000007</v>
      </c>
      <c r="BH529">
        <v>20.890999999999998</v>
      </c>
      <c r="BI529">
        <v>67.889799999999994</v>
      </c>
      <c r="BJ529">
        <v>26.344000000000001</v>
      </c>
      <c r="BK529">
        <v>0</v>
      </c>
      <c r="BL529">
        <v>51.504600000000003</v>
      </c>
      <c r="BM529">
        <v>42.519799999999996</v>
      </c>
      <c r="BN529">
        <v>4.4330600000000002</v>
      </c>
      <c r="BO529">
        <v>1.11574</v>
      </c>
      <c r="BP529">
        <v>0.42675400000000002</v>
      </c>
      <c r="BQ529">
        <v>29.0075</v>
      </c>
      <c r="BR529">
        <v>100292</v>
      </c>
    </row>
    <row r="530" spans="1:70" x14ac:dyDescent="0.25">
      <c r="A530">
        <v>32</v>
      </c>
      <c r="B530" s="7">
        <v>45952.554155092592</v>
      </c>
      <c r="C530" t="s">
        <v>128</v>
      </c>
      <c r="D530" s="6" t="s">
        <v>221</v>
      </c>
      <c r="E530" s="6" t="str">
        <f>VLOOKUP(F530,Germplasm!$A$1:$B$21,2,FALSE)</f>
        <v>Edel</v>
      </c>
      <c r="F530" t="s">
        <v>67</v>
      </c>
      <c r="G530" s="6" t="s">
        <v>113</v>
      </c>
      <c r="H530">
        <v>36912.699999999997</v>
      </c>
      <c r="I530">
        <v>232.13800000000001</v>
      </c>
      <c r="J530">
        <v>104668</v>
      </c>
      <c r="K530">
        <v>21.084700000000002</v>
      </c>
      <c r="L530">
        <v>81.237300000000005</v>
      </c>
      <c r="M530">
        <v>1252.25</v>
      </c>
      <c r="N530">
        <v>445.28300000000002</v>
      </c>
      <c r="O530">
        <v>10333600</v>
      </c>
      <c r="P530">
        <v>0.26608100000000001</v>
      </c>
      <c r="Q530">
        <v>0.42399100000000001</v>
      </c>
      <c r="R530">
        <v>2.6475900000000001</v>
      </c>
      <c r="S530">
        <v>13.651199999999999</v>
      </c>
      <c r="T530">
        <v>41.886299999999999</v>
      </c>
      <c r="U530">
        <v>40.886200000000002</v>
      </c>
      <c r="V530">
        <v>0.50475099999999995</v>
      </c>
      <c r="W530">
        <v>116.31699999999999</v>
      </c>
      <c r="X530">
        <v>0.64339000000000002</v>
      </c>
      <c r="Y530">
        <v>1.3123499999999999</v>
      </c>
      <c r="Z530">
        <v>2.94102</v>
      </c>
      <c r="AA530">
        <v>17.2988</v>
      </c>
      <c r="AB530">
        <v>44.089700000000001</v>
      </c>
      <c r="AC530">
        <v>33.714700000000001</v>
      </c>
      <c r="AD530">
        <v>1.6726000000000001</v>
      </c>
      <c r="AE530">
        <v>6.7684199999999999</v>
      </c>
      <c r="AF530">
        <v>0</v>
      </c>
      <c r="AG530">
        <v>99.909800000000004</v>
      </c>
      <c r="AH530">
        <v>8.0760200000000004E-2</v>
      </c>
      <c r="AI530">
        <v>9.4220299999999996E-3</v>
      </c>
      <c r="AJ530">
        <v>0</v>
      </c>
      <c r="AK530">
        <v>0</v>
      </c>
      <c r="AL530">
        <v>0.55664599999999997</v>
      </c>
      <c r="AM530">
        <v>0.33246300000000001</v>
      </c>
      <c r="AN530">
        <v>1.4011899999999999</v>
      </c>
      <c r="AO530">
        <v>3.2344499999999998</v>
      </c>
      <c r="AP530">
        <v>11.2136</v>
      </c>
      <c r="AQ530">
        <v>41.726100000000002</v>
      </c>
      <c r="AR530">
        <v>42.092199999999998</v>
      </c>
      <c r="AS530">
        <v>4.4451200000000003E-2</v>
      </c>
      <c r="AT530">
        <v>6.8363500000000004</v>
      </c>
      <c r="AU530">
        <v>33.442799999999998</v>
      </c>
      <c r="AV530">
        <v>43.353400000000001</v>
      </c>
      <c r="AW530">
        <v>12.8988</v>
      </c>
      <c r="AX530">
        <v>2.3433899999999999</v>
      </c>
      <c r="AY530">
        <v>1.1252599999999999</v>
      </c>
      <c r="AZ530">
        <v>279.94799999999998</v>
      </c>
      <c r="BA530">
        <v>292.19900000000001</v>
      </c>
      <c r="BB530">
        <v>22069</v>
      </c>
      <c r="BC530">
        <v>1.4728400000000001E-2</v>
      </c>
      <c r="BD530">
        <v>3.6342100000000002E-2</v>
      </c>
      <c r="BE530">
        <v>0.36880499999999999</v>
      </c>
      <c r="BF530">
        <v>2.3999199999999998</v>
      </c>
      <c r="BG530">
        <v>37.471400000000003</v>
      </c>
      <c r="BH530">
        <v>56.389499999999998</v>
      </c>
      <c r="BI530">
        <v>3.33405</v>
      </c>
      <c r="BJ530">
        <v>34.616599999999998</v>
      </c>
      <c r="BK530">
        <v>0</v>
      </c>
      <c r="BL530">
        <v>24.470300000000002</v>
      </c>
      <c r="BM530">
        <v>63.614800000000002</v>
      </c>
      <c r="BN530">
        <v>10.6173</v>
      </c>
      <c r="BO530">
        <v>0.89105400000000001</v>
      </c>
      <c r="BP530">
        <v>0.40649299999999999</v>
      </c>
      <c r="BQ530">
        <v>36.755000000000003</v>
      </c>
      <c r="BR530">
        <v>74294</v>
      </c>
    </row>
    <row r="531" spans="1:70" x14ac:dyDescent="0.25">
      <c r="A531">
        <v>32</v>
      </c>
      <c r="B531" s="7">
        <v>45959.511377314811</v>
      </c>
      <c r="C531" t="s">
        <v>128</v>
      </c>
      <c r="D531" s="6" t="s">
        <v>222</v>
      </c>
      <c r="E531" s="6" t="str">
        <f>VLOOKUP(F531,Germplasm!$A$1:$B$21,2,FALSE)</f>
        <v>Edel</v>
      </c>
      <c r="F531" t="s">
        <v>67</v>
      </c>
      <c r="G531" s="6" t="s">
        <v>113</v>
      </c>
      <c r="H531">
        <v>35369.5</v>
      </c>
      <c r="I531">
        <v>269.50799999999998</v>
      </c>
      <c r="J531">
        <v>182258</v>
      </c>
      <c r="K531">
        <v>13.672000000000001</v>
      </c>
      <c r="L531">
        <v>71.331299999999999</v>
      </c>
      <c r="M531">
        <v>1661.48</v>
      </c>
      <c r="N531">
        <v>635.35</v>
      </c>
      <c r="O531">
        <v>12223200</v>
      </c>
      <c r="P531">
        <v>0.26627800000000001</v>
      </c>
      <c r="Q531">
        <v>0.65008100000000002</v>
      </c>
      <c r="R531">
        <v>3.0992999999999999</v>
      </c>
      <c r="S531">
        <v>14.442299999999999</v>
      </c>
      <c r="T531">
        <v>40.148099999999999</v>
      </c>
      <c r="U531">
        <v>40.467799999999997</v>
      </c>
      <c r="V531">
        <v>1.1923999999999999</v>
      </c>
      <c r="W531">
        <v>119.878</v>
      </c>
      <c r="X531">
        <v>0.67936399999999997</v>
      </c>
      <c r="Y531">
        <v>1.4524300000000001</v>
      </c>
      <c r="Z531">
        <v>3.2117499999999999</v>
      </c>
      <c r="AA531">
        <v>14.861700000000001</v>
      </c>
      <c r="AB531">
        <v>38.151000000000003</v>
      </c>
      <c r="AC531">
        <v>41.643799999999999</v>
      </c>
      <c r="AD531">
        <v>1.4194199999999999</v>
      </c>
      <c r="AE531">
        <v>6.4786999999999999</v>
      </c>
      <c r="AF531">
        <v>0</v>
      </c>
      <c r="AG531">
        <v>99.868799999999993</v>
      </c>
      <c r="AH531">
        <v>0.131187</v>
      </c>
      <c r="AI531">
        <v>0</v>
      </c>
      <c r="AJ531">
        <v>0</v>
      </c>
      <c r="AK531">
        <v>0</v>
      </c>
      <c r="AL531">
        <v>0.56238600000000005</v>
      </c>
      <c r="AM531">
        <v>0.48843900000000001</v>
      </c>
      <c r="AN531">
        <v>1.8881600000000001</v>
      </c>
      <c r="AO531">
        <v>3.52332</v>
      </c>
      <c r="AP531">
        <v>10.7035</v>
      </c>
      <c r="AQ531">
        <v>37.817100000000003</v>
      </c>
      <c r="AR531">
        <v>45.5794</v>
      </c>
      <c r="AS531">
        <v>2.44418E-2</v>
      </c>
      <c r="AT531">
        <v>10.571099999999999</v>
      </c>
      <c r="AU531">
        <v>37.568800000000003</v>
      </c>
      <c r="AV531">
        <v>35.304699999999997</v>
      </c>
      <c r="AW531">
        <v>12.001300000000001</v>
      </c>
      <c r="AX531">
        <v>2.8052999999999999</v>
      </c>
      <c r="AY531">
        <v>1.74878</v>
      </c>
      <c r="AZ531">
        <v>345.58600000000001</v>
      </c>
      <c r="BA531">
        <v>352.19900000000001</v>
      </c>
      <c r="BB531">
        <v>24918.3</v>
      </c>
      <c r="BC531">
        <v>3.2382399999999999E-3</v>
      </c>
      <c r="BD531">
        <v>6.7936399999999994E-2</v>
      </c>
      <c r="BE531">
        <v>0.49780999999999997</v>
      </c>
      <c r="BF531">
        <v>3.3745599999999998</v>
      </c>
      <c r="BG531">
        <v>44.199599999999997</v>
      </c>
      <c r="BH531">
        <v>47.679600000000001</v>
      </c>
      <c r="BI531">
        <v>4.1804300000000003</v>
      </c>
      <c r="BJ531">
        <v>35.6265</v>
      </c>
      <c r="BK531">
        <v>0</v>
      </c>
      <c r="BL531">
        <v>24.3505</v>
      </c>
      <c r="BM531">
        <v>60.942399999999999</v>
      </c>
      <c r="BN531">
        <v>12.478</v>
      </c>
      <c r="BO531">
        <v>1.47</v>
      </c>
      <c r="BP531">
        <v>0.75901300000000005</v>
      </c>
      <c r="BQ531">
        <v>44.846899999999998</v>
      </c>
      <c r="BR531">
        <v>85374</v>
      </c>
    </row>
    <row r="532" spans="1:70" x14ac:dyDescent="0.25">
      <c r="A532">
        <v>32</v>
      </c>
      <c r="B532" s="7">
        <v>45966.56695601852</v>
      </c>
      <c r="C532" t="s">
        <v>128</v>
      </c>
      <c r="D532" s="6" t="s">
        <v>223</v>
      </c>
      <c r="E532" s="6" t="str">
        <f>VLOOKUP(F532,Germplasm!$A$1:$B$21,2,FALSE)</f>
        <v>Edel</v>
      </c>
      <c r="F532" t="s">
        <v>67</v>
      </c>
      <c r="G532" s="6" t="s">
        <v>113</v>
      </c>
      <c r="H532">
        <v>62482.9</v>
      </c>
      <c r="I532">
        <v>432.42899999999997</v>
      </c>
      <c r="J532">
        <v>160814</v>
      </c>
      <c r="K532">
        <v>22.6356</v>
      </c>
      <c r="L532">
        <v>70.096400000000003</v>
      </c>
      <c r="M532">
        <v>1508.05</v>
      </c>
      <c r="N532">
        <v>568.11599999999999</v>
      </c>
      <c r="O532">
        <v>33444000</v>
      </c>
      <c r="P532">
        <v>0.25764399999999998</v>
      </c>
      <c r="Q532">
        <v>0.44078499999999998</v>
      </c>
      <c r="R532">
        <v>2.4433699999999998</v>
      </c>
      <c r="S532">
        <v>14.861499999999999</v>
      </c>
      <c r="T532">
        <v>45.017600000000002</v>
      </c>
      <c r="U532">
        <v>36.470100000000002</v>
      </c>
      <c r="V532">
        <v>0.76651599999999998</v>
      </c>
      <c r="W532">
        <v>119.098</v>
      </c>
      <c r="X532">
        <v>0.63980000000000004</v>
      </c>
      <c r="Y532">
        <v>1.3130299999999999</v>
      </c>
      <c r="Z532">
        <v>2.57708</v>
      </c>
      <c r="AA532">
        <v>13.8284</v>
      </c>
      <c r="AB532">
        <v>43.0578</v>
      </c>
      <c r="AC532">
        <v>38.5839</v>
      </c>
      <c r="AD532">
        <v>1.71651</v>
      </c>
      <c r="AE532">
        <v>6.5688800000000001</v>
      </c>
      <c r="AF532">
        <v>0</v>
      </c>
      <c r="AG532">
        <v>99.927700000000002</v>
      </c>
      <c r="AH532">
        <v>6.5301600000000001E-2</v>
      </c>
      <c r="AI532">
        <v>4.6644E-3</v>
      </c>
      <c r="AJ532">
        <v>2.3322E-3</v>
      </c>
      <c r="AK532">
        <v>0</v>
      </c>
      <c r="AL532">
        <v>0.54168499999999997</v>
      </c>
      <c r="AM532">
        <v>0.45244600000000001</v>
      </c>
      <c r="AN532">
        <v>2.13707</v>
      </c>
      <c r="AO532">
        <v>4.6364099999999997</v>
      </c>
      <c r="AP532">
        <v>12.297700000000001</v>
      </c>
      <c r="AQ532">
        <v>41.888599999999997</v>
      </c>
      <c r="AR532">
        <v>38.587800000000001</v>
      </c>
      <c r="AS532">
        <v>3.06862E-2</v>
      </c>
      <c r="AT532">
        <v>6.2992699999999999</v>
      </c>
      <c r="AU532">
        <v>39.603099999999998</v>
      </c>
      <c r="AV532">
        <v>40.575600000000001</v>
      </c>
      <c r="AW532">
        <v>10.029199999999999</v>
      </c>
      <c r="AX532">
        <v>2.1153</v>
      </c>
      <c r="AY532">
        <v>1.3775500000000001</v>
      </c>
      <c r="AZ532">
        <v>535.25</v>
      </c>
      <c r="BA532">
        <v>646.20000000000005</v>
      </c>
      <c r="BB532">
        <v>36401.1</v>
      </c>
      <c r="BC532">
        <v>8.3874199999999996E-3</v>
      </c>
      <c r="BD532">
        <v>3.1873400000000003E-2</v>
      </c>
      <c r="BE532">
        <v>0.26353799999999999</v>
      </c>
      <c r="BF532">
        <v>2.3679600000000001</v>
      </c>
      <c r="BG532">
        <v>43.238999999999997</v>
      </c>
      <c r="BH532">
        <v>50.205199999999998</v>
      </c>
      <c r="BI532">
        <v>3.8924400000000001</v>
      </c>
      <c r="BJ532">
        <v>33.244199999999999</v>
      </c>
      <c r="BK532">
        <v>0</v>
      </c>
      <c r="BL532">
        <v>28.050899999999999</v>
      </c>
      <c r="BM532">
        <v>61.779899999999998</v>
      </c>
      <c r="BN532">
        <v>8.5739400000000003</v>
      </c>
      <c r="BO532">
        <v>1.03705</v>
      </c>
      <c r="BP532">
        <v>0.55817300000000003</v>
      </c>
      <c r="BQ532">
        <v>35.679200000000002</v>
      </c>
      <c r="BR532">
        <v>128634</v>
      </c>
    </row>
    <row r="533" spans="1:70" x14ac:dyDescent="0.25">
      <c r="A533">
        <v>32</v>
      </c>
      <c r="B533" s="7">
        <v>45973.545034722221</v>
      </c>
      <c r="C533" t="s">
        <v>128</v>
      </c>
      <c r="D533" s="6" t="s">
        <v>224</v>
      </c>
      <c r="E533" s="6" t="str">
        <f>VLOOKUP(F533,Germplasm!$A$1:$B$21,2,FALSE)</f>
        <v>Edel</v>
      </c>
      <c r="F533" t="s">
        <v>67</v>
      </c>
      <c r="G533" s="6" t="s">
        <v>113</v>
      </c>
      <c r="H533">
        <v>66158.600000000006</v>
      </c>
      <c r="I533">
        <v>433.33100000000002</v>
      </c>
      <c r="J533">
        <v>164582</v>
      </c>
      <c r="K533">
        <v>23.1678</v>
      </c>
      <c r="L533">
        <v>68.343199999999996</v>
      </c>
      <c r="M533">
        <v>1515.4</v>
      </c>
      <c r="N533">
        <v>555.899</v>
      </c>
      <c r="O533">
        <v>35252200</v>
      </c>
      <c r="P533">
        <v>0.24404600000000001</v>
      </c>
      <c r="Q533">
        <v>0.40042699999999998</v>
      </c>
      <c r="R533">
        <v>2.6314799999999998</v>
      </c>
      <c r="S533">
        <v>16.907399999999999</v>
      </c>
      <c r="T533">
        <v>48.112299999999998</v>
      </c>
      <c r="U533">
        <v>31.281700000000001</v>
      </c>
      <c r="V533">
        <v>0.666632</v>
      </c>
      <c r="W533">
        <v>120.185</v>
      </c>
      <c r="X533">
        <v>0.97534100000000001</v>
      </c>
      <c r="Y533">
        <v>1.4816499999999999</v>
      </c>
      <c r="Z533">
        <v>2.9185699999999999</v>
      </c>
      <c r="AA533">
        <v>14.2782</v>
      </c>
      <c r="AB533">
        <v>37.689300000000003</v>
      </c>
      <c r="AC533">
        <v>42.656999999999996</v>
      </c>
      <c r="AD533">
        <v>1.73508</v>
      </c>
      <c r="AE533">
        <v>6.7454799999999997</v>
      </c>
      <c r="AF533">
        <v>0</v>
      </c>
      <c r="AG533">
        <v>99.942599999999999</v>
      </c>
      <c r="AH533">
        <v>5.5925500000000003E-2</v>
      </c>
      <c r="AI533">
        <v>1.49135E-3</v>
      </c>
      <c r="AJ533">
        <v>0</v>
      </c>
      <c r="AK533">
        <v>0</v>
      </c>
      <c r="AL533">
        <v>0.53105400000000003</v>
      </c>
      <c r="AM533">
        <v>0.49288999999999999</v>
      </c>
      <c r="AN533">
        <v>3.0065499999999998</v>
      </c>
      <c r="AO533">
        <v>5.2569999999999997</v>
      </c>
      <c r="AP533">
        <v>12.6563</v>
      </c>
      <c r="AQ533">
        <v>41.940399999999997</v>
      </c>
      <c r="AR533">
        <v>36.646900000000002</v>
      </c>
      <c r="AS533">
        <v>2.4539200000000001E-2</v>
      </c>
      <c r="AT533">
        <v>6.7237400000000003</v>
      </c>
      <c r="AU533">
        <v>42.641300000000001</v>
      </c>
      <c r="AV533">
        <v>36.700499999999998</v>
      </c>
      <c r="AW533">
        <v>10.270200000000001</v>
      </c>
      <c r="AX533">
        <v>2.2027199999999998</v>
      </c>
      <c r="AY533">
        <v>1.4615199999999999</v>
      </c>
      <c r="AZ533">
        <v>532.84400000000005</v>
      </c>
      <c r="BA533">
        <v>632.99900000000002</v>
      </c>
      <c r="BB533">
        <v>38130.1</v>
      </c>
      <c r="BC533">
        <v>8.3949699999999999E-3</v>
      </c>
      <c r="BD533">
        <v>3.8774999999999997E-2</v>
      </c>
      <c r="BE533">
        <v>0.214008</v>
      </c>
      <c r="BF533">
        <v>2.2109200000000002</v>
      </c>
      <c r="BG533">
        <v>46.900599999999997</v>
      </c>
      <c r="BH533">
        <v>45.6419</v>
      </c>
      <c r="BI533">
        <v>4.9937699999999996</v>
      </c>
      <c r="BJ533">
        <v>32.173299999999998</v>
      </c>
      <c r="BK533">
        <v>0</v>
      </c>
      <c r="BL533">
        <v>30.973800000000001</v>
      </c>
      <c r="BM533">
        <v>60.383099999999999</v>
      </c>
      <c r="BN533">
        <v>7.1017900000000003</v>
      </c>
      <c r="BO533">
        <v>0.94476800000000005</v>
      </c>
      <c r="BP533">
        <v>0.59653900000000004</v>
      </c>
      <c r="BQ533">
        <v>35.240600000000001</v>
      </c>
      <c r="BR533">
        <v>134107</v>
      </c>
    </row>
    <row r="534" spans="1:70" x14ac:dyDescent="0.25">
      <c r="A534">
        <v>32</v>
      </c>
      <c r="B534" s="7">
        <v>45988.519780092596</v>
      </c>
      <c r="C534" t="s">
        <v>128</v>
      </c>
      <c r="D534" s="6" t="s">
        <v>225</v>
      </c>
      <c r="E534" s="6" t="str">
        <f>VLOOKUP(F534,Germplasm!$A$1:$B$21,2,FALSE)</f>
        <v>Edel</v>
      </c>
      <c r="F534" t="s">
        <v>67</v>
      </c>
      <c r="G534" s="6" t="s">
        <v>113</v>
      </c>
      <c r="H534">
        <v>42933.1</v>
      </c>
      <c r="I534">
        <v>437.14800000000002</v>
      </c>
      <c r="J534">
        <v>175116</v>
      </c>
      <c r="K534">
        <v>13.7417</v>
      </c>
      <c r="L534">
        <v>63.097900000000003</v>
      </c>
      <c r="M534">
        <v>1613.03</v>
      </c>
      <c r="N534">
        <v>624.68600000000004</v>
      </c>
      <c r="O534">
        <v>23067600</v>
      </c>
      <c r="P534">
        <v>0.135042</v>
      </c>
      <c r="Q534">
        <v>0.91761499999999996</v>
      </c>
      <c r="R534">
        <v>18.1142</v>
      </c>
      <c r="S534">
        <v>33.753700000000002</v>
      </c>
      <c r="T534">
        <v>35.731099999999998</v>
      </c>
      <c r="U534">
        <v>10.740600000000001</v>
      </c>
      <c r="V534">
        <v>0.74273100000000003</v>
      </c>
      <c r="W534">
        <v>80.938999999999993</v>
      </c>
      <c r="X534">
        <v>10.7849</v>
      </c>
      <c r="Y534">
        <v>18.885400000000001</v>
      </c>
      <c r="Z534">
        <v>8.9844100000000005</v>
      </c>
      <c r="AA534">
        <v>21.983799999999999</v>
      </c>
      <c r="AB534">
        <v>20.349799999999998</v>
      </c>
      <c r="AC534">
        <v>19.011800000000001</v>
      </c>
      <c r="AD534">
        <v>1.78413</v>
      </c>
      <c r="AE534">
        <v>12.2196</v>
      </c>
      <c r="AF534">
        <v>0</v>
      </c>
      <c r="AG534">
        <v>92.667500000000004</v>
      </c>
      <c r="AH534">
        <v>7.3293299999999997</v>
      </c>
      <c r="AI534">
        <v>3.1605600000000002E-3</v>
      </c>
      <c r="AJ534">
        <v>0</v>
      </c>
      <c r="AK534">
        <v>0</v>
      </c>
      <c r="AL534">
        <v>0.286273</v>
      </c>
      <c r="AM534">
        <v>6.0324499999999999</v>
      </c>
      <c r="AN534">
        <v>26.982700000000001</v>
      </c>
      <c r="AO534">
        <v>19.725000000000001</v>
      </c>
      <c r="AP534">
        <v>21.398</v>
      </c>
      <c r="AQ534">
        <v>19.661799999999999</v>
      </c>
      <c r="AR534">
        <v>6.1999599999999999</v>
      </c>
      <c r="AS534">
        <v>0.17156099999999999</v>
      </c>
      <c r="AT534">
        <v>1.58765</v>
      </c>
      <c r="AU534">
        <v>18.592500000000001</v>
      </c>
      <c r="AV534">
        <v>36.2727</v>
      </c>
      <c r="AW534">
        <v>34.204599999999999</v>
      </c>
      <c r="AX534">
        <v>6.3400800000000004</v>
      </c>
      <c r="AY534">
        <v>3.0025300000000001</v>
      </c>
      <c r="AZ534">
        <v>537.29</v>
      </c>
      <c r="BA534">
        <v>577.79899999999998</v>
      </c>
      <c r="BB534">
        <v>24063.9</v>
      </c>
      <c r="BC534">
        <v>0.1704</v>
      </c>
      <c r="BD534">
        <v>6.1104100000000001E-2</v>
      </c>
      <c r="BE534">
        <v>0.290771</v>
      </c>
      <c r="BF534">
        <v>1.21471</v>
      </c>
      <c r="BG534">
        <v>18.613600000000002</v>
      </c>
      <c r="BH534">
        <v>38.9876</v>
      </c>
      <c r="BI534">
        <v>40.832299999999996</v>
      </c>
      <c r="BJ534">
        <v>30.009599999999999</v>
      </c>
      <c r="BK534">
        <v>0</v>
      </c>
      <c r="BL534">
        <v>38.966500000000003</v>
      </c>
      <c r="BM534">
        <v>53.426000000000002</v>
      </c>
      <c r="BN534">
        <v>5.26654</v>
      </c>
      <c r="BO534">
        <v>1.4370000000000001</v>
      </c>
      <c r="BP534">
        <v>0.90391900000000003</v>
      </c>
      <c r="BQ534">
        <v>34.125700000000002</v>
      </c>
      <c r="BR534">
        <v>94920</v>
      </c>
    </row>
    <row r="535" spans="1:70" x14ac:dyDescent="0.25">
      <c r="A535">
        <v>32</v>
      </c>
      <c r="B535" s="7">
        <v>45994.531909722224</v>
      </c>
      <c r="C535" t="s">
        <v>128</v>
      </c>
      <c r="D535" s="6" t="s">
        <v>226</v>
      </c>
      <c r="E535" s="6" t="str">
        <f>VLOOKUP(F535,Germplasm!$A$1:$B$21,2,FALSE)</f>
        <v>Edel</v>
      </c>
      <c r="F535" t="s">
        <v>67</v>
      </c>
      <c r="G535" s="6" t="s">
        <v>113</v>
      </c>
      <c r="H535">
        <v>44402.3</v>
      </c>
      <c r="I535">
        <v>460.57499999999999</v>
      </c>
      <c r="J535">
        <v>134781</v>
      </c>
      <c r="K535">
        <v>18.2988</v>
      </c>
      <c r="L535">
        <v>71.268100000000004</v>
      </c>
      <c r="M535">
        <v>1441.77</v>
      </c>
      <c r="N535">
        <v>516.029</v>
      </c>
      <c r="O535">
        <v>24239200</v>
      </c>
      <c r="P535">
        <v>0.13083400000000001</v>
      </c>
      <c r="Q535">
        <v>0.67005499999999996</v>
      </c>
      <c r="R535">
        <v>18.4712</v>
      </c>
      <c r="S535">
        <v>36.335700000000003</v>
      </c>
      <c r="T535">
        <v>33.192399999999999</v>
      </c>
      <c r="U535">
        <v>10.8575</v>
      </c>
      <c r="V535">
        <v>0.47315800000000002</v>
      </c>
      <c r="W535">
        <v>78.134799999999998</v>
      </c>
      <c r="X535">
        <v>10.4848</v>
      </c>
      <c r="Y535">
        <v>20.3367</v>
      </c>
      <c r="Z535">
        <v>10.4346</v>
      </c>
      <c r="AA535">
        <v>21.8597</v>
      </c>
      <c r="AB535">
        <v>19.952000000000002</v>
      </c>
      <c r="AC535">
        <v>16.932200000000002</v>
      </c>
      <c r="AD535">
        <v>1.8003400000000001</v>
      </c>
      <c r="AE535">
        <v>12.417299999999999</v>
      </c>
      <c r="AF535">
        <v>0</v>
      </c>
      <c r="AG535">
        <v>92.332999999999998</v>
      </c>
      <c r="AH535">
        <v>7.6639499999999998</v>
      </c>
      <c r="AI535">
        <v>3.01374E-3</v>
      </c>
      <c r="AJ535">
        <v>0</v>
      </c>
      <c r="AK535">
        <v>0</v>
      </c>
      <c r="AL535">
        <v>0.26747799999999999</v>
      </c>
      <c r="AM535">
        <v>6.6051200000000003</v>
      </c>
      <c r="AN535">
        <v>30.336300000000001</v>
      </c>
      <c r="AO535">
        <v>19.867599999999999</v>
      </c>
      <c r="AP535">
        <v>20.0776</v>
      </c>
      <c r="AQ535">
        <v>17.386299999999999</v>
      </c>
      <c r="AR535">
        <v>5.7271200000000002</v>
      </c>
      <c r="AS535">
        <v>0.17383299999999999</v>
      </c>
      <c r="AT535">
        <v>1.41947</v>
      </c>
      <c r="AU535">
        <v>16.389700000000001</v>
      </c>
      <c r="AV535">
        <v>37.704900000000002</v>
      </c>
      <c r="AW535">
        <v>35.7209</v>
      </c>
      <c r="AX535">
        <v>6.43032</v>
      </c>
      <c r="AY535">
        <v>2.3346499999999999</v>
      </c>
      <c r="AZ535">
        <v>545.9</v>
      </c>
      <c r="BA535">
        <v>600.6</v>
      </c>
      <c r="BB535">
        <v>24663.4</v>
      </c>
      <c r="BC535">
        <v>0.18045700000000001</v>
      </c>
      <c r="BD535">
        <v>4.5206099999999999E-2</v>
      </c>
      <c r="BE535">
        <v>0.26520899999999997</v>
      </c>
      <c r="BF535">
        <v>1.2055</v>
      </c>
      <c r="BG535">
        <v>16.293299999999999</v>
      </c>
      <c r="BH535">
        <v>39.1706</v>
      </c>
      <c r="BI535">
        <v>43.020200000000003</v>
      </c>
      <c r="BJ535">
        <v>29.276700000000002</v>
      </c>
      <c r="BK535">
        <v>0</v>
      </c>
      <c r="BL535">
        <v>41.399799999999999</v>
      </c>
      <c r="BM535">
        <v>51.248699999999999</v>
      </c>
      <c r="BN535">
        <v>5.6206300000000002</v>
      </c>
      <c r="BO535">
        <v>1.2205699999999999</v>
      </c>
      <c r="BP535">
        <v>0.51032699999999998</v>
      </c>
      <c r="BQ535">
        <v>33.777500000000003</v>
      </c>
      <c r="BR535">
        <v>99544</v>
      </c>
    </row>
    <row r="536" spans="1:70" x14ac:dyDescent="0.25">
      <c r="A536">
        <v>32</v>
      </c>
      <c r="B536" s="7">
        <v>45994.532407407409</v>
      </c>
      <c r="C536" t="s">
        <v>128</v>
      </c>
      <c r="D536" s="6" t="s">
        <v>227</v>
      </c>
      <c r="E536" s="6" t="str">
        <f>VLOOKUP(F536,Germplasm!$A$1:$B$21,2,FALSE)</f>
        <v>Edel</v>
      </c>
      <c r="F536" t="s">
        <v>67</v>
      </c>
      <c r="G536" s="6" t="s">
        <v>113</v>
      </c>
      <c r="H536">
        <v>43598.5</v>
      </c>
      <c r="I536">
        <v>459.488</v>
      </c>
      <c r="J536">
        <v>142236</v>
      </c>
      <c r="K536">
        <v>16.872900000000001</v>
      </c>
      <c r="L536">
        <v>76.988200000000006</v>
      </c>
      <c r="M536">
        <v>1455.07</v>
      </c>
      <c r="N536">
        <v>511.08199999999999</v>
      </c>
      <c r="O536">
        <v>23712300</v>
      </c>
      <c r="P536">
        <v>0.12946299999999999</v>
      </c>
      <c r="Q536">
        <v>0.73722399999999999</v>
      </c>
      <c r="R536">
        <v>18.6511</v>
      </c>
      <c r="S536">
        <v>36.366999999999997</v>
      </c>
      <c r="T536">
        <v>33.207900000000002</v>
      </c>
      <c r="U536">
        <v>10.5754</v>
      </c>
      <c r="V536">
        <v>0.46140599999999998</v>
      </c>
      <c r="W536">
        <v>77.866100000000003</v>
      </c>
      <c r="X536">
        <v>10.7056</v>
      </c>
      <c r="Y536">
        <v>20.2075</v>
      </c>
      <c r="Z536">
        <v>10.4473</v>
      </c>
      <c r="AA536">
        <v>22.075700000000001</v>
      </c>
      <c r="AB536">
        <v>19.717400000000001</v>
      </c>
      <c r="AC536">
        <v>16.846399999999999</v>
      </c>
      <c r="AD536">
        <v>1.8166500000000001</v>
      </c>
      <c r="AE536">
        <v>12.4259</v>
      </c>
      <c r="AF536">
        <v>0</v>
      </c>
      <c r="AG536">
        <v>92.106899999999996</v>
      </c>
      <c r="AH536">
        <v>7.8869699999999998</v>
      </c>
      <c r="AI536">
        <v>6.1520799999999999E-3</v>
      </c>
      <c r="AJ536">
        <v>0</v>
      </c>
      <c r="AK536">
        <v>0</v>
      </c>
      <c r="AL536">
        <v>0.26642500000000002</v>
      </c>
      <c r="AM536">
        <v>6.48942</v>
      </c>
      <c r="AN536">
        <v>30.420999999999999</v>
      </c>
      <c r="AO536">
        <v>20.0671</v>
      </c>
      <c r="AP536">
        <v>20.4023</v>
      </c>
      <c r="AQ536">
        <v>16.894600000000001</v>
      </c>
      <c r="AR536">
        <v>5.7255399999999996</v>
      </c>
      <c r="AS536">
        <v>0.17438400000000001</v>
      </c>
      <c r="AT536">
        <v>1.23247</v>
      </c>
      <c r="AU536">
        <v>16.506</v>
      </c>
      <c r="AV536">
        <v>37.892699999999998</v>
      </c>
      <c r="AW536">
        <v>35.701500000000003</v>
      </c>
      <c r="AX536">
        <v>6.2843499999999999</v>
      </c>
      <c r="AY536">
        <v>2.3829099999999999</v>
      </c>
      <c r="AZ536">
        <v>543.87900000000002</v>
      </c>
      <c r="BA536">
        <v>598.79899999999998</v>
      </c>
      <c r="BB536">
        <v>23999.4</v>
      </c>
      <c r="BC536">
        <v>0.179948</v>
      </c>
      <c r="BD536">
        <v>4.1013899999999999E-2</v>
      </c>
      <c r="BE536">
        <v>0.265565</v>
      </c>
      <c r="BF536">
        <v>1.1330100000000001</v>
      </c>
      <c r="BG536">
        <v>16.296900000000001</v>
      </c>
      <c r="BH536">
        <v>39.531199999999998</v>
      </c>
      <c r="BI536">
        <v>42.732300000000002</v>
      </c>
      <c r="BJ536">
        <v>29.145900000000001</v>
      </c>
      <c r="BK536">
        <v>0</v>
      </c>
      <c r="BL536">
        <v>41.924399999999999</v>
      </c>
      <c r="BM536">
        <v>50.7834</v>
      </c>
      <c r="BN536">
        <v>5.5071399999999997</v>
      </c>
      <c r="BO536">
        <v>1.2150399999999999</v>
      </c>
      <c r="BP536">
        <v>0.57009299999999996</v>
      </c>
      <c r="BQ536">
        <v>33.433</v>
      </c>
      <c r="BR536">
        <v>97528</v>
      </c>
    </row>
    <row r="537" spans="1:70" x14ac:dyDescent="0.25">
      <c r="A537">
        <v>32</v>
      </c>
      <c r="B537" s="7">
        <v>46002.577800925923</v>
      </c>
      <c r="C537" t="s">
        <v>128</v>
      </c>
      <c r="D537" s="6" t="s">
        <v>228</v>
      </c>
      <c r="E537" s="6" t="str">
        <f>VLOOKUP(F537,Germplasm!$A$1:$B$21,2,FALSE)</f>
        <v>Edel</v>
      </c>
      <c r="F537" t="s">
        <v>67</v>
      </c>
      <c r="G537" s="6" t="s">
        <v>113</v>
      </c>
      <c r="H537">
        <v>33622.699999999997</v>
      </c>
      <c r="I537">
        <v>508.63400000000001</v>
      </c>
      <c r="J537">
        <v>103574</v>
      </c>
      <c r="K537">
        <v>17.930099999999999</v>
      </c>
      <c r="L537">
        <v>84.573400000000007</v>
      </c>
      <c r="M537">
        <v>1252.43</v>
      </c>
      <c r="N537">
        <v>438.76799999999997</v>
      </c>
      <c r="O537">
        <v>17939200</v>
      </c>
      <c r="P537">
        <v>6.3458899999999999E-2</v>
      </c>
      <c r="Q537">
        <v>0.78346800000000005</v>
      </c>
      <c r="R537">
        <v>25.310700000000001</v>
      </c>
      <c r="S537">
        <v>55.72</v>
      </c>
      <c r="T537">
        <v>14.4908</v>
      </c>
      <c r="U537">
        <v>3.59592</v>
      </c>
      <c r="V537">
        <v>9.9105399999999996E-2</v>
      </c>
      <c r="W537">
        <v>46.983199999999997</v>
      </c>
      <c r="X537">
        <v>14.4962</v>
      </c>
      <c r="Y537">
        <v>46.271500000000003</v>
      </c>
      <c r="Z537">
        <v>18.754999999999999</v>
      </c>
      <c r="AA537">
        <v>10.8735</v>
      </c>
      <c r="AB537">
        <v>3.7767200000000001</v>
      </c>
      <c r="AC537">
        <v>5.8271300000000004</v>
      </c>
      <c r="AD537">
        <v>1.8105</v>
      </c>
      <c r="AE537">
        <v>17.953299999999999</v>
      </c>
      <c r="AF537">
        <v>0</v>
      </c>
      <c r="AG537">
        <v>77.225899999999996</v>
      </c>
      <c r="AH537">
        <v>22.6389</v>
      </c>
      <c r="AI537">
        <v>0.135265</v>
      </c>
      <c r="AJ537">
        <v>0</v>
      </c>
      <c r="AK537">
        <v>0</v>
      </c>
      <c r="AL537">
        <v>0.108547</v>
      </c>
      <c r="AM537">
        <v>17.466699999999999</v>
      </c>
      <c r="AN537">
        <v>54.741</v>
      </c>
      <c r="AO537">
        <v>15.848800000000001</v>
      </c>
      <c r="AP537">
        <v>8.2310999999999996</v>
      </c>
      <c r="AQ537">
        <v>3.0789599999999999</v>
      </c>
      <c r="AR537">
        <v>0.63347100000000001</v>
      </c>
      <c r="AS537">
        <v>0.27437699999999998</v>
      </c>
      <c r="AT537">
        <v>0.56249000000000005</v>
      </c>
      <c r="AU537">
        <v>3.7753800000000002</v>
      </c>
      <c r="AV537">
        <v>26.2027</v>
      </c>
      <c r="AW537">
        <v>51.438400000000001</v>
      </c>
      <c r="AX537">
        <v>14.6904</v>
      </c>
      <c r="AY537">
        <v>3.33074</v>
      </c>
      <c r="AZ537">
        <v>533.54499999999996</v>
      </c>
      <c r="BA537">
        <v>593.99900000000002</v>
      </c>
      <c r="BB537">
        <v>18570.900000000001</v>
      </c>
      <c r="BC537">
        <v>0.33417599999999997</v>
      </c>
      <c r="BD537">
        <v>9.3748300000000007E-2</v>
      </c>
      <c r="BE537">
        <v>0.31472699999999998</v>
      </c>
      <c r="BF537">
        <v>0.612043</v>
      </c>
      <c r="BG537">
        <v>3.3173499999999998</v>
      </c>
      <c r="BH537">
        <v>16.0778</v>
      </c>
      <c r="BI537">
        <v>79.584299999999999</v>
      </c>
      <c r="BJ537">
        <v>30.651399999999999</v>
      </c>
      <c r="BK537">
        <v>0</v>
      </c>
      <c r="BL537">
        <v>38.237299999999998</v>
      </c>
      <c r="BM537">
        <v>53.369599999999998</v>
      </c>
      <c r="BN537">
        <v>6.4753299999999996</v>
      </c>
      <c r="BO537">
        <v>1.4222999999999999</v>
      </c>
      <c r="BP537">
        <v>0.495527</v>
      </c>
      <c r="BQ537">
        <v>33.553800000000003</v>
      </c>
      <c r="BR537">
        <v>74668</v>
      </c>
    </row>
    <row r="538" spans="1:70" x14ac:dyDescent="0.25">
      <c r="A538">
        <v>32</v>
      </c>
      <c r="B538" s="7">
        <v>46013.592499999999</v>
      </c>
      <c r="C538" t="s">
        <v>128</v>
      </c>
      <c r="D538" s="6" t="s">
        <v>229</v>
      </c>
      <c r="E538" s="6" t="str">
        <f>VLOOKUP(F538,Germplasm!$A$1:$B$21,2,FALSE)</f>
        <v>Edel</v>
      </c>
      <c r="F538" t="s">
        <v>67</v>
      </c>
      <c r="G538" s="6" t="s">
        <v>113</v>
      </c>
      <c r="H538">
        <v>33627.4</v>
      </c>
      <c r="I538">
        <v>456.08600000000001</v>
      </c>
      <c r="J538">
        <v>94276.2</v>
      </c>
      <c r="K538">
        <v>21.085000000000001</v>
      </c>
      <c r="L538">
        <v>53.155099999999997</v>
      </c>
      <c r="M538">
        <v>1283.21</v>
      </c>
      <c r="N538">
        <v>535.82000000000005</v>
      </c>
      <c r="O538">
        <v>16282400</v>
      </c>
      <c r="P538">
        <v>7.51281E-3</v>
      </c>
      <c r="Q538">
        <v>0.75005200000000005</v>
      </c>
      <c r="R538">
        <v>39.641100000000002</v>
      </c>
      <c r="S538">
        <v>58.404600000000002</v>
      </c>
      <c r="T538">
        <v>1.0704499999999999</v>
      </c>
      <c r="U538">
        <v>0.12275800000000001</v>
      </c>
      <c r="V538">
        <v>1.1048199999999999E-2</v>
      </c>
      <c r="W538">
        <v>34.655299999999997</v>
      </c>
      <c r="X538">
        <v>21.747800000000002</v>
      </c>
      <c r="Y538">
        <v>57.983600000000003</v>
      </c>
      <c r="Z538">
        <v>8.9146999999999998</v>
      </c>
      <c r="AA538">
        <v>2.4416600000000002</v>
      </c>
      <c r="AB538">
        <v>1.0581799999999999</v>
      </c>
      <c r="AC538">
        <v>7.8540599999999996</v>
      </c>
      <c r="AD538">
        <v>1.6916800000000001</v>
      </c>
      <c r="AE538">
        <v>21.608899999999998</v>
      </c>
      <c r="AF538">
        <v>0</v>
      </c>
      <c r="AG538">
        <v>65.729600000000005</v>
      </c>
      <c r="AH538">
        <v>33.925400000000003</v>
      </c>
      <c r="AI538">
        <v>0.34494999999999998</v>
      </c>
      <c r="AJ538">
        <v>0</v>
      </c>
      <c r="AK538">
        <v>0</v>
      </c>
      <c r="AL538">
        <v>4.6171299999999998E-2</v>
      </c>
      <c r="AM538">
        <v>27.014199999999999</v>
      </c>
      <c r="AN538">
        <v>61.701900000000002</v>
      </c>
      <c r="AO538">
        <v>8.71828</v>
      </c>
      <c r="AP538">
        <v>1.9395800000000001</v>
      </c>
      <c r="AQ538">
        <v>0.50330799999999998</v>
      </c>
      <c r="AR538">
        <v>0.12275800000000001</v>
      </c>
      <c r="AS538">
        <v>0.23063600000000001</v>
      </c>
      <c r="AT538">
        <v>0.67148699999999995</v>
      </c>
      <c r="AU538">
        <v>4.6648100000000001</v>
      </c>
      <c r="AV538">
        <v>34.766300000000001</v>
      </c>
      <c r="AW538">
        <v>51.474899999999998</v>
      </c>
      <c r="AX538">
        <v>6.4902199999999999</v>
      </c>
      <c r="AY538">
        <v>1.93221</v>
      </c>
      <c r="AZ538">
        <v>484.20100000000002</v>
      </c>
      <c r="BA538">
        <v>529.79899999999998</v>
      </c>
      <c r="BB538">
        <v>19878.099999999999</v>
      </c>
      <c r="BC538">
        <v>0.32052900000000001</v>
      </c>
      <c r="BD538">
        <v>0.11662</v>
      </c>
      <c r="BE538">
        <v>0.67885200000000001</v>
      </c>
      <c r="BF538">
        <v>1.2202200000000001</v>
      </c>
      <c r="BG538">
        <v>3.3206099999999998</v>
      </c>
      <c r="BH538">
        <v>12.771800000000001</v>
      </c>
      <c r="BI538">
        <v>81.891900000000007</v>
      </c>
      <c r="BJ538">
        <v>24.716100000000001</v>
      </c>
      <c r="BK538">
        <v>0</v>
      </c>
      <c r="BL538">
        <v>55.975299999999997</v>
      </c>
      <c r="BM538">
        <v>40.427900000000001</v>
      </c>
      <c r="BN538">
        <v>2.4981300000000002</v>
      </c>
      <c r="BO538">
        <v>0.76355600000000001</v>
      </c>
      <c r="BP538">
        <v>0.33512999999999998</v>
      </c>
      <c r="BQ538">
        <v>36.269300000000001</v>
      </c>
      <c r="BR538">
        <v>81461</v>
      </c>
    </row>
    <row r="539" spans="1:70" x14ac:dyDescent="0.25">
      <c r="A539">
        <v>32</v>
      </c>
      <c r="B539" s="7">
        <v>46024.540335648147</v>
      </c>
      <c r="C539" t="s">
        <v>128</v>
      </c>
      <c r="D539" s="6" t="s">
        <v>230</v>
      </c>
      <c r="E539" s="6" t="str">
        <f>VLOOKUP(F539,Germplasm!$A$1:$B$21,2,FALSE)</f>
        <v>Edel</v>
      </c>
      <c r="F539" t="s">
        <v>67</v>
      </c>
      <c r="G539" s="6" t="s">
        <v>113</v>
      </c>
      <c r="H539">
        <v>29971.5</v>
      </c>
      <c r="I539">
        <v>468.43900000000002</v>
      </c>
      <c r="J539">
        <v>99719.6</v>
      </c>
      <c r="K539">
        <v>16.649799999999999</v>
      </c>
      <c r="L539">
        <v>55.422800000000002</v>
      </c>
      <c r="M539">
        <v>1275.77</v>
      </c>
      <c r="N539">
        <v>515.00099999999998</v>
      </c>
      <c r="O539">
        <v>14462600</v>
      </c>
      <c r="P539">
        <v>6.6314E-3</v>
      </c>
      <c r="Q539">
        <v>0.81894400000000001</v>
      </c>
      <c r="R539">
        <v>39.722499999999997</v>
      </c>
      <c r="S539">
        <v>58.469299999999997</v>
      </c>
      <c r="T539">
        <v>0.86189000000000004</v>
      </c>
      <c r="U539">
        <v>0.115511</v>
      </c>
      <c r="V539">
        <v>1.18473E-2</v>
      </c>
      <c r="W539">
        <v>34.940199999999997</v>
      </c>
      <c r="X539">
        <v>21.763500000000001</v>
      </c>
      <c r="Y539">
        <v>58.267899999999997</v>
      </c>
      <c r="Z539">
        <v>9.0513300000000001</v>
      </c>
      <c r="AA539">
        <v>2.40944</v>
      </c>
      <c r="AB539">
        <v>1.0277499999999999</v>
      </c>
      <c r="AC539">
        <v>7.4800800000000001</v>
      </c>
      <c r="AD539">
        <v>1.8051699999999999</v>
      </c>
      <c r="AE539">
        <v>23.604800000000001</v>
      </c>
      <c r="AF539">
        <v>0</v>
      </c>
      <c r="AG539">
        <v>57.671100000000003</v>
      </c>
      <c r="AH539">
        <v>40.994599999999998</v>
      </c>
      <c r="AI539">
        <v>1.3343</v>
      </c>
      <c r="AJ539">
        <v>0</v>
      </c>
      <c r="AK539">
        <v>0</v>
      </c>
      <c r="AL539">
        <v>4.5929699999999997E-2</v>
      </c>
      <c r="AM539">
        <v>26.965900000000001</v>
      </c>
      <c r="AN539">
        <v>61.995399999999997</v>
      </c>
      <c r="AO539">
        <v>8.3656699999999997</v>
      </c>
      <c r="AP539">
        <v>2.0673499999999998</v>
      </c>
      <c r="AQ539">
        <v>0.50795299999999999</v>
      </c>
      <c r="AR539">
        <v>9.7740099999999996E-2</v>
      </c>
      <c r="AS539">
        <v>0.22820099999999999</v>
      </c>
      <c r="AT539">
        <v>0.93149300000000002</v>
      </c>
      <c r="AU539">
        <v>4.3642399999999997</v>
      </c>
      <c r="AV539">
        <v>36.431899999999999</v>
      </c>
      <c r="AW539">
        <v>49.985199999999999</v>
      </c>
      <c r="AX539">
        <v>5.5800700000000001</v>
      </c>
      <c r="AY539">
        <v>2.7071100000000001</v>
      </c>
      <c r="AZ539">
        <v>482.54399999999998</v>
      </c>
      <c r="BA539">
        <v>529.19899999999996</v>
      </c>
      <c r="BB539">
        <v>16603.099999999999</v>
      </c>
      <c r="BC539">
        <v>0.31118299999999999</v>
      </c>
      <c r="BD539">
        <v>0.316915</v>
      </c>
      <c r="BE539">
        <v>0.77155499999999999</v>
      </c>
      <c r="BF539">
        <v>1.11365</v>
      </c>
      <c r="BG539">
        <v>3.0921400000000001</v>
      </c>
      <c r="BH539">
        <v>12.885400000000001</v>
      </c>
      <c r="BI539">
        <v>81.820300000000003</v>
      </c>
      <c r="BJ539">
        <v>24.537099999999999</v>
      </c>
      <c r="BK539">
        <v>0</v>
      </c>
      <c r="BL539">
        <v>58.629300000000001</v>
      </c>
      <c r="BM539">
        <v>36.822899999999997</v>
      </c>
      <c r="BN539">
        <v>3.0521600000000002</v>
      </c>
      <c r="BO539">
        <v>1.1536299999999999</v>
      </c>
      <c r="BP539">
        <v>0.34209000000000001</v>
      </c>
      <c r="BQ539">
        <v>33.661799999999999</v>
      </c>
      <c r="BR539">
        <v>67526</v>
      </c>
    </row>
    <row r="540" spans="1:70" x14ac:dyDescent="0.25">
      <c r="A540">
        <v>45</v>
      </c>
      <c r="B540" s="7">
        <v>45952.572280092594</v>
      </c>
      <c r="C540" t="s">
        <v>171</v>
      </c>
      <c r="D540" s="6" t="s">
        <v>344</v>
      </c>
      <c r="E540" s="6" t="str">
        <f>VLOOKUP(F540,Germplasm!$A$1:$B$21,2,FALSE)</f>
        <v>Heder</v>
      </c>
      <c r="F540" t="s">
        <v>77</v>
      </c>
      <c r="G540" s="6" t="s">
        <v>113</v>
      </c>
      <c r="H540">
        <v>24305.8</v>
      </c>
      <c r="I540">
        <v>249.07</v>
      </c>
      <c r="J540">
        <v>121730</v>
      </c>
      <c r="K540">
        <v>11.8155</v>
      </c>
      <c r="L540">
        <v>74.347999999999999</v>
      </c>
      <c r="M540">
        <v>1319.67</v>
      </c>
      <c r="N540">
        <v>489.24799999999999</v>
      </c>
      <c r="O540">
        <v>7618160</v>
      </c>
      <c r="P540">
        <v>0.224718</v>
      </c>
      <c r="Q540">
        <v>0.44143399999999999</v>
      </c>
      <c r="R540">
        <v>3.68607</v>
      </c>
      <c r="S540">
        <v>20.1981</v>
      </c>
      <c r="T540">
        <v>48.773299999999999</v>
      </c>
      <c r="U540">
        <v>26.764700000000001</v>
      </c>
      <c r="V540">
        <v>0.136295</v>
      </c>
      <c r="W540">
        <v>119.255</v>
      </c>
      <c r="X540">
        <v>0.66927099999999995</v>
      </c>
      <c r="Y540">
        <v>1.5745100000000001</v>
      </c>
      <c r="Z540">
        <v>3.27515</v>
      </c>
      <c r="AA540">
        <v>16.510000000000002</v>
      </c>
      <c r="AB540">
        <v>37.967399999999998</v>
      </c>
      <c r="AC540">
        <v>40.003700000000002</v>
      </c>
      <c r="AD540">
        <v>1.6898899999999999</v>
      </c>
      <c r="AE540">
        <v>7.5421500000000004</v>
      </c>
      <c r="AF540">
        <v>0</v>
      </c>
      <c r="AG540">
        <v>99.841300000000004</v>
      </c>
      <c r="AH540">
        <v>0.15867200000000001</v>
      </c>
      <c r="AI540">
        <v>0</v>
      </c>
      <c r="AJ540">
        <v>0</v>
      </c>
      <c r="AK540">
        <v>0</v>
      </c>
      <c r="AL540">
        <v>0.51663000000000003</v>
      </c>
      <c r="AM540">
        <v>0.39057700000000001</v>
      </c>
      <c r="AN540">
        <v>1.9223699999999999</v>
      </c>
      <c r="AO540">
        <v>4.7642300000000004</v>
      </c>
      <c r="AP540">
        <v>17.7957</v>
      </c>
      <c r="AQ540">
        <v>47.318800000000003</v>
      </c>
      <c r="AR540">
        <v>27.808299999999999</v>
      </c>
      <c r="AS540">
        <v>1.49377E-2</v>
      </c>
      <c r="AT540">
        <v>8.4075799999999994</v>
      </c>
      <c r="AU540">
        <v>37.578800000000001</v>
      </c>
      <c r="AV540">
        <v>42.949300000000001</v>
      </c>
      <c r="AW540">
        <v>9.1561900000000005</v>
      </c>
      <c r="AX540">
        <v>1.3487100000000001</v>
      </c>
      <c r="AY540">
        <v>0.55942099999999995</v>
      </c>
      <c r="AZ540">
        <v>313.43</v>
      </c>
      <c r="BA540">
        <v>324.41199999999998</v>
      </c>
      <c r="BB540">
        <v>14383.1</v>
      </c>
      <c r="BC540">
        <v>2.37082E-3</v>
      </c>
      <c r="BD540">
        <v>3.4582399999999999E-2</v>
      </c>
      <c r="BE540">
        <v>0.55331799999999998</v>
      </c>
      <c r="BF540">
        <v>3.6575899999999999</v>
      </c>
      <c r="BG540">
        <v>41.740900000000003</v>
      </c>
      <c r="BH540">
        <v>50.630600000000001</v>
      </c>
      <c r="BI540">
        <v>3.3829699999999998</v>
      </c>
      <c r="BJ540">
        <v>30.114999999999998</v>
      </c>
      <c r="BK540">
        <v>0</v>
      </c>
      <c r="BL540">
        <v>35.398099999999999</v>
      </c>
      <c r="BM540">
        <v>58.965000000000003</v>
      </c>
      <c r="BN540">
        <v>5.1242900000000002</v>
      </c>
      <c r="BO540">
        <v>0.38244</v>
      </c>
      <c r="BP540">
        <v>0.130192</v>
      </c>
      <c r="BQ540">
        <v>36.300699999999999</v>
      </c>
      <c r="BR540">
        <v>49158</v>
      </c>
    </row>
    <row r="541" spans="1:70" x14ac:dyDescent="0.25">
      <c r="A541">
        <v>45</v>
      </c>
      <c r="B541" s="7">
        <v>45959.538391203707</v>
      </c>
      <c r="C541" t="s">
        <v>171</v>
      </c>
      <c r="D541" s="6" t="s">
        <v>345</v>
      </c>
      <c r="E541" s="6" t="str">
        <f>VLOOKUP(F541,Germplasm!$A$1:$B$21,2,FALSE)</f>
        <v>Heder</v>
      </c>
      <c r="F541" t="s">
        <v>77</v>
      </c>
      <c r="G541" s="6" t="s">
        <v>113</v>
      </c>
      <c r="H541">
        <v>49052.3</v>
      </c>
      <c r="I541">
        <v>326.84500000000003</v>
      </c>
      <c r="J541">
        <v>136678</v>
      </c>
      <c r="K541">
        <v>21.214500000000001</v>
      </c>
      <c r="L541">
        <v>67.697500000000005</v>
      </c>
      <c r="M541">
        <v>1433.3</v>
      </c>
      <c r="N541">
        <v>540.93700000000001</v>
      </c>
      <c r="O541">
        <v>20045000</v>
      </c>
      <c r="P541">
        <v>0.210928</v>
      </c>
      <c r="Q541">
        <v>0.67319899999999999</v>
      </c>
      <c r="R541">
        <v>3.68866</v>
      </c>
      <c r="S541">
        <v>24.166499999999999</v>
      </c>
      <c r="T541">
        <v>49.005099999999999</v>
      </c>
      <c r="U541">
        <v>21.9895</v>
      </c>
      <c r="V541">
        <v>0.477016</v>
      </c>
      <c r="W541">
        <v>126.239</v>
      </c>
      <c r="X541">
        <v>0.780752</v>
      </c>
      <c r="Y541">
        <v>1.31254</v>
      </c>
      <c r="Z541">
        <v>2.6928000000000001</v>
      </c>
      <c r="AA541">
        <v>11.6366</v>
      </c>
      <c r="AB541">
        <v>31.553699999999999</v>
      </c>
      <c r="AC541">
        <v>52.023600000000002</v>
      </c>
      <c r="AD541">
        <v>1.6917199999999999</v>
      </c>
      <c r="AE541">
        <v>6.7180900000000001</v>
      </c>
      <c r="AF541">
        <v>0</v>
      </c>
      <c r="AG541">
        <v>99.953199999999995</v>
      </c>
      <c r="AH541">
        <v>4.3817700000000001E-2</v>
      </c>
      <c r="AI541">
        <v>2.9875700000000002E-3</v>
      </c>
      <c r="AJ541">
        <v>0</v>
      </c>
      <c r="AK541">
        <v>0</v>
      </c>
      <c r="AL541">
        <v>0.52288299999999999</v>
      </c>
      <c r="AM541">
        <v>0.41626800000000003</v>
      </c>
      <c r="AN541">
        <v>2.0604300000000002</v>
      </c>
      <c r="AO541">
        <v>5.3258400000000004</v>
      </c>
      <c r="AP541">
        <v>16.428699999999999</v>
      </c>
      <c r="AQ541">
        <v>44.322600000000001</v>
      </c>
      <c r="AR541">
        <v>31.446200000000001</v>
      </c>
      <c r="AS541">
        <v>-1.49827E-2</v>
      </c>
      <c r="AT541">
        <v>9.7862899999999993</v>
      </c>
      <c r="AU541">
        <v>47.907699999999998</v>
      </c>
      <c r="AV541">
        <v>33.8611</v>
      </c>
      <c r="AW541">
        <v>6.1454300000000002</v>
      </c>
      <c r="AX541">
        <v>1.2398400000000001</v>
      </c>
      <c r="AY541">
        <v>1.05959</v>
      </c>
      <c r="AZ541">
        <v>408.64499999999998</v>
      </c>
      <c r="BA541">
        <v>497.99900000000002</v>
      </c>
      <c r="BB541">
        <v>28995.5</v>
      </c>
      <c r="BC541">
        <v>-1.8261400000000001E-2</v>
      </c>
      <c r="BD541">
        <v>4.58094E-2</v>
      </c>
      <c r="BE541">
        <v>0.55568799999999996</v>
      </c>
      <c r="BF541">
        <v>3.93662</v>
      </c>
      <c r="BG541">
        <v>53.154899999999998</v>
      </c>
      <c r="BH541">
        <v>39.213900000000002</v>
      </c>
      <c r="BI541">
        <v>3.0931299999999999</v>
      </c>
      <c r="BJ541">
        <v>29.020299999999999</v>
      </c>
      <c r="BK541">
        <v>0</v>
      </c>
      <c r="BL541">
        <v>41.788200000000003</v>
      </c>
      <c r="BM541">
        <v>52.045499999999997</v>
      </c>
      <c r="BN541">
        <v>4.8667499999999997</v>
      </c>
      <c r="BO541">
        <v>0.64730699999999997</v>
      </c>
      <c r="BP541">
        <v>0.65228600000000003</v>
      </c>
      <c r="BQ541">
        <v>36.278599999999997</v>
      </c>
      <c r="BR541">
        <v>100416</v>
      </c>
    </row>
    <row r="542" spans="1:70" x14ac:dyDescent="0.25">
      <c r="A542">
        <v>45</v>
      </c>
      <c r="B542" s="7">
        <v>45966.541342592594</v>
      </c>
      <c r="C542" t="s">
        <v>171</v>
      </c>
      <c r="D542" s="6" t="s">
        <v>346</v>
      </c>
      <c r="E542" s="6" t="str">
        <f>VLOOKUP(F542,Germplasm!$A$1:$B$21,2,FALSE)</f>
        <v>Heder</v>
      </c>
      <c r="F542" t="s">
        <v>77</v>
      </c>
      <c r="G542" s="6" t="s">
        <v>113</v>
      </c>
      <c r="H542">
        <v>56996.1</v>
      </c>
      <c r="I542">
        <v>388.99900000000002</v>
      </c>
      <c r="J542">
        <v>176010</v>
      </c>
      <c r="K542">
        <v>19.4634</v>
      </c>
      <c r="L542">
        <v>84.405500000000004</v>
      </c>
      <c r="M542">
        <v>1552.54</v>
      </c>
      <c r="N542">
        <v>531.42700000000002</v>
      </c>
      <c r="O542">
        <v>28076800</v>
      </c>
      <c r="P542">
        <v>0.22855300000000001</v>
      </c>
      <c r="Q542">
        <v>0.52751400000000004</v>
      </c>
      <c r="R542">
        <v>3.2390500000000002</v>
      </c>
      <c r="S542">
        <v>21.255800000000001</v>
      </c>
      <c r="T542">
        <v>46.765000000000001</v>
      </c>
      <c r="U542">
        <v>27.633900000000001</v>
      </c>
      <c r="V542">
        <v>0.57872100000000004</v>
      </c>
      <c r="W542">
        <v>123.997</v>
      </c>
      <c r="X542">
        <v>0.71120899999999998</v>
      </c>
      <c r="Y542">
        <v>1.1948300000000001</v>
      </c>
      <c r="Z542">
        <v>2.5180899999999999</v>
      </c>
      <c r="AA542">
        <v>12.4726</v>
      </c>
      <c r="AB542">
        <v>35.661200000000001</v>
      </c>
      <c r="AC542">
        <v>47.442100000000003</v>
      </c>
      <c r="AD542">
        <v>1.6637500000000001</v>
      </c>
      <c r="AE542">
        <v>6.4442300000000001</v>
      </c>
      <c r="AF542">
        <v>0</v>
      </c>
      <c r="AG542">
        <v>99.938999999999993</v>
      </c>
      <c r="AH542">
        <v>5.6896700000000001E-2</v>
      </c>
      <c r="AI542">
        <v>2.4384300000000001E-3</v>
      </c>
      <c r="AJ542">
        <v>1.6256199999999999E-3</v>
      </c>
      <c r="AK542">
        <v>0</v>
      </c>
      <c r="AL542">
        <v>0.53102400000000005</v>
      </c>
      <c r="AM542">
        <v>0.47630699999999998</v>
      </c>
      <c r="AN542">
        <v>2.3693399999999998</v>
      </c>
      <c r="AO542">
        <v>5.3328499999999996</v>
      </c>
      <c r="AP542">
        <v>14.4046</v>
      </c>
      <c r="AQ542">
        <v>41.651600000000002</v>
      </c>
      <c r="AR542">
        <v>35.765300000000003</v>
      </c>
      <c r="AS542">
        <v>9.5723599999999998E-4</v>
      </c>
      <c r="AT542">
        <v>8.6214700000000004</v>
      </c>
      <c r="AU542">
        <v>44.875999999999998</v>
      </c>
      <c r="AV542">
        <v>36.470799999999997</v>
      </c>
      <c r="AW542">
        <v>7.3892499999999997</v>
      </c>
      <c r="AX542">
        <v>1.4338</v>
      </c>
      <c r="AY542">
        <v>1.20865</v>
      </c>
      <c r="AZ542">
        <v>492.60899999999998</v>
      </c>
      <c r="BA542">
        <v>554.4</v>
      </c>
      <c r="BB542">
        <v>34257.599999999999</v>
      </c>
      <c r="BC542">
        <v>-1.02072E-2</v>
      </c>
      <c r="BD542">
        <v>4.0640500000000003E-2</v>
      </c>
      <c r="BE542">
        <v>0.41046899999999997</v>
      </c>
      <c r="BF542">
        <v>3.5519799999999999</v>
      </c>
      <c r="BG542">
        <v>49.494399999999999</v>
      </c>
      <c r="BH542">
        <v>43.429200000000002</v>
      </c>
      <c r="BI542">
        <v>3.0732300000000001</v>
      </c>
      <c r="BJ542">
        <v>30.516200000000001</v>
      </c>
      <c r="BK542">
        <v>0</v>
      </c>
      <c r="BL542">
        <v>36.653700000000001</v>
      </c>
      <c r="BM542">
        <v>55.928600000000003</v>
      </c>
      <c r="BN542">
        <v>6.0310499999999996</v>
      </c>
      <c r="BO542">
        <v>0.75916399999999995</v>
      </c>
      <c r="BP542">
        <v>0.62748899999999996</v>
      </c>
      <c r="BQ542">
        <v>36.991999999999997</v>
      </c>
      <c r="BR542">
        <v>123030</v>
      </c>
    </row>
    <row r="543" spans="1:70" x14ac:dyDescent="0.25">
      <c r="A543">
        <v>45</v>
      </c>
      <c r="B543" s="7">
        <v>45973.566122685188</v>
      </c>
      <c r="C543" t="s">
        <v>171</v>
      </c>
      <c r="D543" s="6" t="s">
        <v>347</v>
      </c>
      <c r="E543" s="6" t="str">
        <f>VLOOKUP(F543,Germplasm!$A$1:$B$21,2,FALSE)</f>
        <v>Heder</v>
      </c>
      <c r="F543" t="s">
        <v>77</v>
      </c>
      <c r="G543" s="6" t="s">
        <v>113</v>
      </c>
      <c r="H543">
        <v>59843.6</v>
      </c>
      <c r="I543">
        <v>449.95400000000001</v>
      </c>
      <c r="J543">
        <v>159662</v>
      </c>
      <c r="K543">
        <v>22.1981</v>
      </c>
      <c r="L543">
        <v>77.224199999999996</v>
      </c>
      <c r="M543">
        <v>1513.59</v>
      </c>
      <c r="N543">
        <v>543.92999999999995</v>
      </c>
      <c r="O543">
        <v>33368300</v>
      </c>
      <c r="P543">
        <v>0.22930800000000001</v>
      </c>
      <c r="Q543">
        <v>0.56623599999999996</v>
      </c>
      <c r="R543">
        <v>3.5729500000000001</v>
      </c>
      <c r="S543">
        <v>21.6296</v>
      </c>
      <c r="T543">
        <v>46.951700000000002</v>
      </c>
      <c r="U543">
        <v>25.744700000000002</v>
      </c>
      <c r="V543">
        <v>1.5348200000000001</v>
      </c>
      <c r="W543">
        <v>120.871</v>
      </c>
      <c r="X543">
        <v>1.02451</v>
      </c>
      <c r="Y543">
        <v>1.9705600000000001</v>
      </c>
      <c r="Z543">
        <v>3.4797500000000001</v>
      </c>
      <c r="AA543">
        <v>13.9252</v>
      </c>
      <c r="AB543">
        <v>34.934199999999997</v>
      </c>
      <c r="AC543">
        <v>44.665799999999997</v>
      </c>
      <c r="AD543">
        <v>1.6884999999999999</v>
      </c>
      <c r="AE543">
        <v>6.1943099999999998</v>
      </c>
      <c r="AF543">
        <v>0</v>
      </c>
      <c r="AG543">
        <v>99.945599999999999</v>
      </c>
      <c r="AH543">
        <v>4.8933900000000002E-2</v>
      </c>
      <c r="AI543">
        <v>5.4371000000000003E-3</v>
      </c>
      <c r="AJ543">
        <v>0</v>
      </c>
      <c r="AK543">
        <v>0</v>
      </c>
      <c r="AL543">
        <v>0.52755399999999997</v>
      </c>
      <c r="AM543">
        <v>0.69517300000000004</v>
      </c>
      <c r="AN543">
        <v>2.8210799999999998</v>
      </c>
      <c r="AO543">
        <v>5.6942000000000004</v>
      </c>
      <c r="AP543">
        <v>15.138500000000001</v>
      </c>
      <c r="AQ543">
        <v>40.183300000000003</v>
      </c>
      <c r="AR543">
        <v>35.467799999999997</v>
      </c>
      <c r="AS543">
        <v>2.2671899999999998E-2</v>
      </c>
      <c r="AT543">
        <v>7.5948599999999997</v>
      </c>
      <c r="AU543">
        <v>43.032400000000003</v>
      </c>
      <c r="AV543">
        <v>36.215000000000003</v>
      </c>
      <c r="AW543">
        <v>8.6053800000000003</v>
      </c>
      <c r="AX543">
        <v>2.2672699999999999</v>
      </c>
      <c r="AY543">
        <v>2.2851400000000002</v>
      </c>
      <c r="AZ543">
        <v>557.59100000000001</v>
      </c>
      <c r="BA543">
        <v>626.99900000000002</v>
      </c>
      <c r="BB543">
        <v>35441.9</v>
      </c>
      <c r="BC543">
        <v>2.8376E-3</v>
      </c>
      <c r="BD543">
        <v>4.6603800000000001E-2</v>
      </c>
      <c r="BE543">
        <v>0.35418899999999998</v>
      </c>
      <c r="BF543">
        <v>3.0750700000000002</v>
      </c>
      <c r="BG543">
        <v>47.150599999999997</v>
      </c>
      <c r="BH543">
        <v>44.404800000000002</v>
      </c>
      <c r="BI543">
        <v>4.9687400000000004</v>
      </c>
      <c r="BJ543">
        <v>31.293500000000002</v>
      </c>
      <c r="BK543">
        <v>0</v>
      </c>
      <c r="BL543">
        <v>37.899700000000003</v>
      </c>
      <c r="BM543">
        <v>52.525500000000001</v>
      </c>
      <c r="BN543">
        <v>6.7777399999999997</v>
      </c>
      <c r="BO543">
        <v>1.5705499999999999</v>
      </c>
      <c r="BP543">
        <v>1.2264600000000001</v>
      </c>
      <c r="BQ543">
        <v>36.363300000000002</v>
      </c>
      <c r="BR543">
        <v>128745</v>
      </c>
    </row>
    <row r="544" spans="1:70" x14ac:dyDescent="0.25">
      <c r="A544">
        <v>45</v>
      </c>
      <c r="B544" s="7">
        <v>45988.565000000002</v>
      </c>
      <c r="C544" t="s">
        <v>171</v>
      </c>
      <c r="D544" s="6" t="s">
        <v>348</v>
      </c>
      <c r="E544" s="6" t="str">
        <f>VLOOKUP(F544,Germplasm!$A$1:$B$21,2,FALSE)</f>
        <v>Heder</v>
      </c>
      <c r="F544" t="s">
        <v>77</v>
      </c>
      <c r="G544" s="6" t="s">
        <v>113</v>
      </c>
      <c r="H544">
        <v>51529</v>
      </c>
      <c r="I544">
        <v>407.75700000000001</v>
      </c>
      <c r="J544">
        <v>130440</v>
      </c>
      <c r="K544">
        <v>23.022099999999998</v>
      </c>
      <c r="L544">
        <v>71.802700000000002</v>
      </c>
      <c r="M544">
        <v>1346.67</v>
      </c>
      <c r="N544">
        <v>488.08600000000001</v>
      </c>
      <c r="O544">
        <v>30921500</v>
      </c>
      <c r="P544">
        <v>0.21599499999999999</v>
      </c>
      <c r="Q544">
        <v>0.81087799999999999</v>
      </c>
      <c r="R544">
        <v>5.7954400000000001</v>
      </c>
      <c r="S544">
        <v>23.607399999999998</v>
      </c>
      <c r="T544">
        <v>45.239899999999999</v>
      </c>
      <c r="U544">
        <v>22.691700000000001</v>
      </c>
      <c r="V544">
        <v>1.8547</v>
      </c>
      <c r="W544">
        <v>107.995</v>
      </c>
      <c r="X544">
        <v>2.5551499999999998</v>
      </c>
      <c r="Y544">
        <v>4.9257200000000001</v>
      </c>
      <c r="Z544">
        <v>6.6546799999999999</v>
      </c>
      <c r="AA544">
        <v>22.6812</v>
      </c>
      <c r="AB544">
        <v>31.16</v>
      </c>
      <c r="AC544">
        <v>32.023200000000003</v>
      </c>
      <c r="AD544">
        <v>1.71591</v>
      </c>
      <c r="AE544">
        <v>6.5289299999999999</v>
      </c>
      <c r="AF544">
        <v>0</v>
      </c>
      <c r="AG544">
        <v>99.474500000000006</v>
      </c>
      <c r="AH544">
        <v>0.52392700000000003</v>
      </c>
      <c r="AI544">
        <v>1.6120799999999999E-3</v>
      </c>
      <c r="AJ544">
        <v>0</v>
      </c>
      <c r="AK544">
        <v>0</v>
      </c>
      <c r="AL544">
        <v>0.466528</v>
      </c>
      <c r="AM544">
        <v>1.3767199999999999</v>
      </c>
      <c r="AN544">
        <v>7.0528700000000004</v>
      </c>
      <c r="AO544">
        <v>10.5785</v>
      </c>
      <c r="AP544">
        <v>19.2636</v>
      </c>
      <c r="AQ544">
        <v>36.911099999999998</v>
      </c>
      <c r="AR544">
        <v>24.8172</v>
      </c>
      <c r="AS544">
        <v>0.101441</v>
      </c>
      <c r="AT544">
        <v>4.0777700000000001</v>
      </c>
      <c r="AU544">
        <v>31.307500000000001</v>
      </c>
      <c r="AV544">
        <v>37.163400000000003</v>
      </c>
      <c r="AW544">
        <v>18.526900000000001</v>
      </c>
      <c r="AX544">
        <v>5.5366999999999997</v>
      </c>
      <c r="AY544">
        <v>3.3877899999999999</v>
      </c>
      <c r="AZ544">
        <v>600.08000000000004</v>
      </c>
      <c r="BA544">
        <v>682.2</v>
      </c>
      <c r="BB544">
        <v>30030.1</v>
      </c>
      <c r="BC544">
        <v>5.8737499999999998E-2</v>
      </c>
      <c r="BD544">
        <v>4.5138400000000002E-2</v>
      </c>
      <c r="BE544">
        <v>0.28856300000000001</v>
      </c>
      <c r="BF544">
        <v>1.97319</v>
      </c>
      <c r="BG544">
        <v>33.078400000000002</v>
      </c>
      <c r="BH544">
        <v>50.438099999999999</v>
      </c>
      <c r="BI544">
        <v>14.1767</v>
      </c>
      <c r="BJ544">
        <v>32.548999999999999</v>
      </c>
      <c r="BK544">
        <v>0</v>
      </c>
      <c r="BL544">
        <v>38.030700000000003</v>
      </c>
      <c r="BM544">
        <v>48.3093</v>
      </c>
      <c r="BN544">
        <v>9.8973899999999997</v>
      </c>
      <c r="BO544">
        <v>2.5438700000000001</v>
      </c>
      <c r="BP544">
        <v>1.2187399999999999</v>
      </c>
      <c r="BQ544">
        <v>35.6892</v>
      </c>
      <c r="BR544">
        <v>124063</v>
      </c>
    </row>
    <row r="545" spans="1:70" x14ac:dyDescent="0.25">
      <c r="A545">
        <v>45</v>
      </c>
      <c r="B545" s="7">
        <v>45994.573449074072</v>
      </c>
      <c r="C545" t="s">
        <v>171</v>
      </c>
      <c r="D545" s="6" t="s">
        <v>349</v>
      </c>
      <c r="E545" s="6" t="str">
        <f>VLOOKUP(F545,Germplasm!$A$1:$B$21,2,FALSE)</f>
        <v>Heder</v>
      </c>
      <c r="F545" t="s">
        <v>77</v>
      </c>
      <c r="G545" s="6" t="s">
        <v>113</v>
      </c>
      <c r="H545">
        <v>45154.1</v>
      </c>
      <c r="I545">
        <v>433.70400000000001</v>
      </c>
      <c r="J545">
        <v>123154</v>
      </c>
      <c r="K545">
        <v>19.990600000000001</v>
      </c>
      <c r="L545">
        <v>67.377200000000002</v>
      </c>
      <c r="M545">
        <v>1302.1600000000001</v>
      </c>
      <c r="N545">
        <v>484.43200000000002</v>
      </c>
      <c r="O545">
        <v>28037800</v>
      </c>
      <c r="P545">
        <v>0.19228400000000001</v>
      </c>
      <c r="Q545">
        <v>0.69340199999999996</v>
      </c>
      <c r="R545">
        <v>7.5157999999999996</v>
      </c>
      <c r="S545">
        <v>28.909500000000001</v>
      </c>
      <c r="T545">
        <v>42.456499999999998</v>
      </c>
      <c r="U545">
        <v>19.572299999999998</v>
      </c>
      <c r="V545">
        <v>0.85243000000000002</v>
      </c>
      <c r="W545">
        <v>88.717500000000001</v>
      </c>
      <c r="X545">
        <v>3.8581599999999998</v>
      </c>
      <c r="Y545">
        <v>12.2827</v>
      </c>
      <c r="Z545">
        <v>15.0158</v>
      </c>
      <c r="AA545">
        <v>28.447299999999998</v>
      </c>
      <c r="AB545">
        <v>22.7637</v>
      </c>
      <c r="AC545">
        <v>17.632400000000001</v>
      </c>
      <c r="AD545">
        <v>1.8341000000000001</v>
      </c>
      <c r="AE545">
        <v>8.6519999999999992</v>
      </c>
      <c r="AF545">
        <v>0</v>
      </c>
      <c r="AG545">
        <v>97.991900000000001</v>
      </c>
      <c r="AH545">
        <v>2.0002</v>
      </c>
      <c r="AI545">
        <v>7.9020199999999992E-3</v>
      </c>
      <c r="AJ545">
        <v>0</v>
      </c>
      <c r="AK545">
        <v>0</v>
      </c>
      <c r="AL545">
        <v>0.358879</v>
      </c>
      <c r="AM545">
        <v>3.4739200000000001</v>
      </c>
      <c r="AN545">
        <v>17.7608</v>
      </c>
      <c r="AO545">
        <v>17.689599999999999</v>
      </c>
      <c r="AP545">
        <v>22.024899999999999</v>
      </c>
      <c r="AQ545">
        <v>25.688500000000001</v>
      </c>
      <c r="AR545">
        <v>13.362299999999999</v>
      </c>
      <c r="AS545">
        <v>0.197629</v>
      </c>
      <c r="AT545">
        <v>1.6209</v>
      </c>
      <c r="AU545">
        <v>17.565200000000001</v>
      </c>
      <c r="AV545">
        <v>33.784100000000002</v>
      </c>
      <c r="AW545">
        <v>28.840399999999999</v>
      </c>
      <c r="AX545">
        <v>14.6523</v>
      </c>
      <c r="AY545">
        <v>3.53714</v>
      </c>
      <c r="AZ545">
        <v>620.93499999999995</v>
      </c>
      <c r="BA545">
        <v>685.79899999999998</v>
      </c>
      <c r="BB545">
        <v>24619.200000000001</v>
      </c>
      <c r="BC545">
        <v>0.163077</v>
      </c>
      <c r="BD545">
        <v>4.83998E-2</v>
      </c>
      <c r="BE545">
        <v>0.25977899999999998</v>
      </c>
      <c r="BF545">
        <v>1.1309800000000001</v>
      </c>
      <c r="BG545">
        <v>17.7469</v>
      </c>
      <c r="BH545">
        <v>45.104700000000001</v>
      </c>
      <c r="BI545">
        <v>35.709200000000003</v>
      </c>
      <c r="BJ545">
        <v>34.696399999999997</v>
      </c>
      <c r="BK545">
        <v>0</v>
      </c>
      <c r="BL545">
        <v>30.4346</v>
      </c>
      <c r="BM545">
        <v>53.192399999999999</v>
      </c>
      <c r="BN545">
        <v>13.6409</v>
      </c>
      <c r="BO545">
        <v>1.9646399999999999</v>
      </c>
      <c r="BP545">
        <v>0.76748300000000003</v>
      </c>
      <c r="BQ545">
        <v>33.074199999999998</v>
      </c>
      <c r="BR545">
        <v>101240</v>
      </c>
    </row>
    <row r="546" spans="1:70" x14ac:dyDescent="0.25">
      <c r="A546">
        <v>45</v>
      </c>
      <c r="B546" s="7">
        <v>46002.564097222225</v>
      </c>
      <c r="C546" t="s">
        <v>171</v>
      </c>
      <c r="D546" s="6" t="s">
        <v>350</v>
      </c>
      <c r="E546" s="6" t="str">
        <f>VLOOKUP(F546,Germplasm!$A$1:$B$21,2,FALSE)</f>
        <v>Heder</v>
      </c>
      <c r="F546" t="s">
        <v>77</v>
      </c>
      <c r="G546" s="6" t="s">
        <v>113</v>
      </c>
      <c r="H546">
        <v>41107.699999999997</v>
      </c>
      <c r="I546">
        <v>402.358</v>
      </c>
      <c r="J546">
        <v>136457</v>
      </c>
      <c r="K546">
        <v>16.164000000000001</v>
      </c>
      <c r="L546">
        <v>80.694599999999994</v>
      </c>
      <c r="M546">
        <v>1362.65</v>
      </c>
      <c r="N546">
        <v>475.86099999999999</v>
      </c>
      <c r="O546">
        <v>23257500</v>
      </c>
      <c r="P546">
        <v>0.133324</v>
      </c>
      <c r="Q546">
        <v>0.85358800000000001</v>
      </c>
      <c r="R546">
        <v>16.450199999999999</v>
      </c>
      <c r="S546">
        <v>38.544800000000002</v>
      </c>
      <c r="T546">
        <v>31.966999999999999</v>
      </c>
      <c r="U546">
        <v>11.654199999999999</v>
      </c>
      <c r="V546">
        <v>0.53021200000000002</v>
      </c>
      <c r="W546">
        <v>72.941699999999997</v>
      </c>
      <c r="X546">
        <v>8.75427</v>
      </c>
      <c r="Y546">
        <v>22.056799999999999</v>
      </c>
      <c r="Z546">
        <v>15.0444</v>
      </c>
      <c r="AA546">
        <v>23.4406</v>
      </c>
      <c r="AB546">
        <v>17.0928</v>
      </c>
      <c r="AC546">
        <v>13.6112</v>
      </c>
      <c r="AD546">
        <v>1.86372</v>
      </c>
      <c r="AE546">
        <v>10.9834</v>
      </c>
      <c r="AF546">
        <v>0</v>
      </c>
      <c r="AG546">
        <v>93.557699999999997</v>
      </c>
      <c r="AH546">
        <v>6.3499400000000001</v>
      </c>
      <c r="AI546">
        <v>9.2393299999999998E-2</v>
      </c>
      <c r="AJ546">
        <v>0</v>
      </c>
      <c r="AK546">
        <v>0</v>
      </c>
      <c r="AL546">
        <v>0.26340599999999997</v>
      </c>
      <c r="AM546">
        <v>8.4434900000000006</v>
      </c>
      <c r="AN546">
        <v>27.8429</v>
      </c>
      <c r="AO546">
        <v>20.817900000000002</v>
      </c>
      <c r="AP546">
        <v>19.8446</v>
      </c>
      <c r="AQ546">
        <v>17.3521</v>
      </c>
      <c r="AR546">
        <v>5.6989900000000002</v>
      </c>
      <c r="AS546">
        <v>0.20560100000000001</v>
      </c>
      <c r="AT546">
        <v>0.96697999999999995</v>
      </c>
      <c r="AU546">
        <v>12.2621</v>
      </c>
      <c r="AV546">
        <v>36.264400000000002</v>
      </c>
      <c r="AW546">
        <v>36.831299999999999</v>
      </c>
      <c r="AX546">
        <v>10.783799999999999</v>
      </c>
      <c r="AY546">
        <v>2.8914900000000001</v>
      </c>
      <c r="AZ546">
        <v>565.76900000000001</v>
      </c>
      <c r="BA546">
        <v>634.79999999999995</v>
      </c>
      <c r="BB546">
        <v>22056.799999999999</v>
      </c>
      <c r="BC546">
        <v>0.20704900000000001</v>
      </c>
      <c r="BD546">
        <v>2.09985E-2</v>
      </c>
      <c r="BE546">
        <v>0.212085</v>
      </c>
      <c r="BF546">
        <v>0.96592999999999996</v>
      </c>
      <c r="BG546">
        <v>12.03</v>
      </c>
      <c r="BH546">
        <v>39.429900000000004</v>
      </c>
      <c r="BI546">
        <v>47.341099999999997</v>
      </c>
      <c r="BJ546">
        <v>30.7544</v>
      </c>
      <c r="BK546">
        <v>0</v>
      </c>
      <c r="BL546">
        <v>38.449300000000001</v>
      </c>
      <c r="BM546">
        <v>51.5124</v>
      </c>
      <c r="BN546">
        <v>8.1516099999999998</v>
      </c>
      <c r="BO546">
        <v>1.3050600000000001</v>
      </c>
      <c r="BP546">
        <v>0.58165800000000001</v>
      </c>
      <c r="BQ546">
        <v>32.480600000000003</v>
      </c>
      <c r="BR546">
        <v>95245</v>
      </c>
    </row>
    <row r="547" spans="1:70" x14ac:dyDescent="0.25">
      <c r="A547">
        <v>45</v>
      </c>
      <c r="B547" s="7">
        <v>46013.58866898148</v>
      </c>
      <c r="C547" t="s">
        <v>171</v>
      </c>
      <c r="D547" s="6" t="s">
        <v>351</v>
      </c>
      <c r="E547" s="6" t="str">
        <f>VLOOKUP(F547,Germplasm!$A$1:$B$21,2,FALSE)</f>
        <v>Heder</v>
      </c>
      <c r="F547" t="s">
        <v>77</v>
      </c>
      <c r="G547" s="6" t="s">
        <v>113</v>
      </c>
      <c r="H547">
        <v>28474.7</v>
      </c>
      <c r="I547">
        <v>393.18400000000003</v>
      </c>
      <c r="J547">
        <v>107549</v>
      </c>
      <c r="K547">
        <v>13.603400000000001</v>
      </c>
      <c r="L547">
        <v>62.825200000000002</v>
      </c>
      <c r="M547">
        <v>1259.71</v>
      </c>
      <c r="N547">
        <v>478.66800000000001</v>
      </c>
      <c r="O547">
        <v>14780200</v>
      </c>
      <c r="P547">
        <v>6.57306E-2</v>
      </c>
      <c r="Q547">
        <v>0.99369399999999997</v>
      </c>
      <c r="R547">
        <v>25.202500000000001</v>
      </c>
      <c r="S547">
        <v>54.487299999999998</v>
      </c>
      <c r="T547">
        <v>14.542299999999999</v>
      </c>
      <c r="U547">
        <v>4.6457100000000002</v>
      </c>
      <c r="V547">
        <v>0.12850800000000001</v>
      </c>
      <c r="W547">
        <v>47.651699999999998</v>
      </c>
      <c r="X547">
        <v>13.714499999999999</v>
      </c>
      <c r="Y547">
        <v>44.0259</v>
      </c>
      <c r="Z547">
        <v>18.771100000000001</v>
      </c>
      <c r="AA547">
        <v>11.851100000000001</v>
      </c>
      <c r="AB547">
        <v>4.1660399999999997</v>
      </c>
      <c r="AC547">
        <v>7.4713799999999999</v>
      </c>
      <c r="AD547">
        <v>1.94628</v>
      </c>
      <c r="AE547">
        <v>15.2065</v>
      </c>
      <c r="AF547">
        <v>0</v>
      </c>
      <c r="AG547">
        <v>86.016599999999997</v>
      </c>
      <c r="AH547">
        <v>13.379799999999999</v>
      </c>
      <c r="AI547">
        <v>0.53793999999999997</v>
      </c>
      <c r="AJ547">
        <v>6.5748200000000007E-2</v>
      </c>
      <c r="AK547">
        <v>0</v>
      </c>
      <c r="AL547">
        <v>0.12057900000000001</v>
      </c>
      <c r="AM547">
        <v>18.1465</v>
      </c>
      <c r="AN547">
        <v>48.395099999999999</v>
      </c>
      <c r="AO547">
        <v>19.2074</v>
      </c>
      <c r="AP547">
        <v>9.5828000000000007</v>
      </c>
      <c r="AQ547">
        <v>3.8851200000000001</v>
      </c>
      <c r="AR547">
        <v>0.78300099999999995</v>
      </c>
      <c r="AS547">
        <v>0.264372</v>
      </c>
      <c r="AT547">
        <v>0.58725099999999997</v>
      </c>
      <c r="AU547">
        <v>4.6486999999999998</v>
      </c>
      <c r="AV547">
        <v>28.480899999999998</v>
      </c>
      <c r="AW547">
        <v>48.619300000000003</v>
      </c>
      <c r="AX547">
        <v>14.2614</v>
      </c>
      <c r="AY547">
        <v>3.4024700000000001</v>
      </c>
      <c r="AZ547">
        <v>519.06399999999996</v>
      </c>
      <c r="BA547">
        <v>560.399</v>
      </c>
      <c r="BB547">
        <v>14630.3</v>
      </c>
      <c r="BC547">
        <v>0.32148500000000002</v>
      </c>
      <c r="BD547">
        <v>3.43684E-2</v>
      </c>
      <c r="BE547">
        <v>0.19276199999999999</v>
      </c>
      <c r="BF547">
        <v>0.67093000000000003</v>
      </c>
      <c r="BG547">
        <v>4.3378899999999998</v>
      </c>
      <c r="BH547">
        <v>18.6142</v>
      </c>
      <c r="BI547">
        <v>76.149799999999999</v>
      </c>
      <c r="BJ547">
        <v>30.111899999999999</v>
      </c>
      <c r="BK547">
        <v>0</v>
      </c>
      <c r="BL547">
        <v>41.407899999999998</v>
      </c>
      <c r="BM547">
        <v>49.010800000000003</v>
      </c>
      <c r="BN547">
        <v>7.7298900000000001</v>
      </c>
      <c r="BO547">
        <v>1.47336</v>
      </c>
      <c r="BP547">
        <v>0.378052</v>
      </c>
      <c r="BQ547">
        <v>30.932500000000001</v>
      </c>
      <c r="BR547">
        <v>66922</v>
      </c>
    </row>
    <row r="548" spans="1:70" x14ac:dyDescent="0.25">
      <c r="A548">
        <v>45</v>
      </c>
      <c r="B548" s="7">
        <v>46013.58929398148</v>
      </c>
      <c r="C548" t="s">
        <v>171</v>
      </c>
      <c r="D548" s="6" t="s">
        <v>352</v>
      </c>
      <c r="E548" s="6" t="str">
        <f>VLOOKUP(F548,Germplasm!$A$1:$B$21,2,FALSE)</f>
        <v>Heder</v>
      </c>
      <c r="F548" t="s">
        <v>77</v>
      </c>
      <c r="G548" s="6" t="s">
        <v>113</v>
      </c>
      <c r="H548">
        <v>29822.7</v>
      </c>
      <c r="I548">
        <v>394.875</v>
      </c>
      <c r="J548">
        <v>108468</v>
      </c>
      <c r="K548">
        <v>14.036199999999999</v>
      </c>
      <c r="L548">
        <v>62.476799999999997</v>
      </c>
      <c r="M548">
        <v>1265.8900000000001</v>
      </c>
      <c r="N548">
        <v>482.02499999999998</v>
      </c>
      <c r="O548">
        <v>15523300</v>
      </c>
      <c r="P548">
        <v>6.67156E-2</v>
      </c>
      <c r="Q548">
        <v>0.98248999999999997</v>
      </c>
      <c r="R548">
        <v>25.414000000000001</v>
      </c>
      <c r="S548">
        <v>53.897599999999997</v>
      </c>
      <c r="T548">
        <v>14.576499999999999</v>
      </c>
      <c r="U548">
        <v>5.0244900000000001</v>
      </c>
      <c r="V548">
        <v>0.104856</v>
      </c>
      <c r="W548">
        <v>47.7791</v>
      </c>
      <c r="X548">
        <v>13.8094</v>
      </c>
      <c r="Y548">
        <v>43.499600000000001</v>
      </c>
      <c r="Z548">
        <v>18.813800000000001</v>
      </c>
      <c r="AA548">
        <v>12.062799999999999</v>
      </c>
      <c r="AB548">
        <v>4.2675099999999997</v>
      </c>
      <c r="AC548">
        <v>7.5467899999999997</v>
      </c>
      <c r="AD548">
        <v>1.9588300000000001</v>
      </c>
      <c r="AE548">
        <v>15.005000000000001</v>
      </c>
      <c r="AF548">
        <v>0</v>
      </c>
      <c r="AG548">
        <v>86.364400000000003</v>
      </c>
      <c r="AH548">
        <v>13.069699999999999</v>
      </c>
      <c r="AI548">
        <v>0.49699100000000002</v>
      </c>
      <c r="AJ548">
        <v>6.89467E-2</v>
      </c>
      <c r="AK548">
        <v>0</v>
      </c>
      <c r="AL548">
        <v>0.12207</v>
      </c>
      <c r="AM548">
        <v>18.602699999999999</v>
      </c>
      <c r="AN548">
        <v>47.438200000000002</v>
      </c>
      <c r="AO548">
        <v>19.0077</v>
      </c>
      <c r="AP548">
        <v>10.034599999999999</v>
      </c>
      <c r="AQ548">
        <v>4.2114900000000004</v>
      </c>
      <c r="AR548">
        <v>0.70526699999999998</v>
      </c>
      <c r="AS548">
        <v>0.26438600000000001</v>
      </c>
      <c r="AT548">
        <v>0.63775700000000002</v>
      </c>
      <c r="AU548">
        <v>4.7386499999999998</v>
      </c>
      <c r="AV548">
        <v>28.525300000000001</v>
      </c>
      <c r="AW548">
        <v>48.374699999999997</v>
      </c>
      <c r="AX548">
        <v>14.273400000000001</v>
      </c>
      <c r="AY548">
        <v>3.4502100000000002</v>
      </c>
      <c r="AZ548">
        <v>520.51900000000001</v>
      </c>
      <c r="BA548">
        <v>556.19899999999996</v>
      </c>
      <c r="BB548">
        <v>15224.8</v>
      </c>
      <c r="BC548">
        <v>0.32106099999999999</v>
      </c>
      <c r="BD548">
        <v>4.5964499999999998E-2</v>
      </c>
      <c r="BE548">
        <v>0.22551299999999999</v>
      </c>
      <c r="BF548">
        <v>0.67797600000000002</v>
      </c>
      <c r="BG548">
        <v>4.4269499999999997</v>
      </c>
      <c r="BH548">
        <v>18.604099999999999</v>
      </c>
      <c r="BI548">
        <v>76.019499999999994</v>
      </c>
      <c r="BJ548">
        <v>30.262799999999999</v>
      </c>
      <c r="BK548">
        <v>0</v>
      </c>
      <c r="BL548">
        <v>41.336399999999998</v>
      </c>
      <c r="BM548">
        <v>48.756799999999998</v>
      </c>
      <c r="BN548">
        <v>7.9518500000000003</v>
      </c>
      <c r="BO548">
        <v>1.5929599999999999</v>
      </c>
      <c r="BP548">
        <v>0.36197000000000001</v>
      </c>
      <c r="BQ548">
        <v>30.714099999999998</v>
      </c>
      <c r="BR548">
        <v>69619</v>
      </c>
    </row>
    <row r="549" spans="1:70" x14ac:dyDescent="0.25">
      <c r="A549">
        <v>45</v>
      </c>
      <c r="B549" s="7">
        <v>46024.526770833334</v>
      </c>
      <c r="C549" t="s">
        <v>171</v>
      </c>
      <c r="D549" s="6" t="s">
        <v>353</v>
      </c>
      <c r="E549" s="6" t="str">
        <f>VLOOKUP(F549,Germplasm!$A$1:$B$21,2,FALSE)</f>
        <v>Heder</v>
      </c>
      <c r="F549" t="s">
        <v>77</v>
      </c>
      <c r="G549" s="6" t="s">
        <v>113</v>
      </c>
      <c r="H549">
        <v>38986.6</v>
      </c>
      <c r="I549">
        <v>338.92899999999997</v>
      </c>
      <c r="J549">
        <v>141304</v>
      </c>
      <c r="K549">
        <v>14.109</v>
      </c>
      <c r="L549">
        <v>54.6143</v>
      </c>
      <c r="M549">
        <v>1471.73</v>
      </c>
      <c r="N549">
        <v>586.66</v>
      </c>
      <c r="O549">
        <v>19585400</v>
      </c>
      <c r="P549">
        <v>9.0303599999999994E-3</v>
      </c>
      <c r="Q549">
        <v>1.09202</v>
      </c>
      <c r="R549">
        <v>36.791400000000003</v>
      </c>
      <c r="S549">
        <v>60.508699999999997</v>
      </c>
      <c r="T549">
        <v>1.50404</v>
      </c>
      <c r="U549">
        <v>9.8259200000000005E-2</v>
      </c>
      <c r="V549">
        <v>5.58291E-3</v>
      </c>
      <c r="W549">
        <v>35.290900000000001</v>
      </c>
      <c r="X549">
        <v>18.5397</v>
      </c>
      <c r="Y549">
        <v>56.8553</v>
      </c>
      <c r="Z549">
        <v>10.516</v>
      </c>
      <c r="AA549">
        <v>3.15435</v>
      </c>
      <c r="AB549">
        <v>1.20703</v>
      </c>
      <c r="AC549">
        <v>9.7276699999999998</v>
      </c>
      <c r="AD549">
        <v>1.9555400000000001</v>
      </c>
      <c r="AE549">
        <v>20.7683</v>
      </c>
      <c r="AF549">
        <v>0</v>
      </c>
      <c r="AG549">
        <v>68.238799999999998</v>
      </c>
      <c r="AH549">
        <v>30.659099999999999</v>
      </c>
      <c r="AI549">
        <v>1.08867</v>
      </c>
      <c r="AJ549">
        <v>1.3398999999999999E-2</v>
      </c>
      <c r="AK549">
        <v>0</v>
      </c>
      <c r="AL549">
        <v>4.6316200000000002E-2</v>
      </c>
      <c r="AM549">
        <v>30.132100000000001</v>
      </c>
      <c r="AN549">
        <v>54.140799999999999</v>
      </c>
      <c r="AO549">
        <v>11.739699999999999</v>
      </c>
      <c r="AP549">
        <v>3.11415</v>
      </c>
      <c r="AQ549">
        <v>0.72242899999999999</v>
      </c>
      <c r="AR549">
        <v>0.15073900000000001</v>
      </c>
      <c r="AS549">
        <v>0.211312</v>
      </c>
      <c r="AT549">
        <v>0.99152499999999999</v>
      </c>
      <c r="AU549">
        <v>5.0603499999999997</v>
      </c>
      <c r="AV549">
        <v>37.429000000000002</v>
      </c>
      <c r="AW549">
        <v>51.563800000000001</v>
      </c>
      <c r="AX549">
        <v>3.9794999999999998</v>
      </c>
      <c r="AY549">
        <v>0.97589300000000001</v>
      </c>
      <c r="AZ549">
        <v>502.363</v>
      </c>
      <c r="BA549">
        <v>533.399</v>
      </c>
      <c r="BB549">
        <v>19936.5</v>
      </c>
      <c r="BC549">
        <v>0.31403199999999998</v>
      </c>
      <c r="BD549">
        <v>0.123941</v>
      </c>
      <c r="BE549">
        <v>0.58285600000000004</v>
      </c>
      <c r="BF549">
        <v>1.1445000000000001</v>
      </c>
      <c r="BG549">
        <v>4.2005800000000004</v>
      </c>
      <c r="BH549">
        <v>15.226800000000001</v>
      </c>
      <c r="BI549">
        <v>78.721299999999999</v>
      </c>
      <c r="BJ549">
        <v>23.345400000000001</v>
      </c>
      <c r="BK549">
        <v>0</v>
      </c>
      <c r="BL549">
        <v>60.222900000000003</v>
      </c>
      <c r="BM549">
        <v>37.804099999999998</v>
      </c>
      <c r="BN549">
        <v>1.4024300000000001</v>
      </c>
      <c r="BO549">
        <v>0.37517200000000001</v>
      </c>
      <c r="BP549">
        <v>0.19540199999999999</v>
      </c>
      <c r="BQ549">
        <v>30.781099999999999</v>
      </c>
      <c r="BR549">
        <v>89559</v>
      </c>
    </row>
    <row r="550" spans="1:70" x14ac:dyDescent="0.25">
      <c r="A550">
        <v>46</v>
      </c>
      <c r="B550" s="7">
        <v>45952.574780092589</v>
      </c>
      <c r="C550" t="s">
        <v>174</v>
      </c>
      <c r="D550" s="6" t="s">
        <v>354</v>
      </c>
      <c r="E550" s="6" t="str">
        <f>VLOOKUP(F550,Germplasm!$A$1:$B$21,2,FALSE)</f>
        <v>Pernilla</v>
      </c>
      <c r="F550" t="s">
        <v>70</v>
      </c>
      <c r="G550" s="6" t="s">
        <v>113</v>
      </c>
      <c r="H550">
        <v>31207</v>
      </c>
      <c r="I550">
        <v>352.59</v>
      </c>
      <c r="J550">
        <v>156361</v>
      </c>
      <c r="K550">
        <v>10.964</v>
      </c>
      <c r="L550">
        <v>75.758399999999995</v>
      </c>
      <c r="M550">
        <v>1498.11</v>
      </c>
      <c r="N550">
        <v>527.29200000000003</v>
      </c>
      <c r="O550">
        <v>13435200</v>
      </c>
      <c r="P550">
        <v>0.20910000000000001</v>
      </c>
      <c r="Q550">
        <v>0.52629000000000004</v>
      </c>
      <c r="R550">
        <v>8.0851299999999995</v>
      </c>
      <c r="S550">
        <v>25.240500000000001</v>
      </c>
      <c r="T550">
        <v>36.259700000000002</v>
      </c>
      <c r="U550">
        <v>29.4574</v>
      </c>
      <c r="V550">
        <v>0.43090000000000001</v>
      </c>
      <c r="W550">
        <v>115.30800000000001</v>
      </c>
      <c r="X550">
        <v>2.6659899999999999</v>
      </c>
      <c r="Y550">
        <v>3.94882</v>
      </c>
      <c r="Z550">
        <v>4.73332</v>
      </c>
      <c r="AA550">
        <v>15.078200000000001</v>
      </c>
      <c r="AB550">
        <v>35.726900000000001</v>
      </c>
      <c r="AC550">
        <v>37.846800000000002</v>
      </c>
      <c r="AD550">
        <v>1.82036</v>
      </c>
      <c r="AE550">
        <v>15.083399999999999</v>
      </c>
      <c r="AF550">
        <v>0</v>
      </c>
      <c r="AG550">
        <v>88.194699999999997</v>
      </c>
      <c r="AH550">
        <v>1.2729600000000001</v>
      </c>
      <c r="AI550">
        <v>1.89958</v>
      </c>
      <c r="AJ550">
        <v>8.6327999999999996</v>
      </c>
      <c r="AK550">
        <v>0</v>
      </c>
      <c r="AL550">
        <v>0.45035599999999998</v>
      </c>
      <c r="AM550">
        <v>10.2758</v>
      </c>
      <c r="AN550">
        <v>5.3763800000000002</v>
      </c>
      <c r="AO550">
        <v>5.4980799999999999</v>
      </c>
      <c r="AP550">
        <v>12.6523</v>
      </c>
      <c r="AQ550">
        <v>37.517899999999997</v>
      </c>
      <c r="AR550">
        <v>28.679500000000001</v>
      </c>
      <c r="AS550">
        <v>3.42067E-2</v>
      </c>
      <c r="AT550">
        <v>6.98156</v>
      </c>
      <c r="AU550">
        <v>35.6907</v>
      </c>
      <c r="AV550">
        <v>43.147500000000001</v>
      </c>
      <c r="AW550">
        <v>10.627800000000001</v>
      </c>
      <c r="AX550">
        <v>2.2465999999999999</v>
      </c>
      <c r="AY550">
        <v>1.30586</v>
      </c>
      <c r="AZ550">
        <v>430.52</v>
      </c>
      <c r="BA550">
        <v>443.399</v>
      </c>
      <c r="BB550">
        <v>17143.3</v>
      </c>
      <c r="BC550">
        <v>3.9686699999999997E-3</v>
      </c>
      <c r="BD550">
        <v>0.62332500000000002</v>
      </c>
      <c r="BE550">
        <v>0.92100700000000002</v>
      </c>
      <c r="BF550">
        <v>3.5968599999999999</v>
      </c>
      <c r="BG550">
        <v>37.530999999999999</v>
      </c>
      <c r="BH550">
        <v>51.681699999999999</v>
      </c>
      <c r="BI550">
        <v>5.6460999999999997</v>
      </c>
      <c r="BJ550">
        <v>32.593299999999999</v>
      </c>
      <c r="BK550">
        <v>0</v>
      </c>
      <c r="BL550">
        <v>34.078899999999997</v>
      </c>
      <c r="BM550">
        <v>54.551600000000001</v>
      </c>
      <c r="BN550">
        <v>8.3581400000000006</v>
      </c>
      <c r="BO550">
        <v>1.55749</v>
      </c>
      <c r="BP550">
        <v>1.4538800000000001</v>
      </c>
      <c r="BQ550">
        <v>33.344900000000003</v>
      </c>
      <c r="BR550">
        <v>60803</v>
      </c>
    </row>
    <row r="551" spans="1:70" x14ac:dyDescent="0.25">
      <c r="A551">
        <v>46</v>
      </c>
      <c r="B551" s="7">
        <v>45959.541030092594</v>
      </c>
      <c r="C551" t="s">
        <v>174</v>
      </c>
      <c r="D551" s="6" t="s">
        <v>355</v>
      </c>
      <c r="E551" s="6" t="str">
        <f>VLOOKUP(F551,Germplasm!$A$1:$B$21,2,FALSE)</f>
        <v>Pernilla</v>
      </c>
      <c r="F551" t="s">
        <v>70</v>
      </c>
      <c r="G551" s="6" t="s">
        <v>113</v>
      </c>
      <c r="H551">
        <v>59732.9</v>
      </c>
      <c r="I551">
        <v>440.74099999999999</v>
      </c>
      <c r="J551">
        <v>232116</v>
      </c>
      <c r="K551">
        <v>14.0661</v>
      </c>
      <c r="L551">
        <v>80.078800000000001</v>
      </c>
      <c r="M551">
        <v>1800.05</v>
      </c>
      <c r="N551">
        <v>612.94600000000003</v>
      </c>
      <c r="O551">
        <v>31376700</v>
      </c>
      <c r="P551">
        <v>0.216833</v>
      </c>
      <c r="Q551">
        <v>0.57871099999999998</v>
      </c>
      <c r="R551">
        <v>5.8639299999999999</v>
      </c>
      <c r="S551">
        <v>22.711400000000001</v>
      </c>
      <c r="T551">
        <v>42.642800000000001</v>
      </c>
      <c r="U551">
        <v>27.618500000000001</v>
      </c>
      <c r="V551">
        <v>0.58468600000000004</v>
      </c>
      <c r="W551">
        <v>119.792</v>
      </c>
      <c r="X551">
        <v>1.60212</v>
      </c>
      <c r="Y551">
        <v>2.51031</v>
      </c>
      <c r="Z551">
        <v>3.6959</v>
      </c>
      <c r="AA551">
        <v>13.4102</v>
      </c>
      <c r="AB551">
        <v>36.469900000000003</v>
      </c>
      <c r="AC551">
        <v>42.311599999999999</v>
      </c>
      <c r="AD551">
        <v>1.82951</v>
      </c>
      <c r="AE551">
        <v>10.5121</v>
      </c>
      <c r="AF551">
        <v>0</v>
      </c>
      <c r="AG551">
        <v>93.797200000000004</v>
      </c>
      <c r="AH551">
        <v>0.945739</v>
      </c>
      <c r="AI551">
        <v>0.91757200000000005</v>
      </c>
      <c r="AJ551">
        <v>4.33948</v>
      </c>
      <c r="AK551">
        <v>0</v>
      </c>
      <c r="AL551">
        <v>0.48286899999999999</v>
      </c>
      <c r="AM551">
        <v>5.8596599999999999</v>
      </c>
      <c r="AN551">
        <v>4.24132</v>
      </c>
      <c r="AO551">
        <v>6.1737700000000002</v>
      </c>
      <c r="AP551">
        <v>14.645300000000001</v>
      </c>
      <c r="AQ551">
        <v>36.9666</v>
      </c>
      <c r="AR551">
        <v>32.113300000000002</v>
      </c>
      <c r="AS551">
        <v>1.4246E-2</v>
      </c>
      <c r="AT551">
        <v>7.7810100000000002</v>
      </c>
      <c r="AU551">
        <v>40.4039</v>
      </c>
      <c r="AV551">
        <v>40.6233</v>
      </c>
      <c r="AW551">
        <v>8.3511900000000008</v>
      </c>
      <c r="AX551">
        <v>1.7344200000000001</v>
      </c>
      <c r="AY551">
        <v>1.1062099999999999</v>
      </c>
      <c r="AZ551">
        <v>525.28399999999999</v>
      </c>
      <c r="BA551">
        <v>616.79999999999995</v>
      </c>
      <c r="BB551">
        <v>32649.7</v>
      </c>
      <c r="BC551">
        <v>-5.1852599999999997E-3</v>
      </c>
      <c r="BD551">
        <v>0.49420900000000001</v>
      </c>
      <c r="BE551">
        <v>0.91501100000000002</v>
      </c>
      <c r="BF551">
        <v>3.7530800000000002</v>
      </c>
      <c r="BG551">
        <v>43.022599999999997</v>
      </c>
      <c r="BH551">
        <v>46.987400000000001</v>
      </c>
      <c r="BI551">
        <v>4.8277099999999997</v>
      </c>
      <c r="BJ551">
        <v>31.093900000000001</v>
      </c>
      <c r="BK551">
        <v>0</v>
      </c>
      <c r="BL551">
        <v>36.056699999999999</v>
      </c>
      <c r="BM551">
        <v>55.324100000000001</v>
      </c>
      <c r="BN551">
        <v>6.49641</v>
      </c>
      <c r="BO551">
        <v>1.03878</v>
      </c>
      <c r="BP551">
        <v>1.08402</v>
      </c>
      <c r="BQ551">
        <v>33.174900000000001</v>
      </c>
      <c r="BR551">
        <v>117157</v>
      </c>
    </row>
    <row r="552" spans="1:70" x14ac:dyDescent="0.25">
      <c r="A552">
        <v>46</v>
      </c>
      <c r="B552" s="7">
        <v>45966.538657407407</v>
      </c>
      <c r="C552" t="s">
        <v>174</v>
      </c>
      <c r="D552" s="6" t="s">
        <v>356</v>
      </c>
      <c r="E552" s="6" t="str">
        <f>VLOOKUP(F552,Germplasm!$A$1:$B$21,2,FALSE)</f>
        <v>Pernilla</v>
      </c>
      <c r="F552" t="s">
        <v>70</v>
      </c>
      <c r="G552" s="6" t="s">
        <v>113</v>
      </c>
      <c r="H552">
        <v>45770.400000000001</v>
      </c>
      <c r="I552">
        <v>402.42099999999999</v>
      </c>
      <c r="J552">
        <v>241331</v>
      </c>
      <c r="K552">
        <v>11.916700000000001</v>
      </c>
      <c r="L552">
        <v>74.837500000000006</v>
      </c>
      <c r="M552">
        <v>1824</v>
      </c>
      <c r="N552">
        <v>665.83699999999999</v>
      </c>
      <c r="O552">
        <v>25486000</v>
      </c>
      <c r="P552">
        <v>0.224436</v>
      </c>
      <c r="Q552">
        <v>0.81084199999999995</v>
      </c>
      <c r="R552">
        <v>5.8033099999999997</v>
      </c>
      <c r="S552">
        <v>22.495100000000001</v>
      </c>
      <c r="T552">
        <v>38.2746</v>
      </c>
      <c r="U552">
        <v>31.845800000000001</v>
      </c>
      <c r="V552">
        <v>0.77029999999999998</v>
      </c>
      <c r="W552">
        <v>113.06</v>
      </c>
      <c r="X552">
        <v>1.85046</v>
      </c>
      <c r="Y552">
        <v>4.7965200000000001</v>
      </c>
      <c r="Z552">
        <v>5.7984900000000001</v>
      </c>
      <c r="AA552">
        <v>15.709099999999999</v>
      </c>
      <c r="AB552">
        <v>37.0381</v>
      </c>
      <c r="AC552">
        <v>34.807299999999998</v>
      </c>
      <c r="AD552">
        <v>1.5915299999999999</v>
      </c>
      <c r="AE552">
        <v>9.4335500000000003</v>
      </c>
      <c r="AF552">
        <v>0</v>
      </c>
      <c r="AG552">
        <v>94.022000000000006</v>
      </c>
      <c r="AH552">
        <v>1.38808</v>
      </c>
      <c r="AI552">
        <v>2.7819600000000002</v>
      </c>
      <c r="AJ552">
        <v>1.8079799999999999</v>
      </c>
      <c r="AK552">
        <v>0</v>
      </c>
      <c r="AL552">
        <v>0.47436899999999999</v>
      </c>
      <c r="AM552">
        <v>5.0011599999999996</v>
      </c>
      <c r="AN552">
        <v>5.4200900000000001</v>
      </c>
      <c r="AO552">
        <v>8.4057300000000001</v>
      </c>
      <c r="AP552">
        <v>14.4899</v>
      </c>
      <c r="AQ552">
        <v>34.8797</v>
      </c>
      <c r="AR552">
        <v>31.8034</v>
      </c>
      <c r="AS552">
        <v>5.8383999999999998E-2</v>
      </c>
      <c r="AT552">
        <v>6.4384699999999997</v>
      </c>
      <c r="AU552">
        <v>33.6693</v>
      </c>
      <c r="AV552">
        <v>40.095199999999998</v>
      </c>
      <c r="AW552">
        <v>13.7737</v>
      </c>
      <c r="AX552">
        <v>4.1150200000000003</v>
      </c>
      <c r="AY552">
        <v>1.9083699999999999</v>
      </c>
      <c r="AZ552">
        <v>556.822</v>
      </c>
      <c r="BA552">
        <v>594.59900000000005</v>
      </c>
      <c r="BB552">
        <v>28758.7</v>
      </c>
      <c r="BC552">
        <v>2.1900200000000002E-2</v>
      </c>
      <c r="BD552">
        <v>0.55890200000000001</v>
      </c>
      <c r="BE552">
        <v>1.17669</v>
      </c>
      <c r="BF552">
        <v>3.1072600000000001</v>
      </c>
      <c r="BG552">
        <v>35.2639</v>
      </c>
      <c r="BH552">
        <v>50.122599999999998</v>
      </c>
      <c r="BI552">
        <v>9.7706499999999998</v>
      </c>
      <c r="BJ552">
        <v>33.0428</v>
      </c>
      <c r="BK552">
        <v>0</v>
      </c>
      <c r="BL552">
        <v>31.59</v>
      </c>
      <c r="BM552">
        <v>56.5929</v>
      </c>
      <c r="BN552">
        <v>9.4077000000000002</v>
      </c>
      <c r="BO552">
        <v>1.2423299999999999</v>
      </c>
      <c r="BP552">
        <v>1.16703</v>
      </c>
      <c r="BQ552">
        <v>38.9754</v>
      </c>
      <c r="BR552">
        <v>103596</v>
      </c>
    </row>
    <row r="553" spans="1:70" x14ac:dyDescent="0.25">
      <c r="A553">
        <v>46</v>
      </c>
      <c r="B553" s="7">
        <v>45973.567893518521</v>
      </c>
      <c r="C553" t="s">
        <v>174</v>
      </c>
      <c r="D553" s="6" t="s">
        <v>357</v>
      </c>
      <c r="E553" s="6" t="str">
        <f>VLOOKUP(F553,Germplasm!$A$1:$B$21,2,FALSE)</f>
        <v>Pernilla</v>
      </c>
      <c r="F553" t="s">
        <v>70</v>
      </c>
      <c r="G553" s="6" t="s">
        <v>113</v>
      </c>
      <c r="H553">
        <v>54511</v>
      </c>
      <c r="I553">
        <v>423.00200000000001</v>
      </c>
      <c r="J553">
        <v>281816</v>
      </c>
      <c r="K553">
        <v>12.6632</v>
      </c>
      <c r="L553">
        <v>74.377799999999993</v>
      </c>
      <c r="M553">
        <v>2045.63</v>
      </c>
      <c r="N553">
        <v>751.05899999999997</v>
      </c>
      <c r="O553">
        <v>34483900</v>
      </c>
      <c r="P553">
        <v>0.20883399999999999</v>
      </c>
      <c r="Q553">
        <v>0.75887199999999999</v>
      </c>
      <c r="R553">
        <v>7.2277199999999997</v>
      </c>
      <c r="S553">
        <v>24.1905</v>
      </c>
      <c r="T553">
        <v>40.363</v>
      </c>
      <c r="U553">
        <v>26.7379</v>
      </c>
      <c r="V553">
        <v>0.72198799999999996</v>
      </c>
      <c r="W553">
        <v>104.896</v>
      </c>
      <c r="X553">
        <v>3.0095900000000002</v>
      </c>
      <c r="Y553">
        <v>6.7874699999999999</v>
      </c>
      <c r="Z553">
        <v>7.6562099999999997</v>
      </c>
      <c r="AA553">
        <v>21.424199999999999</v>
      </c>
      <c r="AB553">
        <v>33.058399999999999</v>
      </c>
      <c r="AC553">
        <v>28.0641</v>
      </c>
      <c r="AD553">
        <v>1.5274799999999999</v>
      </c>
      <c r="AE553">
        <v>9.1029999999999998</v>
      </c>
      <c r="AF553">
        <v>0</v>
      </c>
      <c r="AG553">
        <v>95.370599999999996</v>
      </c>
      <c r="AH553">
        <v>1.00529</v>
      </c>
      <c r="AI553">
        <v>1.49342</v>
      </c>
      <c r="AJ553">
        <v>2.1306500000000002</v>
      </c>
      <c r="AK553">
        <v>0</v>
      </c>
      <c r="AL553">
        <v>0.45635100000000001</v>
      </c>
      <c r="AM553">
        <v>4.4975100000000001</v>
      </c>
      <c r="AN553">
        <v>6.2805099999999996</v>
      </c>
      <c r="AO553">
        <v>9.9956099999999992</v>
      </c>
      <c r="AP553">
        <v>16.804300000000001</v>
      </c>
      <c r="AQ553">
        <v>36.363100000000003</v>
      </c>
      <c r="AR553">
        <v>26.059000000000001</v>
      </c>
      <c r="AS553">
        <v>9.9675E-2</v>
      </c>
      <c r="AT553">
        <v>4.9401200000000003</v>
      </c>
      <c r="AU553">
        <v>26.73</v>
      </c>
      <c r="AV553">
        <v>40.398299999999999</v>
      </c>
      <c r="AW553">
        <v>19.982600000000001</v>
      </c>
      <c r="AX553">
        <v>5.8787099999999999</v>
      </c>
      <c r="AY553">
        <v>2.0702199999999999</v>
      </c>
      <c r="AZ553">
        <v>632.60400000000004</v>
      </c>
      <c r="BA553">
        <v>671.399</v>
      </c>
      <c r="BB553">
        <v>35686.9</v>
      </c>
      <c r="BC553">
        <v>5.3664099999999999E-2</v>
      </c>
      <c r="BD553">
        <v>0.516378</v>
      </c>
      <c r="BE553">
        <v>0.71414</v>
      </c>
      <c r="BF553">
        <v>2.47987</v>
      </c>
      <c r="BG553">
        <v>27.9543</v>
      </c>
      <c r="BH553">
        <v>54.111400000000003</v>
      </c>
      <c r="BI553">
        <v>14.2239</v>
      </c>
      <c r="BJ553">
        <v>33.094299999999997</v>
      </c>
      <c r="BK553">
        <v>0</v>
      </c>
      <c r="BL553">
        <v>31.7196</v>
      </c>
      <c r="BM553">
        <v>56.237299999999998</v>
      </c>
      <c r="BN553">
        <v>9.6204900000000002</v>
      </c>
      <c r="BO553">
        <v>1.29722</v>
      </c>
      <c r="BP553">
        <v>1.1253599999999999</v>
      </c>
      <c r="BQ553">
        <v>40.950800000000001</v>
      </c>
      <c r="BR553">
        <v>127426</v>
      </c>
    </row>
    <row r="554" spans="1:70" x14ac:dyDescent="0.25">
      <c r="A554">
        <v>46</v>
      </c>
      <c r="B554" s="7">
        <v>45988.573969907404</v>
      </c>
      <c r="C554" t="s">
        <v>174</v>
      </c>
      <c r="D554" s="6" t="s">
        <v>358</v>
      </c>
      <c r="E554" s="6" t="str">
        <f>VLOOKUP(F554,Germplasm!$A$1:$B$21,2,FALSE)</f>
        <v>Pernilla</v>
      </c>
      <c r="F554" t="s">
        <v>70</v>
      </c>
      <c r="G554" s="6" t="s">
        <v>113</v>
      </c>
      <c r="H554">
        <v>45885.8</v>
      </c>
      <c r="I554">
        <v>493.755</v>
      </c>
      <c r="J554">
        <v>150706</v>
      </c>
      <c r="K554">
        <v>16.826699999999999</v>
      </c>
      <c r="L554">
        <v>78.131399999999999</v>
      </c>
      <c r="M554">
        <v>1432.99</v>
      </c>
      <c r="N554">
        <v>495.15899999999999</v>
      </c>
      <c r="O554">
        <v>26823900</v>
      </c>
      <c r="P554">
        <v>8.2256599999999999E-2</v>
      </c>
      <c r="Q554">
        <v>1.2351399999999999</v>
      </c>
      <c r="R554">
        <v>24.554400000000001</v>
      </c>
      <c r="S554">
        <v>46.832599999999999</v>
      </c>
      <c r="T554">
        <v>21.461200000000002</v>
      </c>
      <c r="U554">
        <v>5.4062999999999999</v>
      </c>
      <c r="V554">
        <v>0.51035799999999998</v>
      </c>
      <c r="W554">
        <v>62.543399999999998</v>
      </c>
      <c r="X554">
        <v>13.458500000000001</v>
      </c>
      <c r="Y554">
        <v>28.734300000000001</v>
      </c>
      <c r="Z554">
        <v>14.140599999999999</v>
      </c>
      <c r="AA554">
        <v>17.244499999999999</v>
      </c>
      <c r="AB554">
        <v>11.0008</v>
      </c>
      <c r="AC554">
        <v>15.4213</v>
      </c>
      <c r="AD554">
        <v>1.80945</v>
      </c>
      <c r="AE554">
        <v>15.235900000000001</v>
      </c>
      <c r="AF554">
        <v>0</v>
      </c>
      <c r="AG554">
        <v>91.186099999999996</v>
      </c>
      <c r="AH554">
        <v>2.3208700000000002</v>
      </c>
      <c r="AI554">
        <v>1.1449100000000001</v>
      </c>
      <c r="AJ554">
        <v>5.3480800000000004</v>
      </c>
      <c r="AK554">
        <v>0</v>
      </c>
      <c r="AL554">
        <v>0.22462099999999999</v>
      </c>
      <c r="AM554">
        <v>11.492699999999999</v>
      </c>
      <c r="AN554">
        <v>28.299600000000002</v>
      </c>
      <c r="AO554">
        <v>28.438400000000001</v>
      </c>
      <c r="AP554">
        <v>17.0747</v>
      </c>
      <c r="AQ554">
        <v>11.101699999999999</v>
      </c>
      <c r="AR554">
        <v>3.5928800000000001</v>
      </c>
      <c r="AS554">
        <v>0.22240099999999999</v>
      </c>
      <c r="AT554">
        <v>1.4942</v>
      </c>
      <c r="AU554">
        <v>12.722099999999999</v>
      </c>
      <c r="AV554">
        <v>30.371099999999998</v>
      </c>
      <c r="AW554">
        <v>38.298200000000001</v>
      </c>
      <c r="AX554">
        <v>13.7263</v>
      </c>
      <c r="AY554">
        <v>3.38815</v>
      </c>
      <c r="AZ554">
        <v>584.58000000000004</v>
      </c>
      <c r="BA554">
        <v>659.399</v>
      </c>
      <c r="BB554">
        <v>25359</v>
      </c>
      <c r="BC554">
        <v>0.20640700000000001</v>
      </c>
      <c r="BD554">
        <v>0.44923099999999999</v>
      </c>
      <c r="BE554">
        <v>0.47251700000000002</v>
      </c>
      <c r="BF554">
        <v>1.4466600000000001</v>
      </c>
      <c r="BG554">
        <v>11.8459</v>
      </c>
      <c r="BH554">
        <v>34.316200000000002</v>
      </c>
      <c r="BI554">
        <v>51.469499999999996</v>
      </c>
      <c r="BJ554">
        <v>31.388300000000001</v>
      </c>
      <c r="BK554">
        <v>0</v>
      </c>
      <c r="BL554">
        <v>37.283299999999997</v>
      </c>
      <c r="BM554">
        <v>52.032200000000003</v>
      </c>
      <c r="BN554">
        <v>7.5932700000000004</v>
      </c>
      <c r="BO554">
        <v>1.68146</v>
      </c>
      <c r="BP554">
        <v>1.4097900000000001</v>
      </c>
      <c r="BQ554">
        <v>33.584899999999998</v>
      </c>
      <c r="BR554">
        <v>103065</v>
      </c>
    </row>
    <row r="555" spans="1:70" x14ac:dyDescent="0.25">
      <c r="A555">
        <v>46</v>
      </c>
      <c r="B555" s="7">
        <v>45994.558020833334</v>
      </c>
      <c r="C555" t="s">
        <v>174</v>
      </c>
      <c r="D555" s="6" t="s">
        <v>359</v>
      </c>
      <c r="E555" s="6" t="str">
        <f>VLOOKUP(F555,Germplasm!$A$1:$B$21,2,FALSE)</f>
        <v>Pernilla</v>
      </c>
      <c r="F555" t="s">
        <v>70</v>
      </c>
      <c r="G555" s="6" t="s">
        <v>113</v>
      </c>
      <c r="H555">
        <v>44978.7</v>
      </c>
      <c r="I555">
        <v>512.51099999999997</v>
      </c>
      <c r="J555">
        <v>145166</v>
      </c>
      <c r="K555">
        <v>17.286200000000001</v>
      </c>
      <c r="L555">
        <v>79.670199999999994</v>
      </c>
      <c r="M555">
        <v>1450.07</v>
      </c>
      <c r="N555">
        <v>515.33199999999999</v>
      </c>
      <c r="O555">
        <v>26755300</v>
      </c>
      <c r="P555">
        <v>6.8764500000000006E-2</v>
      </c>
      <c r="Q555">
        <v>1.4029799999999999</v>
      </c>
      <c r="R555">
        <v>26.751200000000001</v>
      </c>
      <c r="S555">
        <v>47.893500000000003</v>
      </c>
      <c r="T555">
        <v>19.084099999999999</v>
      </c>
      <c r="U555">
        <v>4.6175499999999996</v>
      </c>
      <c r="V555">
        <v>0.25060399999999999</v>
      </c>
      <c r="W555">
        <v>55.1402</v>
      </c>
      <c r="X555">
        <v>14.9849</v>
      </c>
      <c r="Y555">
        <v>35.283799999999999</v>
      </c>
      <c r="Z555">
        <v>13.792299999999999</v>
      </c>
      <c r="AA555">
        <v>14.9748</v>
      </c>
      <c r="AB555">
        <v>9.2924699999999998</v>
      </c>
      <c r="AC555">
        <v>11.6717</v>
      </c>
      <c r="AD555">
        <v>1.79244</v>
      </c>
      <c r="AE555">
        <v>15.532500000000001</v>
      </c>
      <c r="AF555">
        <v>0</v>
      </c>
      <c r="AG555">
        <v>90.968199999999996</v>
      </c>
      <c r="AH555">
        <v>2.55837</v>
      </c>
      <c r="AI555">
        <v>0.99536999999999998</v>
      </c>
      <c r="AJ555">
        <v>5.4780600000000002</v>
      </c>
      <c r="AK555">
        <v>0</v>
      </c>
      <c r="AL555">
        <v>0.21116499999999999</v>
      </c>
      <c r="AM555">
        <v>11.524800000000001</v>
      </c>
      <c r="AN555">
        <v>31.037600000000001</v>
      </c>
      <c r="AO555">
        <v>29.197900000000001</v>
      </c>
      <c r="AP555">
        <v>15.4267</v>
      </c>
      <c r="AQ555">
        <v>9.60548</v>
      </c>
      <c r="AR555">
        <v>3.2075300000000002</v>
      </c>
      <c r="AS555">
        <v>0.24909899999999999</v>
      </c>
      <c r="AT555">
        <v>1.1876</v>
      </c>
      <c r="AU555">
        <v>9.1706900000000005</v>
      </c>
      <c r="AV555">
        <v>28.043500000000002</v>
      </c>
      <c r="AW555">
        <v>40.987299999999998</v>
      </c>
      <c r="AX555">
        <v>17.3903</v>
      </c>
      <c r="AY555">
        <v>3.2206100000000002</v>
      </c>
      <c r="AZ555">
        <v>594.84299999999996</v>
      </c>
      <c r="BA555">
        <v>652.79899999999998</v>
      </c>
      <c r="BB555">
        <v>25093.599999999999</v>
      </c>
      <c r="BC555">
        <v>0.24213799999999999</v>
      </c>
      <c r="BD555">
        <v>0.33011299999999999</v>
      </c>
      <c r="BE555">
        <v>0.51529800000000003</v>
      </c>
      <c r="BF555">
        <v>1.22685</v>
      </c>
      <c r="BG555">
        <v>8.2860300000000002</v>
      </c>
      <c r="BH555">
        <v>30.363299999999999</v>
      </c>
      <c r="BI555">
        <v>59.278399999999998</v>
      </c>
      <c r="BJ555">
        <v>32.8172</v>
      </c>
      <c r="BK555">
        <v>0</v>
      </c>
      <c r="BL555">
        <v>32.020899999999997</v>
      </c>
      <c r="BM555">
        <v>57.749600000000001</v>
      </c>
      <c r="BN555">
        <v>7.3278999999999996</v>
      </c>
      <c r="BO555">
        <v>1.3929100000000001</v>
      </c>
      <c r="BP555">
        <v>1.5086599999999999</v>
      </c>
      <c r="BQ555">
        <v>33.945399999999999</v>
      </c>
      <c r="BR555">
        <v>99360</v>
      </c>
    </row>
    <row r="556" spans="1:70" x14ac:dyDescent="0.25">
      <c r="A556">
        <v>46</v>
      </c>
      <c r="B556" s="7">
        <v>46002.585115740738</v>
      </c>
      <c r="C556" t="s">
        <v>174</v>
      </c>
      <c r="D556" s="6" t="s">
        <v>360</v>
      </c>
      <c r="E556" s="6" t="str">
        <f>VLOOKUP(F556,Germplasm!$A$1:$B$21,2,FALSE)</f>
        <v>Pernilla</v>
      </c>
      <c r="F556" t="s">
        <v>70</v>
      </c>
      <c r="G556" s="6" t="s">
        <v>113</v>
      </c>
      <c r="H556">
        <v>23117</v>
      </c>
      <c r="I556">
        <v>508.072</v>
      </c>
      <c r="J556">
        <v>98789.2</v>
      </c>
      <c r="K556">
        <v>14.3926</v>
      </c>
      <c r="L556">
        <v>71.539000000000001</v>
      </c>
      <c r="M556">
        <v>1222.96</v>
      </c>
      <c r="N556">
        <v>464.74900000000002</v>
      </c>
      <c r="O556">
        <v>13640400</v>
      </c>
      <c r="P556">
        <v>4.8061699999999999E-2</v>
      </c>
      <c r="Q556">
        <v>0.77104200000000001</v>
      </c>
      <c r="R556">
        <v>32.889699999999998</v>
      </c>
      <c r="S556">
        <v>51.133000000000003</v>
      </c>
      <c r="T556">
        <v>11.0632</v>
      </c>
      <c r="U556">
        <v>3.88836</v>
      </c>
      <c r="V556">
        <v>0.25468800000000003</v>
      </c>
      <c r="W556">
        <v>47.633499999999998</v>
      </c>
      <c r="X556">
        <v>17.857800000000001</v>
      </c>
      <c r="Y556">
        <v>43.248100000000001</v>
      </c>
      <c r="Z556">
        <v>11.4924</v>
      </c>
      <c r="AA556">
        <v>11.2638</v>
      </c>
      <c r="AB556">
        <v>6.47187</v>
      </c>
      <c r="AC556">
        <v>9.6659400000000009</v>
      </c>
      <c r="AD556">
        <v>1.6258600000000001</v>
      </c>
      <c r="AE556">
        <v>19.245100000000001</v>
      </c>
      <c r="AF556">
        <v>0</v>
      </c>
      <c r="AG556">
        <v>85.036199999999994</v>
      </c>
      <c r="AH556">
        <v>4.2180499999999999</v>
      </c>
      <c r="AI556">
        <v>1.89795</v>
      </c>
      <c r="AJ556">
        <v>8.8477999999999994</v>
      </c>
      <c r="AK556">
        <v>0</v>
      </c>
      <c r="AL556">
        <v>0.162274</v>
      </c>
      <c r="AM556">
        <v>19.6965</v>
      </c>
      <c r="AN556">
        <v>34.866100000000003</v>
      </c>
      <c r="AO556">
        <v>25.5212</v>
      </c>
      <c r="AP556">
        <v>10.034000000000001</v>
      </c>
      <c r="AQ556">
        <v>6.9498499999999996</v>
      </c>
      <c r="AR556">
        <v>2.9323999999999999</v>
      </c>
      <c r="AS556">
        <v>0.26394200000000001</v>
      </c>
      <c r="AT556">
        <v>0.811164</v>
      </c>
      <c r="AU556">
        <v>7.3440899999999996</v>
      </c>
      <c r="AV556">
        <v>25.538599999999999</v>
      </c>
      <c r="AW556">
        <v>44.659399999999998</v>
      </c>
      <c r="AX556">
        <v>18.810300000000002</v>
      </c>
      <c r="AY556">
        <v>2.8364600000000002</v>
      </c>
      <c r="AZ556">
        <v>590.05999999999995</v>
      </c>
      <c r="BA556">
        <v>645.59900000000005</v>
      </c>
      <c r="BB556">
        <v>14218.4</v>
      </c>
      <c r="BC556">
        <v>0.27057599999999998</v>
      </c>
      <c r="BD556">
        <v>0.59834299999999996</v>
      </c>
      <c r="BE556">
        <v>0.35935499999999998</v>
      </c>
      <c r="BF556">
        <v>0.68381999999999998</v>
      </c>
      <c r="BG556">
        <v>6.5137400000000003</v>
      </c>
      <c r="BH556">
        <v>25.737500000000001</v>
      </c>
      <c r="BI556">
        <v>66.107299999999995</v>
      </c>
      <c r="BJ556">
        <v>32.435299999999998</v>
      </c>
      <c r="BK556">
        <v>0</v>
      </c>
      <c r="BL556">
        <v>32.528599999999997</v>
      </c>
      <c r="BM556">
        <v>57.7532</v>
      </c>
      <c r="BN556">
        <v>7.2987399999999996</v>
      </c>
      <c r="BO556">
        <v>1.44265</v>
      </c>
      <c r="BP556">
        <v>0.97688600000000003</v>
      </c>
      <c r="BQ556">
        <v>37.975700000000003</v>
      </c>
      <c r="BR556">
        <v>57325</v>
      </c>
    </row>
    <row r="557" spans="1:70" x14ac:dyDescent="0.25">
      <c r="A557">
        <v>46</v>
      </c>
      <c r="B557" s="7">
        <v>46013.562280092592</v>
      </c>
      <c r="C557" t="s">
        <v>174</v>
      </c>
      <c r="D557" s="6" t="s">
        <v>361</v>
      </c>
      <c r="E557" s="6" t="str">
        <f>VLOOKUP(F557,Germplasm!$A$1:$B$21,2,FALSE)</f>
        <v>Pernilla</v>
      </c>
      <c r="F557" t="s">
        <v>70</v>
      </c>
      <c r="G557" s="6" t="s">
        <v>113</v>
      </c>
      <c r="H557">
        <v>43279</v>
      </c>
      <c r="I557">
        <v>489.49</v>
      </c>
      <c r="J557">
        <v>144951</v>
      </c>
      <c r="K557">
        <v>16.3065</v>
      </c>
      <c r="L557">
        <v>87.000200000000007</v>
      </c>
      <c r="M557">
        <v>1398.76</v>
      </c>
      <c r="N557">
        <v>488.411</v>
      </c>
      <c r="O557">
        <v>25383800</v>
      </c>
      <c r="P557">
        <v>3.5945499999999998E-2</v>
      </c>
      <c r="Q557">
        <v>1.3180799999999999</v>
      </c>
      <c r="R557">
        <v>26.1784</v>
      </c>
      <c r="S557">
        <v>64.461299999999994</v>
      </c>
      <c r="T557">
        <v>6.3712200000000001</v>
      </c>
      <c r="U557">
        <v>1.61338</v>
      </c>
      <c r="V557">
        <v>5.7620900000000003E-2</v>
      </c>
      <c r="W557">
        <v>45.178899999999999</v>
      </c>
      <c r="X557">
        <v>13.7879</v>
      </c>
      <c r="Y557">
        <v>50.1693</v>
      </c>
      <c r="Z557">
        <v>15.7768</v>
      </c>
      <c r="AA557">
        <v>8.2089200000000009</v>
      </c>
      <c r="AB557">
        <v>3.2494100000000001</v>
      </c>
      <c r="AC557">
        <v>8.80776</v>
      </c>
      <c r="AD557">
        <v>1.8310200000000001</v>
      </c>
      <c r="AE557">
        <v>18.026599999999998</v>
      </c>
      <c r="AF557">
        <v>0</v>
      </c>
      <c r="AG557">
        <v>86.342799999999997</v>
      </c>
      <c r="AH557">
        <v>6.95052</v>
      </c>
      <c r="AI557">
        <v>0.97955499999999995</v>
      </c>
      <c r="AJ557">
        <v>5.7271000000000001</v>
      </c>
      <c r="AK557">
        <v>0</v>
      </c>
      <c r="AL557">
        <v>0.125975</v>
      </c>
      <c r="AM557">
        <v>13.693199999999999</v>
      </c>
      <c r="AN557">
        <v>49.828699999999998</v>
      </c>
      <c r="AO557">
        <v>27.499600000000001</v>
      </c>
      <c r="AP557">
        <v>6.50807</v>
      </c>
      <c r="AQ557">
        <v>1.87371</v>
      </c>
      <c r="AR557">
        <v>0.59678799999999999</v>
      </c>
      <c r="AS557">
        <v>0.25646000000000002</v>
      </c>
      <c r="AT557">
        <v>0.947658</v>
      </c>
      <c r="AU557">
        <v>6.2456899999999997</v>
      </c>
      <c r="AV557">
        <v>26.5581</v>
      </c>
      <c r="AW557">
        <v>49.8523</v>
      </c>
      <c r="AX557">
        <v>14.198399999999999</v>
      </c>
      <c r="AY557">
        <v>2.1978200000000001</v>
      </c>
      <c r="AZ557">
        <v>586.51700000000005</v>
      </c>
      <c r="BA557">
        <v>632.399</v>
      </c>
      <c r="BB557">
        <v>23636.5</v>
      </c>
      <c r="BC557">
        <v>0.28677000000000002</v>
      </c>
      <c r="BD557">
        <v>0.43524299999999999</v>
      </c>
      <c r="BE557">
        <v>0.55460100000000001</v>
      </c>
      <c r="BF557">
        <v>1.0937699999999999</v>
      </c>
      <c r="BG557">
        <v>5.1097400000000004</v>
      </c>
      <c r="BH557">
        <v>18.369700000000002</v>
      </c>
      <c r="BI557">
        <v>74.436899999999994</v>
      </c>
      <c r="BJ557">
        <v>30.624199999999998</v>
      </c>
      <c r="BK557">
        <v>0</v>
      </c>
      <c r="BL557">
        <v>37.807499999999997</v>
      </c>
      <c r="BM557">
        <v>54.641100000000002</v>
      </c>
      <c r="BN557">
        <v>4.8977700000000004</v>
      </c>
      <c r="BO557">
        <v>1.2079800000000001</v>
      </c>
      <c r="BP557">
        <v>1.44567</v>
      </c>
      <c r="BQ557">
        <v>33.135399999999997</v>
      </c>
      <c r="BR557">
        <v>97187</v>
      </c>
    </row>
    <row r="558" spans="1:70" x14ac:dyDescent="0.25">
      <c r="A558">
        <v>46</v>
      </c>
      <c r="B558" s="7">
        <v>46024.561076388891</v>
      </c>
      <c r="C558" t="s">
        <v>174</v>
      </c>
      <c r="D558" s="6" t="s">
        <v>362</v>
      </c>
      <c r="E558" s="6" t="str">
        <f>VLOOKUP(F558,Germplasm!$A$1:$B$21,2,FALSE)</f>
        <v>Pernilla</v>
      </c>
      <c r="F558" t="s">
        <v>70</v>
      </c>
      <c r="G558" s="6" t="s">
        <v>113</v>
      </c>
      <c r="H558">
        <v>44683.1</v>
      </c>
      <c r="I558">
        <v>462.24200000000002</v>
      </c>
      <c r="J558">
        <v>163207</v>
      </c>
      <c r="K558">
        <v>15.175000000000001</v>
      </c>
      <c r="L558">
        <v>90.841700000000003</v>
      </c>
      <c r="M558">
        <v>1513.23</v>
      </c>
      <c r="N558">
        <v>516.65899999999999</v>
      </c>
      <c r="O558">
        <v>24990600</v>
      </c>
      <c r="P558">
        <v>2.5394300000000001E-3</v>
      </c>
      <c r="Q558">
        <v>1.38392</v>
      </c>
      <c r="R558">
        <v>40.584099999999999</v>
      </c>
      <c r="S558">
        <v>56.557200000000002</v>
      </c>
      <c r="T558">
        <v>1.2980499999999999</v>
      </c>
      <c r="U558">
        <v>0.14877699999999999</v>
      </c>
      <c r="V558">
        <v>2.79581E-2</v>
      </c>
      <c r="W558">
        <v>35.270299999999999</v>
      </c>
      <c r="X558">
        <v>21.674499999999998</v>
      </c>
      <c r="Y558">
        <v>53.984999999999999</v>
      </c>
      <c r="Z558">
        <v>9.2331500000000002</v>
      </c>
      <c r="AA558">
        <v>3.6315499999999998</v>
      </c>
      <c r="AB558">
        <v>1.67449</v>
      </c>
      <c r="AC558">
        <v>9.8012999999999995</v>
      </c>
      <c r="AD558">
        <v>1.80416</v>
      </c>
      <c r="AE558">
        <v>20.4375</v>
      </c>
      <c r="AF558">
        <v>0</v>
      </c>
      <c r="AG558">
        <v>78.771799999999999</v>
      </c>
      <c r="AH558">
        <v>14.648999999999999</v>
      </c>
      <c r="AI558">
        <v>1.3000499999999999</v>
      </c>
      <c r="AJ558">
        <v>5.2790800000000004</v>
      </c>
      <c r="AK558">
        <v>0</v>
      </c>
      <c r="AL558">
        <v>8.1204899999999997E-2</v>
      </c>
      <c r="AM558">
        <v>24.683</v>
      </c>
      <c r="AN558">
        <v>50.598100000000002</v>
      </c>
      <c r="AO558">
        <v>19.5077</v>
      </c>
      <c r="AP558">
        <v>3.87419</v>
      </c>
      <c r="AQ558">
        <v>0.97353999999999996</v>
      </c>
      <c r="AR558">
        <v>0.36345499999999997</v>
      </c>
      <c r="AS558">
        <v>0.24859400000000001</v>
      </c>
      <c r="AT558">
        <v>0.956565</v>
      </c>
      <c r="AU558">
        <v>6.0019999999999998</v>
      </c>
      <c r="AV558">
        <v>30.442299999999999</v>
      </c>
      <c r="AW558">
        <v>46.893700000000003</v>
      </c>
      <c r="AX558">
        <v>13.2851</v>
      </c>
      <c r="AY558">
        <v>2.4203700000000001</v>
      </c>
      <c r="AZ558">
        <v>559.28499999999997</v>
      </c>
      <c r="BA558">
        <v>633.59900000000005</v>
      </c>
      <c r="BB558">
        <v>24766.7</v>
      </c>
      <c r="BC558">
        <v>0.30665300000000001</v>
      </c>
      <c r="BD558">
        <v>0.46829799999999999</v>
      </c>
      <c r="BE558">
        <v>0.46929599999999999</v>
      </c>
      <c r="BF558">
        <v>1.12032</v>
      </c>
      <c r="BG558">
        <v>4.8996500000000003</v>
      </c>
      <c r="BH558">
        <v>17.186199999999999</v>
      </c>
      <c r="BI558">
        <v>75.856200000000001</v>
      </c>
      <c r="BJ558">
        <v>28.7362</v>
      </c>
      <c r="BK558">
        <v>0</v>
      </c>
      <c r="BL558">
        <v>43.929099999999998</v>
      </c>
      <c r="BM558">
        <v>49.165300000000002</v>
      </c>
      <c r="BN558">
        <v>4.6270600000000002</v>
      </c>
      <c r="BO558">
        <v>1.10534</v>
      </c>
      <c r="BP558">
        <v>1.1732400000000001</v>
      </c>
      <c r="BQ558">
        <v>33.696399999999997</v>
      </c>
      <c r="BR558">
        <v>100150</v>
      </c>
    </row>
    <row r="559" spans="1:70" x14ac:dyDescent="0.25">
      <c r="A559">
        <v>46</v>
      </c>
      <c r="B559" s="7">
        <v>45952.574780092589</v>
      </c>
      <c r="C559" t="s">
        <v>177</v>
      </c>
      <c r="D559" s="6" t="s">
        <v>354</v>
      </c>
      <c r="E559" s="6" t="str">
        <f>VLOOKUP(F559,Germplasm!$A$1:$B$21,2,FALSE)</f>
        <v>Rodhette</v>
      </c>
      <c r="F559" t="s">
        <v>80</v>
      </c>
      <c r="G559" s="6" t="s">
        <v>113</v>
      </c>
      <c r="H559">
        <v>29110.400000000001</v>
      </c>
      <c r="I559">
        <v>264.06700000000001</v>
      </c>
      <c r="J559">
        <v>112636</v>
      </c>
      <c r="K559">
        <v>14.5479</v>
      </c>
      <c r="L559">
        <v>71.849800000000002</v>
      </c>
      <c r="M559">
        <v>1342.38</v>
      </c>
      <c r="N559">
        <v>468.00799999999998</v>
      </c>
      <c r="O559">
        <v>9375550</v>
      </c>
      <c r="P559">
        <v>0.26410600000000001</v>
      </c>
      <c r="Q559">
        <v>0.46209299999999998</v>
      </c>
      <c r="R559">
        <v>3.11869</v>
      </c>
      <c r="S559">
        <v>14.7659</v>
      </c>
      <c r="T559">
        <v>39.993000000000002</v>
      </c>
      <c r="U559">
        <v>41.226399999999998</v>
      </c>
      <c r="V559">
        <v>0.43397999999999998</v>
      </c>
      <c r="W559">
        <v>114.611</v>
      </c>
      <c r="X559">
        <v>0.87850300000000003</v>
      </c>
      <c r="Y559">
        <v>1.82904</v>
      </c>
      <c r="Z559">
        <v>3.8056800000000002</v>
      </c>
      <c r="AA559">
        <v>18.253499999999999</v>
      </c>
      <c r="AB559">
        <v>43.08</v>
      </c>
      <c r="AC559">
        <v>32.153199999999998</v>
      </c>
      <c r="AD559">
        <v>1.7765200000000001</v>
      </c>
      <c r="AE559">
        <v>6.6248800000000001</v>
      </c>
      <c r="AF559">
        <v>0</v>
      </c>
      <c r="AG559">
        <v>99.950800000000001</v>
      </c>
      <c r="AH559">
        <v>4.3925199999999998E-2</v>
      </c>
      <c r="AI559">
        <v>5.2710200000000004E-3</v>
      </c>
      <c r="AJ559">
        <v>0</v>
      </c>
      <c r="AK559">
        <v>0</v>
      </c>
      <c r="AL559">
        <v>0.55041200000000001</v>
      </c>
      <c r="AM559">
        <v>0.444523</v>
      </c>
      <c r="AN559">
        <v>1.9151400000000001</v>
      </c>
      <c r="AO559">
        <v>3.85839</v>
      </c>
      <c r="AP559">
        <v>12.7401</v>
      </c>
      <c r="AQ559">
        <v>39.005499999999998</v>
      </c>
      <c r="AR559">
        <v>42.0364</v>
      </c>
      <c r="AS559">
        <v>5.5561600000000003E-2</v>
      </c>
      <c r="AT559">
        <v>6.62216</v>
      </c>
      <c r="AU559">
        <v>31.533000000000001</v>
      </c>
      <c r="AV559">
        <v>43.522799999999997</v>
      </c>
      <c r="AW559">
        <v>14.136900000000001</v>
      </c>
      <c r="AX559">
        <v>2.7725599999999999</v>
      </c>
      <c r="AY559">
        <v>1.4126300000000001</v>
      </c>
      <c r="AZ559">
        <v>322.06900000000002</v>
      </c>
      <c r="BA559">
        <v>337.79899999999998</v>
      </c>
      <c r="BB559">
        <v>16386.2</v>
      </c>
      <c r="BC559">
        <v>2.1326100000000001E-2</v>
      </c>
      <c r="BD559">
        <v>2.8112100000000001E-2</v>
      </c>
      <c r="BE559">
        <v>0.34085900000000002</v>
      </c>
      <c r="BF559">
        <v>2.5177900000000002</v>
      </c>
      <c r="BG559">
        <v>35.2684</v>
      </c>
      <c r="BH559">
        <v>57.552500000000002</v>
      </c>
      <c r="BI559">
        <v>4.29237</v>
      </c>
      <c r="BJ559">
        <v>34.862900000000003</v>
      </c>
      <c r="BK559">
        <v>0</v>
      </c>
      <c r="BL559">
        <v>24.8827</v>
      </c>
      <c r="BM559">
        <v>62.155799999999999</v>
      </c>
      <c r="BN559">
        <v>11.636699999999999</v>
      </c>
      <c r="BO559">
        <v>1.0120400000000001</v>
      </c>
      <c r="BP559">
        <v>0.312747</v>
      </c>
      <c r="BQ559">
        <v>34.2791</v>
      </c>
      <c r="BR559">
        <v>56915</v>
      </c>
    </row>
    <row r="560" spans="1:70" x14ac:dyDescent="0.25">
      <c r="A560">
        <v>46</v>
      </c>
      <c r="B560" s="7">
        <v>45959.541030092594</v>
      </c>
      <c r="C560" t="s">
        <v>177</v>
      </c>
      <c r="D560" s="6" t="s">
        <v>355</v>
      </c>
      <c r="E560" s="6" t="str">
        <f>VLOOKUP(F560,Germplasm!$A$1:$B$21,2,FALSE)</f>
        <v>Rodhette</v>
      </c>
      <c r="F560" t="s">
        <v>80</v>
      </c>
      <c r="G560" s="6" t="s">
        <v>113</v>
      </c>
      <c r="H560">
        <v>51009.9</v>
      </c>
      <c r="I560">
        <v>352.90499999999997</v>
      </c>
      <c r="J560">
        <v>179887</v>
      </c>
      <c r="K560">
        <v>15.68</v>
      </c>
      <c r="L560">
        <v>93.636499999999998</v>
      </c>
      <c r="M560">
        <v>1583.27</v>
      </c>
      <c r="N560">
        <v>537.23500000000001</v>
      </c>
      <c r="O560">
        <v>21200000</v>
      </c>
      <c r="P560">
        <v>0.261542</v>
      </c>
      <c r="Q560">
        <v>0.653281</v>
      </c>
      <c r="R560">
        <v>2.9507500000000002</v>
      </c>
      <c r="S560">
        <v>15.455</v>
      </c>
      <c r="T560">
        <v>41.044800000000002</v>
      </c>
      <c r="U560">
        <v>38.692399999999999</v>
      </c>
      <c r="V560">
        <v>1.2036800000000001</v>
      </c>
      <c r="W560">
        <v>118.41800000000001</v>
      </c>
      <c r="X560">
        <v>0.74617900000000004</v>
      </c>
      <c r="Y560">
        <v>1.45939</v>
      </c>
      <c r="Z560">
        <v>2.9857200000000002</v>
      </c>
      <c r="AA560">
        <v>16.176200000000001</v>
      </c>
      <c r="AB560">
        <v>40.342599999999997</v>
      </c>
      <c r="AC560">
        <v>38.289900000000003</v>
      </c>
      <c r="AD560">
        <v>1.80846</v>
      </c>
      <c r="AE560">
        <v>6.32064</v>
      </c>
      <c r="AF560">
        <v>0</v>
      </c>
      <c r="AG560">
        <v>99.898099999999999</v>
      </c>
      <c r="AH560">
        <v>8.0910999999999997E-2</v>
      </c>
      <c r="AI560">
        <v>2.09769E-2</v>
      </c>
      <c r="AJ560">
        <v>0</v>
      </c>
      <c r="AK560">
        <v>0</v>
      </c>
      <c r="AL560">
        <v>0.54877600000000004</v>
      </c>
      <c r="AM560">
        <v>0.46548800000000001</v>
      </c>
      <c r="AN560">
        <v>2.1016900000000001</v>
      </c>
      <c r="AO560">
        <v>4.6009399999999996</v>
      </c>
      <c r="AP560">
        <v>12.8758</v>
      </c>
      <c r="AQ560">
        <v>38.490699999999997</v>
      </c>
      <c r="AR560">
        <v>41.465400000000002</v>
      </c>
      <c r="AS560">
        <v>3.8959599999999997E-2</v>
      </c>
      <c r="AT560">
        <v>8.3687900000000006</v>
      </c>
      <c r="AU560">
        <v>35.866500000000002</v>
      </c>
      <c r="AV560">
        <v>39.002099999999999</v>
      </c>
      <c r="AW560">
        <v>12.1197</v>
      </c>
      <c r="AX560">
        <v>2.6940400000000002</v>
      </c>
      <c r="AY560">
        <v>1.94886</v>
      </c>
      <c r="AZ560">
        <v>415.60399999999998</v>
      </c>
      <c r="BA560">
        <v>421.8</v>
      </c>
      <c r="BB560">
        <v>28206.3</v>
      </c>
      <c r="BC560">
        <v>7.7336999999999996E-3</v>
      </c>
      <c r="BD560">
        <v>0.10088900000000001</v>
      </c>
      <c r="BE560">
        <v>0.49046000000000001</v>
      </c>
      <c r="BF560">
        <v>3.33134</v>
      </c>
      <c r="BG560">
        <v>40.311700000000002</v>
      </c>
      <c r="BH560">
        <v>51.4514</v>
      </c>
      <c r="BI560">
        <v>4.3142500000000004</v>
      </c>
      <c r="BJ560">
        <v>34.992199999999997</v>
      </c>
      <c r="BK560">
        <v>0</v>
      </c>
      <c r="BL560">
        <v>26.9514</v>
      </c>
      <c r="BM560">
        <v>58.7624</v>
      </c>
      <c r="BN560">
        <v>11.852</v>
      </c>
      <c r="BO560">
        <v>1.5492999999999999</v>
      </c>
      <c r="BP560">
        <v>0.88502599999999998</v>
      </c>
      <c r="BQ560">
        <v>33.609299999999998</v>
      </c>
      <c r="BR560">
        <v>100110</v>
      </c>
    </row>
    <row r="561" spans="1:70" x14ac:dyDescent="0.25">
      <c r="A561">
        <v>46</v>
      </c>
      <c r="B561" s="7">
        <v>45966.538657407407</v>
      </c>
      <c r="C561" t="s">
        <v>177</v>
      </c>
      <c r="D561" s="6" t="s">
        <v>356</v>
      </c>
      <c r="E561" s="6" t="str">
        <f>VLOOKUP(F561,Germplasm!$A$1:$B$21,2,FALSE)</f>
        <v>Rodhette</v>
      </c>
      <c r="F561" t="s">
        <v>80</v>
      </c>
      <c r="G561" s="6" t="s">
        <v>113</v>
      </c>
      <c r="H561">
        <v>53720.9</v>
      </c>
      <c r="I561">
        <v>362.41500000000002</v>
      </c>
      <c r="J561">
        <v>274313</v>
      </c>
      <c r="K561">
        <v>13.1646</v>
      </c>
      <c r="L561">
        <v>79.059299999999993</v>
      </c>
      <c r="M561">
        <v>1975.88</v>
      </c>
      <c r="N561">
        <v>691.45799999999997</v>
      </c>
      <c r="O561">
        <v>25517300</v>
      </c>
      <c r="P561">
        <v>0.29883700000000002</v>
      </c>
      <c r="Q561">
        <v>0.68862400000000001</v>
      </c>
      <c r="R561">
        <v>2.42448</v>
      </c>
      <c r="S561">
        <v>9.9846400000000006</v>
      </c>
      <c r="T561">
        <v>33.351300000000002</v>
      </c>
      <c r="U561">
        <v>52.126300000000001</v>
      </c>
      <c r="V561">
        <v>1.4246300000000001</v>
      </c>
      <c r="W561">
        <v>116.28</v>
      </c>
      <c r="X561">
        <v>0.74008700000000005</v>
      </c>
      <c r="Y561">
        <v>0.89856100000000005</v>
      </c>
      <c r="Z561">
        <v>1.9801</v>
      </c>
      <c r="AA561">
        <v>15.1097</v>
      </c>
      <c r="AB561">
        <v>50.119300000000003</v>
      </c>
      <c r="AC561">
        <v>31.1523</v>
      </c>
      <c r="AD561">
        <v>1.4876100000000001</v>
      </c>
      <c r="AE561">
        <v>6.2061799999999998</v>
      </c>
      <c r="AF561">
        <v>0</v>
      </c>
      <c r="AG561">
        <v>99.713300000000004</v>
      </c>
      <c r="AH561">
        <v>0.27528599999999998</v>
      </c>
      <c r="AI561">
        <v>9.8024800000000006E-3</v>
      </c>
      <c r="AJ561">
        <v>1.63375E-3</v>
      </c>
      <c r="AK561">
        <v>0</v>
      </c>
      <c r="AL561">
        <v>0.58150500000000005</v>
      </c>
      <c r="AM561">
        <v>0.45336500000000002</v>
      </c>
      <c r="AN561">
        <v>1.5831</v>
      </c>
      <c r="AO561">
        <v>3.0363199999999999</v>
      </c>
      <c r="AP561">
        <v>8.86144</v>
      </c>
      <c r="AQ561">
        <v>32.580199999999998</v>
      </c>
      <c r="AR561">
        <v>53.485599999999998</v>
      </c>
      <c r="AS561">
        <v>5.6385200000000003E-2</v>
      </c>
      <c r="AT561">
        <v>6.2596999999999996</v>
      </c>
      <c r="AU561">
        <v>32.447000000000003</v>
      </c>
      <c r="AV561">
        <v>42.738</v>
      </c>
      <c r="AW561">
        <v>13.828799999999999</v>
      </c>
      <c r="AX561">
        <v>3.1090200000000001</v>
      </c>
      <c r="AY561">
        <v>1.61741</v>
      </c>
      <c r="AZ561">
        <v>474.99799999999999</v>
      </c>
      <c r="BA561">
        <v>484.79899999999998</v>
      </c>
      <c r="BB561">
        <v>36112.199999999997</v>
      </c>
      <c r="BC561">
        <v>1.6141699999999998E-2</v>
      </c>
      <c r="BD561">
        <v>0.128249</v>
      </c>
      <c r="BE561">
        <v>0.51544699999999999</v>
      </c>
      <c r="BF561">
        <v>1.93354</v>
      </c>
      <c r="BG561">
        <v>36.1295</v>
      </c>
      <c r="BH561">
        <v>58.207099999999997</v>
      </c>
      <c r="BI561">
        <v>3.0861499999999999</v>
      </c>
      <c r="BJ561">
        <v>38.191899999999997</v>
      </c>
      <c r="BK561">
        <v>0</v>
      </c>
      <c r="BL561">
        <v>18.930199999999999</v>
      </c>
      <c r="BM561">
        <v>61.960700000000003</v>
      </c>
      <c r="BN561">
        <v>16.742599999999999</v>
      </c>
      <c r="BO561">
        <v>1.4858899999999999</v>
      </c>
      <c r="BP561">
        <v>0.88058899999999996</v>
      </c>
      <c r="BQ561">
        <v>42.299599999999998</v>
      </c>
      <c r="BR561">
        <v>122418</v>
      </c>
    </row>
    <row r="562" spans="1:70" x14ac:dyDescent="0.25">
      <c r="A562">
        <v>46</v>
      </c>
      <c r="B562" s="7">
        <v>45973.567893518521</v>
      </c>
      <c r="C562" t="s">
        <v>177</v>
      </c>
      <c r="D562" s="6" t="s">
        <v>357</v>
      </c>
      <c r="E562" s="6" t="str">
        <f>VLOOKUP(F562,Germplasm!$A$1:$B$21,2,FALSE)</f>
        <v>Rodhette</v>
      </c>
      <c r="F562" t="s">
        <v>80</v>
      </c>
      <c r="G562" s="6" t="s">
        <v>113</v>
      </c>
      <c r="H562">
        <v>59176</v>
      </c>
      <c r="I562">
        <v>419.07400000000001</v>
      </c>
      <c r="J562">
        <v>215762</v>
      </c>
      <c r="K562">
        <v>18.294599999999999</v>
      </c>
      <c r="L562">
        <v>62.293199999999999</v>
      </c>
      <c r="M562">
        <v>1759.68</v>
      </c>
      <c r="N562">
        <v>686.44299999999998</v>
      </c>
      <c r="O562">
        <v>32385300</v>
      </c>
      <c r="P562">
        <v>0.28977199999999997</v>
      </c>
      <c r="Q562">
        <v>0.58404500000000004</v>
      </c>
      <c r="R562">
        <v>2.46149</v>
      </c>
      <c r="S562">
        <v>11.8216</v>
      </c>
      <c r="T562">
        <v>35.7667</v>
      </c>
      <c r="U562">
        <v>47.631599999999999</v>
      </c>
      <c r="V562">
        <v>1.73455</v>
      </c>
      <c r="W562">
        <v>115.005</v>
      </c>
      <c r="X562">
        <v>0.74892599999999998</v>
      </c>
      <c r="Y562">
        <v>1.5616099999999999</v>
      </c>
      <c r="Z562">
        <v>3.13714</v>
      </c>
      <c r="AA562">
        <v>17.324999999999999</v>
      </c>
      <c r="AB562">
        <v>45.766599999999997</v>
      </c>
      <c r="AC562">
        <v>31.460799999999999</v>
      </c>
      <c r="AD562">
        <v>1.49916</v>
      </c>
      <c r="AE562">
        <v>6.3144400000000003</v>
      </c>
      <c r="AF562">
        <v>0</v>
      </c>
      <c r="AG562">
        <v>99.727400000000003</v>
      </c>
      <c r="AH562">
        <v>0.26234400000000002</v>
      </c>
      <c r="AI562">
        <v>1.0259300000000001E-2</v>
      </c>
      <c r="AJ562">
        <v>0</v>
      </c>
      <c r="AK562">
        <v>0</v>
      </c>
      <c r="AL562">
        <v>0.56237199999999998</v>
      </c>
      <c r="AM562">
        <v>0.54374100000000003</v>
      </c>
      <c r="AN562">
        <v>2.10608</v>
      </c>
      <c r="AO562">
        <v>4.1322900000000002</v>
      </c>
      <c r="AP562">
        <v>10.8741</v>
      </c>
      <c r="AQ562">
        <v>35.140900000000002</v>
      </c>
      <c r="AR562">
        <v>47.2029</v>
      </c>
      <c r="AS562">
        <v>6.9920599999999999E-2</v>
      </c>
      <c r="AT562">
        <v>6.64947</v>
      </c>
      <c r="AU562">
        <v>31.6051</v>
      </c>
      <c r="AV562">
        <v>40.0199</v>
      </c>
      <c r="AW562">
        <v>14.966100000000001</v>
      </c>
      <c r="AX562">
        <v>4.0831900000000001</v>
      </c>
      <c r="AY562">
        <v>2.6762000000000001</v>
      </c>
      <c r="AZ562">
        <v>547.27</v>
      </c>
      <c r="BA562">
        <v>557.70000000000005</v>
      </c>
      <c r="BB562">
        <v>39472.9</v>
      </c>
      <c r="BC562">
        <v>2.45165E-2</v>
      </c>
      <c r="BD562">
        <v>0.134103</v>
      </c>
      <c r="BE562">
        <v>0.54227499999999995</v>
      </c>
      <c r="BF562">
        <v>2.2042799999999998</v>
      </c>
      <c r="BG562">
        <v>35.3703</v>
      </c>
      <c r="BH562">
        <v>56.132100000000001</v>
      </c>
      <c r="BI562">
        <v>5.6169500000000001</v>
      </c>
      <c r="BJ562">
        <v>38.142400000000002</v>
      </c>
      <c r="BK562">
        <v>0</v>
      </c>
      <c r="BL562">
        <v>20.386600000000001</v>
      </c>
      <c r="BM562">
        <v>60.100999999999999</v>
      </c>
      <c r="BN562">
        <v>16.243300000000001</v>
      </c>
      <c r="BO562">
        <v>2.2606999999999999</v>
      </c>
      <c r="BP562">
        <v>1.00834</v>
      </c>
      <c r="BQ562">
        <v>41.9009</v>
      </c>
      <c r="BR562">
        <v>136462</v>
      </c>
    </row>
    <row r="563" spans="1:70" x14ac:dyDescent="0.25">
      <c r="A563">
        <v>46</v>
      </c>
      <c r="B563" s="7">
        <v>45988.573969907404</v>
      </c>
      <c r="C563" t="s">
        <v>177</v>
      </c>
      <c r="D563" s="6" t="s">
        <v>358</v>
      </c>
      <c r="E563" s="6" t="str">
        <f>VLOOKUP(F563,Germplasm!$A$1:$B$21,2,FALSE)</f>
        <v>Rodhette</v>
      </c>
      <c r="F563" t="s">
        <v>80</v>
      </c>
      <c r="G563" s="6" t="s">
        <v>113</v>
      </c>
      <c r="H563">
        <v>77717.600000000006</v>
      </c>
      <c r="I563">
        <v>444.86</v>
      </c>
      <c r="J563">
        <v>167848</v>
      </c>
      <c r="K563">
        <v>26.668800000000001</v>
      </c>
      <c r="L563">
        <v>86.855099999999993</v>
      </c>
      <c r="M563">
        <v>1542.87</v>
      </c>
      <c r="N563">
        <v>543.42499999999995</v>
      </c>
      <c r="O563">
        <v>47025000</v>
      </c>
      <c r="P563">
        <v>0.26537500000000003</v>
      </c>
      <c r="Q563">
        <v>0.55369299999999999</v>
      </c>
      <c r="R563">
        <v>3.73963</v>
      </c>
      <c r="S563">
        <v>12.529</v>
      </c>
      <c r="T563">
        <v>41.124600000000001</v>
      </c>
      <c r="U563">
        <v>40.8352</v>
      </c>
      <c r="V563">
        <v>1.21787</v>
      </c>
      <c r="W563">
        <v>107.292</v>
      </c>
      <c r="X563">
        <v>2.2612299999999999</v>
      </c>
      <c r="Y563">
        <v>3.57578</v>
      </c>
      <c r="Z563">
        <v>4.5186900000000003</v>
      </c>
      <c r="AA563">
        <v>20.702000000000002</v>
      </c>
      <c r="AB563">
        <v>47.326999999999998</v>
      </c>
      <c r="AC563">
        <v>21.615400000000001</v>
      </c>
      <c r="AD563">
        <v>1.73621</v>
      </c>
      <c r="AE563">
        <v>6.9645099999999998</v>
      </c>
      <c r="AF563">
        <v>0</v>
      </c>
      <c r="AG563">
        <v>99.689300000000003</v>
      </c>
      <c r="AH563">
        <v>0.30446800000000002</v>
      </c>
      <c r="AI563">
        <v>5.0221600000000003E-3</v>
      </c>
      <c r="AJ563">
        <v>1.2555400000000001E-3</v>
      </c>
      <c r="AK563">
        <v>0</v>
      </c>
      <c r="AL563">
        <v>0.50749699999999998</v>
      </c>
      <c r="AM563">
        <v>0.89896699999999996</v>
      </c>
      <c r="AN563">
        <v>5.2330899999999998</v>
      </c>
      <c r="AO563">
        <v>6.9751500000000002</v>
      </c>
      <c r="AP563">
        <v>14.337</v>
      </c>
      <c r="AQ563">
        <v>38.266300000000001</v>
      </c>
      <c r="AR563">
        <v>34.289400000000001</v>
      </c>
      <c r="AS563">
        <v>0.112771</v>
      </c>
      <c r="AT563">
        <v>2.2844600000000002</v>
      </c>
      <c r="AU563">
        <v>25.7486</v>
      </c>
      <c r="AV563">
        <v>46.268500000000003</v>
      </c>
      <c r="AW563">
        <v>17.538</v>
      </c>
      <c r="AX563">
        <v>5.4760400000000002</v>
      </c>
      <c r="AY563">
        <v>2.6843400000000002</v>
      </c>
      <c r="AZ563">
        <v>605.07500000000005</v>
      </c>
      <c r="BA563">
        <v>677.399</v>
      </c>
      <c r="BB563">
        <v>44762.9</v>
      </c>
      <c r="BC563">
        <v>6.6836300000000001E-2</v>
      </c>
      <c r="BD563">
        <v>4.4571699999999999E-2</v>
      </c>
      <c r="BE563">
        <v>0.166987</v>
      </c>
      <c r="BF563">
        <v>0.98936599999999997</v>
      </c>
      <c r="BG563">
        <v>26.828399999999998</v>
      </c>
      <c r="BH563">
        <v>59.928199999999997</v>
      </c>
      <c r="BI563">
        <v>12.0425</v>
      </c>
      <c r="BJ563">
        <v>36.268900000000002</v>
      </c>
      <c r="BK563">
        <v>0</v>
      </c>
      <c r="BL563">
        <v>20.475300000000001</v>
      </c>
      <c r="BM563">
        <v>65.3</v>
      </c>
      <c r="BN563">
        <v>11.4907</v>
      </c>
      <c r="BO563">
        <v>1.83372</v>
      </c>
      <c r="BP563">
        <v>0.90022199999999997</v>
      </c>
      <c r="BQ563">
        <v>35.218600000000002</v>
      </c>
      <c r="BR563">
        <v>159294</v>
      </c>
    </row>
    <row r="564" spans="1:70" x14ac:dyDescent="0.25">
      <c r="A564">
        <v>46</v>
      </c>
      <c r="B564" s="7">
        <v>45994.558020833334</v>
      </c>
      <c r="C564" t="s">
        <v>177</v>
      </c>
      <c r="D564" s="6" t="s">
        <v>359</v>
      </c>
      <c r="E564" s="6" t="str">
        <f>VLOOKUP(F564,Germplasm!$A$1:$B$21,2,FALSE)</f>
        <v>Rodhette</v>
      </c>
      <c r="F564" t="s">
        <v>80</v>
      </c>
      <c r="G564" s="6" t="s">
        <v>113</v>
      </c>
      <c r="H564">
        <v>71197.3</v>
      </c>
      <c r="I564">
        <v>477.50200000000001</v>
      </c>
      <c r="J564">
        <v>168860</v>
      </c>
      <c r="K564">
        <v>22.6572</v>
      </c>
      <c r="L564">
        <v>67.107900000000001</v>
      </c>
      <c r="M564">
        <v>1551.83</v>
      </c>
      <c r="N564">
        <v>567.18600000000004</v>
      </c>
      <c r="O564">
        <v>44807300</v>
      </c>
      <c r="P564">
        <v>0.22687499999999999</v>
      </c>
      <c r="Q564">
        <v>1.30463</v>
      </c>
      <c r="R564">
        <v>7.4549200000000004</v>
      </c>
      <c r="S564">
        <v>16.904699999999998</v>
      </c>
      <c r="T564">
        <v>40.760199999999998</v>
      </c>
      <c r="U564">
        <v>32.427599999999998</v>
      </c>
      <c r="V564">
        <v>1.1479600000000001</v>
      </c>
      <c r="W564">
        <v>98.755399999999995</v>
      </c>
      <c r="X564">
        <v>5.3724400000000001</v>
      </c>
      <c r="Y564">
        <v>5.9758399999999998</v>
      </c>
      <c r="Z564">
        <v>7.4042899999999996</v>
      </c>
      <c r="AA564">
        <v>24.442399999999999</v>
      </c>
      <c r="AB564">
        <v>38.479999999999997</v>
      </c>
      <c r="AC564">
        <v>18.324999999999999</v>
      </c>
      <c r="AD564">
        <v>1.86093</v>
      </c>
      <c r="AE564">
        <v>7.7374799999999997</v>
      </c>
      <c r="AF564">
        <v>0</v>
      </c>
      <c r="AG564">
        <v>99.411699999999996</v>
      </c>
      <c r="AH564">
        <v>0.58834799999999998</v>
      </c>
      <c r="AI564">
        <v>0</v>
      </c>
      <c r="AJ564">
        <v>0</v>
      </c>
      <c r="AK564">
        <v>0</v>
      </c>
      <c r="AL564">
        <v>0.43998199999999998</v>
      </c>
      <c r="AM564">
        <v>1.6549</v>
      </c>
      <c r="AN564">
        <v>10.1435</v>
      </c>
      <c r="AO564">
        <v>12.2965</v>
      </c>
      <c r="AP564">
        <v>18.478200000000001</v>
      </c>
      <c r="AQ564">
        <v>35.303600000000003</v>
      </c>
      <c r="AR564">
        <v>22.1233</v>
      </c>
      <c r="AS564">
        <v>0.15420600000000001</v>
      </c>
      <c r="AT564">
        <v>1.8382499999999999</v>
      </c>
      <c r="AU564">
        <v>20.036000000000001</v>
      </c>
      <c r="AV564">
        <v>42.700400000000002</v>
      </c>
      <c r="AW564">
        <v>24.4329</v>
      </c>
      <c r="AX564">
        <v>7.6895699999999998</v>
      </c>
      <c r="AY564">
        <v>3.3029600000000001</v>
      </c>
      <c r="AZ564">
        <v>629.34</v>
      </c>
      <c r="BA564">
        <v>700.79899999999998</v>
      </c>
      <c r="BB564">
        <v>38258.9</v>
      </c>
      <c r="BC564">
        <v>0.108027</v>
      </c>
      <c r="BD564">
        <v>7.5937900000000003E-2</v>
      </c>
      <c r="BE564">
        <v>0.22644600000000001</v>
      </c>
      <c r="BF564">
        <v>1.0727100000000001</v>
      </c>
      <c r="BG564">
        <v>20.495699999999999</v>
      </c>
      <c r="BH564">
        <v>56.556699999999999</v>
      </c>
      <c r="BI564">
        <v>21.572500000000002</v>
      </c>
      <c r="BJ564">
        <v>36.014200000000002</v>
      </c>
      <c r="BK564">
        <v>0</v>
      </c>
      <c r="BL564">
        <v>23.057099999999998</v>
      </c>
      <c r="BM564">
        <v>62.4846</v>
      </c>
      <c r="BN564">
        <v>11.2539</v>
      </c>
      <c r="BO564">
        <v>2.0359600000000002</v>
      </c>
      <c r="BP564">
        <v>1.16849</v>
      </c>
      <c r="BQ564">
        <v>32.548900000000003</v>
      </c>
      <c r="BR564">
        <v>146172</v>
      </c>
    </row>
    <row r="565" spans="1:70" x14ac:dyDescent="0.25">
      <c r="A565">
        <v>46</v>
      </c>
      <c r="B565" s="7">
        <v>46002.585115740738</v>
      </c>
      <c r="C565" t="s">
        <v>177</v>
      </c>
      <c r="D565" s="6" t="s">
        <v>360</v>
      </c>
      <c r="E565" s="6" t="str">
        <f>VLOOKUP(F565,Germplasm!$A$1:$B$21,2,FALSE)</f>
        <v>Rodhette</v>
      </c>
      <c r="F565" t="s">
        <v>80</v>
      </c>
      <c r="G565" s="6" t="s">
        <v>113</v>
      </c>
      <c r="H565">
        <v>20701.400000000001</v>
      </c>
      <c r="I565">
        <v>498.32799999999997</v>
      </c>
      <c r="J565">
        <v>115154</v>
      </c>
      <c r="K565">
        <v>9.6230100000000007</v>
      </c>
      <c r="L565">
        <v>61.494500000000002</v>
      </c>
      <c r="M565">
        <v>1357.2</v>
      </c>
      <c r="N565">
        <v>516.19500000000005</v>
      </c>
      <c r="O565">
        <v>12576400</v>
      </c>
      <c r="P565">
        <v>0.16961499999999999</v>
      </c>
      <c r="Q565">
        <v>0.93293400000000004</v>
      </c>
      <c r="R565">
        <v>15.657500000000001</v>
      </c>
      <c r="S565">
        <v>25.998899999999999</v>
      </c>
      <c r="T565">
        <v>36.2898</v>
      </c>
      <c r="U565">
        <v>20.3947</v>
      </c>
      <c r="V565">
        <v>0.726105</v>
      </c>
      <c r="W565">
        <v>81.444800000000001</v>
      </c>
      <c r="X565">
        <v>12.1127</v>
      </c>
      <c r="Y565">
        <v>13.738799999999999</v>
      </c>
      <c r="Z565">
        <v>11.336</v>
      </c>
      <c r="AA565">
        <v>23.662199999999999</v>
      </c>
      <c r="AB565">
        <v>27.594200000000001</v>
      </c>
      <c r="AC565">
        <v>11.556100000000001</v>
      </c>
      <c r="AD565">
        <v>1.8681399999999999</v>
      </c>
      <c r="AE565">
        <v>9.50291</v>
      </c>
      <c r="AF565">
        <v>0</v>
      </c>
      <c r="AG565">
        <v>97.368399999999994</v>
      </c>
      <c r="AH565">
        <v>2.6271800000000001</v>
      </c>
      <c r="AI565">
        <v>4.40063E-3</v>
      </c>
      <c r="AJ565">
        <v>0</v>
      </c>
      <c r="AK565">
        <v>0</v>
      </c>
      <c r="AL565">
        <v>0.33638699999999999</v>
      </c>
      <c r="AM565">
        <v>4.8956999999999997</v>
      </c>
      <c r="AN565">
        <v>22.777699999999999</v>
      </c>
      <c r="AO565">
        <v>16.115100000000002</v>
      </c>
      <c r="AP565">
        <v>19.072299999999998</v>
      </c>
      <c r="AQ565">
        <v>24.586300000000001</v>
      </c>
      <c r="AR565">
        <v>12.5528</v>
      </c>
      <c r="AS565">
        <v>0.20155200000000001</v>
      </c>
      <c r="AT565">
        <v>0.787713</v>
      </c>
      <c r="AU565">
        <v>12.880699999999999</v>
      </c>
      <c r="AV565">
        <v>38.597999999999999</v>
      </c>
      <c r="AW565">
        <v>33.810099999999998</v>
      </c>
      <c r="AX565">
        <v>11.360200000000001</v>
      </c>
      <c r="AY565">
        <v>2.5633699999999999</v>
      </c>
      <c r="AZ565">
        <v>607.51400000000001</v>
      </c>
      <c r="BA565">
        <v>681.59900000000005</v>
      </c>
      <c r="BB565">
        <v>11081.3</v>
      </c>
      <c r="BC565">
        <v>0.18445600000000001</v>
      </c>
      <c r="BD565">
        <v>1.10016E-2</v>
      </c>
      <c r="BE565">
        <v>8.1411700000000004E-2</v>
      </c>
      <c r="BF565">
        <v>0.48626999999999998</v>
      </c>
      <c r="BG565">
        <v>13.089700000000001</v>
      </c>
      <c r="BH565">
        <v>46.950400000000002</v>
      </c>
      <c r="BI565">
        <v>39.381300000000003</v>
      </c>
      <c r="BJ565">
        <v>34.009900000000002</v>
      </c>
      <c r="BK565">
        <v>0</v>
      </c>
      <c r="BL565">
        <v>27.572199999999999</v>
      </c>
      <c r="BM565">
        <v>60.623100000000001</v>
      </c>
      <c r="BN565">
        <v>9.7232000000000003</v>
      </c>
      <c r="BO565">
        <v>1.3884000000000001</v>
      </c>
      <c r="BP565">
        <v>0.69310000000000005</v>
      </c>
      <c r="BQ565">
        <v>32.366900000000001</v>
      </c>
      <c r="BR565">
        <v>45448</v>
      </c>
    </row>
    <row r="566" spans="1:70" x14ac:dyDescent="0.25">
      <c r="A566">
        <v>46</v>
      </c>
      <c r="B566" s="7">
        <v>46013.562280092592</v>
      </c>
      <c r="C566" t="s">
        <v>177</v>
      </c>
      <c r="D566" s="6" t="s">
        <v>361</v>
      </c>
      <c r="E566" s="6" t="str">
        <f>VLOOKUP(F566,Germplasm!$A$1:$B$21,2,FALSE)</f>
        <v>Rodhette</v>
      </c>
      <c r="F566" t="s">
        <v>80</v>
      </c>
      <c r="G566" s="6" t="s">
        <v>113</v>
      </c>
      <c r="H566">
        <v>34770.400000000001</v>
      </c>
      <c r="I566">
        <v>547.01800000000003</v>
      </c>
      <c r="J566">
        <v>145908</v>
      </c>
      <c r="K566">
        <v>12.8399</v>
      </c>
      <c r="L566">
        <v>72.283900000000003</v>
      </c>
      <c r="M566">
        <v>1475.33</v>
      </c>
      <c r="N566">
        <v>543.03499999999997</v>
      </c>
      <c r="O566">
        <v>22164400</v>
      </c>
      <c r="P566">
        <v>0.124765</v>
      </c>
      <c r="Q566">
        <v>1.0686100000000001</v>
      </c>
      <c r="R566">
        <v>17.482099999999999</v>
      </c>
      <c r="S566">
        <v>41.404699999999998</v>
      </c>
      <c r="T566">
        <v>27.7441</v>
      </c>
      <c r="U566">
        <v>11.952299999999999</v>
      </c>
      <c r="V566">
        <v>0.34817199999999998</v>
      </c>
      <c r="W566">
        <v>61.819099999999999</v>
      </c>
      <c r="X566">
        <v>10.4199</v>
      </c>
      <c r="Y566">
        <v>27.72</v>
      </c>
      <c r="Z566">
        <v>22.460100000000001</v>
      </c>
      <c r="AA566">
        <v>23.127500000000001</v>
      </c>
      <c r="AB566">
        <v>9.3548600000000004</v>
      </c>
      <c r="AC566">
        <v>6.9176599999999997</v>
      </c>
      <c r="AD566">
        <v>1.8559600000000001</v>
      </c>
      <c r="AE566">
        <v>13.1479</v>
      </c>
      <c r="AF566">
        <v>0</v>
      </c>
      <c r="AG566">
        <v>89.262100000000004</v>
      </c>
      <c r="AH566">
        <v>10.678900000000001</v>
      </c>
      <c r="AI566">
        <v>5.9032599999999998E-2</v>
      </c>
      <c r="AJ566">
        <v>0</v>
      </c>
      <c r="AK566">
        <v>0</v>
      </c>
      <c r="AL566">
        <v>0.20709</v>
      </c>
      <c r="AM566">
        <v>6.0598799999999997</v>
      </c>
      <c r="AN566">
        <v>43.222700000000003</v>
      </c>
      <c r="AO566">
        <v>22.790199999999999</v>
      </c>
      <c r="AP566">
        <v>15.1172</v>
      </c>
      <c r="AQ566">
        <v>9.3102800000000006</v>
      </c>
      <c r="AR566">
        <v>3.49979</v>
      </c>
      <c r="AS566">
        <v>0.27128999999999998</v>
      </c>
      <c r="AT566">
        <v>0.62285400000000002</v>
      </c>
      <c r="AU566">
        <v>5.2153499999999999</v>
      </c>
      <c r="AV566">
        <v>25.945399999999999</v>
      </c>
      <c r="AW566">
        <v>48.229599999999998</v>
      </c>
      <c r="AX566">
        <v>16.6327</v>
      </c>
      <c r="AY566">
        <v>3.3540100000000002</v>
      </c>
      <c r="AZ566">
        <v>637.45100000000002</v>
      </c>
      <c r="BA566">
        <v>678.59900000000005</v>
      </c>
      <c r="BB566">
        <v>18734.5</v>
      </c>
      <c r="BC566">
        <v>0.278665</v>
      </c>
      <c r="BD566">
        <v>3.1323400000000001E-2</v>
      </c>
      <c r="BE566">
        <v>0.19878299999999999</v>
      </c>
      <c r="BF566">
        <v>0.68550100000000003</v>
      </c>
      <c r="BG566">
        <v>4.9213899999999997</v>
      </c>
      <c r="BH566">
        <v>26.763400000000001</v>
      </c>
      <c r="BI566">
        <v>67.399600000000007</v>
      </c>
      <c r="BJ566">
        <v>34.123899999999999</v>
      </c>
      <c r="BK566">
        <v>0</v>
      </c>
      <c r="BL566">
        <v>29.257300000000001</v>
      </c>
      <c r="BM566">
        <v>56.9833</v>
      </c>
      <c r="BN566">
        <v>11.6945</v>
      </c>
      <c r="BO566">
        <v>1.54569</v>
      </c>
      <c r="BP566">
        <v>0.51924599999999999</v>
      </c>
      <c r="BQ566">
        <v>32.6282</v>
      </c>
      <c r="BR566">
        <v>83005</v>
      </c>
    </row>
    <row r="567" spans="1:70" x14ac:dyDescent="0.25">
      <c r="A567">
        <v>46</v>
      </c>
      <c r="B567" s="7">
        <v>46024.561076388891</v>
      </c>
      <c r="C567" t="s">
        <v>177</v>
      </c>
      <c r="D567" s="6" t="s">
        <v>362</v>
      </c>
      <c r="E567" s="6" t="str">
        <f>VLOOKUP(F567,Germplasm!$A$1:$B$21,2,FALSE)</f>
        <v>Rodhette</v>
      </c>
      <c r="F567" t="s">
        <v>80</v>
      </c>
      <c r="G567" s="6" t="s">
        <v>113</v>
      </c>
      <c r="H567">
        <v>45384.1</v>
      </c>
      <c r="I567">
        <v>539.31200000000001</v>
      </c>
      <c r="J567">
        <v>141832</v>
      </c>
      <c r="K567">
        <v>17.231000000000002</v>
      </c>
      <c r="L567">
        <v>74.126900000000006</v>
      </c>
      <c r="M567">
        <v>1470.02</v>
      </c>
      <c r="N567">
        <v>522.90899999999999</v>
      </c>
      <c r="O567">
        <v>26960200</v>
      </c>
      <c r="P567">
        <v>1.18838E-2</v>
      </c>
      <c r="Q567">
        <v>1.0024299999999999</v>
      </c>
      <c r="R567">
        <v>41.062399999999997</v>
      </c>
      <c r="S567">
        <v>53.497999999999998</v>
      </c>
      <c r="T567">
        <v>3.65611</v>
      </c>
      <c r="U567">
        <v>0.75997199999999998</v>
      </c>
      <c r="V567">
        <v>2.10837E-2</v>
      </c>
      <c r="W567">
        <v>34.935200000000002</v>
      </c>
      <c r="X567">
        <v>23.7211</v>
      </c>
      <c r="Y567">
        <v>52.833799999999997</v>
      </c>
      <c r="Z567">
        <v>11.393800000000001</v>
      </c>
      <c r="AA567">
        <v>4.1343199999999998</v>
      </c>
      <c r="AB567">
        <v>0.99380900000000005</v>
      </c>
      <c r="AC567">
        <v>6.9231199999999999</v>
      </c>
      <c r="AD567">
        <v>1.85703</v>
      </c>
      <c r="AE567">
        <v>18.6464</v>
      </c>
      <c r="AF567">
        <v>0</v>
      </c>
      <c r="AG567">
        <v>73.119200000000006</v>
      </c>
      <c r="AH567">
        <v>26.2042</v>
      </c>
      <c r="AI567">
        <v>0.67659499999999995</v>
      </c>
      <c r="AJ567">
        <v>0</v>
      </c>
      <c r="AK567">
        <v>0</v>
      </c>
      <c r="AL567">
        <v>6.7789699999999994E-2</v>
      </c>
      <c r="AM567">
        <v>21.317499999999999</v>
      </c>
      <c r="AN567">
        <v>62.722099999999998</v>
      </c>
      <c r="AO567">
        <v>11.989000000000001</v>
      </c>
      <c r="AP567">
        <v>3.1261399999999999</v>
      </c>
      <c r="AQ567">
        <v>0.68809500000000001</v>
      </c>
      <c r="AR567">
        <v>0.157169</v>
      </c>
      <c r="AS567">
        <v>0.25113999999999997</v>
      </c>
      <c r="AT567">
        <v>0.45809100000000003</v>
      </c>
      <c r="AU567">
        <v>3.4950999999999999</v>
      </c>
      <c r="AV567">
        <v>28.763000000000002</v>
      </c>
      <c r="AW567">
        <v>56.992100000000001</v>
      </c>
      <c r="AX567">
        <v>8.4929000000000006</v>
      </c>
      <c r="AY567">
        <v>1.7988200000000001</v>
      </c>
      <c r="AZ567">
        <v>594.04399999999998</v>
      </c>
      <c r="BA567">
        <v>628.19899999999996</v>
      </c>
      <c r="BB567">
        <v>24439.200000000001</v>
      </c>
      <c r="BC567">
        <v>0.338727</v>
      </c>
      <c r="BD567">
        <v>9.6793400000000002E-2</v>
      </c>
      <c r="BE567">
        <v>0.25971300000000003</v>
      </c>
      <c r="BF567">
        <v>0.65647</v>
      </c>
      <c r="BG567">
        <v>2.9402200000000001</v>
      </c>
      <c r="BH567">
        <v>11.8634</v>
      </c>
      <c r="BI567">
        <v>84.183400000000006</v>
      </c>
      <c r="BJ567">
        <v>26.8032</v>
      </c>
      <c r="BK567">
        <v>0</v>
      </c>
      <c r="BL567">
        <v>47.566699999999997</v>
      </c>
      <c r="BM567">
        <v>48.158099999999997</v>
      </c>
      <c r="BN567">
        <v>3.3896799999999998</v>
      </c>
      <c r="BO567">
        <v>0.66796999999999995</v>
      </c>
      <c r="BP567">
        <v>0.21754499999999999</v>
      </c>
      <c r="BQ567">
        <v>32.614699999999999</v>
      </c>
      <c r="BR567">
        <v>104346</v>
      </c>
    </row>
    <row r="568" spans="1:70" x14ac:dyDescent="0.25">
      <c r="A568">
        <v>46</v>
      </c>
      <c r="B568" s="7">
        <v>45952.574780092589</v>
      </c>
      <c r="C568" t="s">
        <v>176</v>
      </c>
      <c r="D568" s="6" t="s">
        <v>354</v>
      </c>
      <c r="E568" s="6" t="str">
        <f>VLOOKUP(F568,Germplasm!$A$1:$B$21,2,FALSE)</f>
        <v>Tiril</v>
      </c>
      <c r="F568" t="s">
        <v>64</v>
      </c>
      <c r="G568" s="6" t="s">
        <v>113</v>
      </c>
      <c r="H568">
        <v>28805.8</v>
      </c>
      <c r="I568">
        <v>275.86099999999999</v>
      </c>
      <c r="J568">
        <v>71869.600000000006</v>
      </c>
      <c r="K568">
        <v>21.777899999999999</v>
      </c>
      <c r="L568">
        <v>52.729500000000002</v>
      </c>
      <c r="M568">
        <v>1083.6300000000001</v>
      </c>
      <c r="N568">
        <v>438.50599999999997</v>
      </c>
      <c r="O568">
        <v>9514100</v>
      </c>
      <c r="P568">
        <v>0.25985599999999998</v>
      </c>
      <c r="Q568">
        <v>0.30623299999999998</v>
      </c>
      <c r="R568">
        <v>2.3284899999999999</v>
      </c>
      <c r="S568">
        <v>14.243600000000001</v>
      </c>
      <c r="T568">
        <v>44.835099999999997</v>
      </c>
      <c r="U568">
        <v>37.956099999999999</v>
      </c>
      <c r="V568">
        <v>0.33050800000000002</v>
      </c>
      <c r="W568">
        <v>114.131</v>
      </c>
      <c r="X568">
        <v>0.60686399999999996</v>
      </c>
      <c r="Y568">
        <v>1.4676800000000001</v>
      </c>
      <c r="Z568">
        <v>3.04366</v>
      </c>
      <c r="AA568">
        <v>20.0732</v>
      </c>
      <c r="AB568">
        <v>44.693199999999997</v>
      </c>
      <c r="AC568">
        <v>30.115400000000001</v>
      </c>
      <c r="AD568">
        <v>1.84043</v>
      </c>
      <c r="AE568">
        <v>7.2091599999999998</v>
      </c>
      <c r="AF568">
        <v>0</v>
      </c>
      <c r="AG568">
        <v>99.893600000000006</v>
      </c>
      <c r="AH568">
        <v>8.9629200000000006E-2</v>
      </c>
      <c r="AI568">
        <v>1.49382E-2</v>
      </c>
      <c r="AJ568">
        <v>1.8672700000000001E-3</v>
      </c>
      <c r="AK568">
        <v>0</v>
      </c>
      <c r="AL568">
        <v>0.53444100000000005</v>
      </c>
      <c r="AM568">
        <v>0.32863999999999999</v>
      </c>
      <c r="AN568">
        <v>1.5348999999999999</v>
      </c>
      <c r="AO568">
        <v>3.4227099999999999</v>
      </c>
      <c r="AP568">
        <v>15.3565</v>
      </c>
      <c r="AQ568">
        <v>46.237400000000001</v>
      </c>
      <c r="AR568">
        <v>33.119799999999998</v>
      </c>
      <c r="AS568">
        <v>5.67714E-2</v>
      </c>
      <c r="AT568">
        <v>5.9173900000000001</v>
      </c>
      <c r="AU568">
        <v>30.578499999999998</v>
      </c>
      <c r="AV568">
        <v>46.566099999999999</v>
      </c>
      <c r="AW568">
        <v>13.323</v>
      </c>
      <c r="AX568">
        <v>2.39011</v>
      </c>
      <c r="AY568">
        <v>1.2249300000000001</v>
      </c>
      <c r="AZ568">
        <v>330.28399999999999</v>
      </c>
      <c r="BA568">
        <v>335.399</v>
      </c>
      <c r="BB568">
        <v>15651.7</v>
      </c>
      <c r="BC568">
        <v>2.3442600000000001E-2</v>
      </c>
      <c r="BD568">
        <v>1.6805500000000001E-2</v>
      </c>
      <c r="BE568">
        <v>0.28569299999999997</v>
      </c>
      <c r="BF568">
        <v>2.53016</v>
      </c>
      <c r="BG568">
        <v>33.663200000000003</v>
      </c>
      <c r="BH568">
        <v>59.502600000000001</v>
      </c>
      <c r="BI568">
        <v>4.0015700000000001</v>
      </c>
      <c r="BJ568">
        <v>33.770400000000002</v>
      </c>
      <c r="BK568">
        <v>0</v>
      </c>
      <c r="BL568">
        <v>26.800999999999998</v>
      </c>
      <c r="BM568">
        <v>62.570500000000003</v>
      </c>
      <c r="BN568">
        <v>9.5417699999999996</v>
      </c>
      <c r="BO568">
        <v>0.85334399999999999</v>
      </c>
      <c r="BP568">
        <v>0.23340900000000001</v>
      </c>
      <c r="BQ568">
        <v>32.931800000000003</v>
      </c>
      <c r="BR568">
        <v>53554</v>
      </c>
    </row>
    <row r="569" spans="1:70" x14ac:dyDescent="0.25">
      <c r="A569">
        <v>46</v>
      </c>
      <c r="B569" s="7">
        <v>45959.541030092594</v>
      </c>
      <c r="C569" t="s">
        <v>176</v>
      </c>
      <c r="D569" s="6" t="s">
        <v>355</v>
      </c>
      <c r="E569" s="6" t="str">
        <f>VLOOKUP(F569,Germplasm!$A$1:$B$21,2,FALSE)</f>
        <v>Tiril</v>
      </c>
      <c r="F569" t="s">
        <v>64</v>
      </c>
      <c r="G569" s="6" t="s">
        <v>113</v>
      </c>
      <c r="H569">
        <v>44787.4</v>
      </c>
      <c r="I569">
        <v>408.63299999999998</v>
      </c>
      <c r="J569">
        <v>136782</v>
      </c>
      <c r="K569">
        <v>18.043299999999999</v>
      </c>
      <c r="L569">
        <v>74.587299999999999</v>
      </c>
      <c r="M569">
        <v>1377.52</v>
      </c>
      <c r="N569">
        <v>493.87099999999998</v>
      </c>
      <c r="O569">
        <v>21923300</v>
      </c>
      <c r="P569">
        <v>0.235712</v>
      </c>
      <c r="Q569">
        <v>0.64920699999999998</v>
      </c>
      <c r="R569">
        <v>3.1518000000000002</v>
      </c>
      <c r="S569">
        <v>19.770600000000002</v>
      </c>
      <c r="T569">
        <v>45.544600000000003</v>
      </c>
      <c r="U569">
        <v>30.18</v>
      </c>
      <c r="V569">
        <v>0.70388899999999999</v>
      </c>
      <c r="W569">
        <v>122.23399999999999</v>
      </c>
      <c r="X569">
        <v>0.69458200000000003</v>
      </c>
      <c r="Y569">
        <v>1.24024</v>
      </c>
      <c r="Z569">
        <v>2.5991599999999999</v>
      </c>
      <c r="AA569">
        <v>13.7334</v>
      </c>
      <c r="AB569">
        <v>37.932099999999998</v>
      </c>
      <c r="AC569">
        <v>43.8005</v>
      </c>
      <c r="AD569">
        <v>1.81473</v>
      </c>
      <c r="AE569">
        <v>6.4802499999999998</v>
      </c>
      <c r="AF569">
        <v>0</v>
      </c>
      <c r="AG569">
        <v>99.942999999999998</v>
      </c>
      <c r="AH569">
        <v>5.7009200000000003E-2</v>
      </c>
      <c r="AI569">
        <v>0</v>
      </c>
      <c r="AJ569">
        <v>0</v>
      </c>
      <c r="AK569">
        <v>0</v>
      </c>
      <c r="AL569">
        <v>0.53373199999999998</v>
      </c>
      <c r="AM569">
        <v>0.45141999999999999</v>
      </c>
      <c r="AN569">
        <v>1.9290099999999999</v>
      </c>
      <c r="AO569">
        <v>4.4478799999999996</v>
      </c>
      <c r="AP569">
        <v>16.4908</v>
      </c>
      <c r="AQ569">
        <v>40.570799999999998</v>
      </c>
      <c r="AR569">
        <v>36.110100000000003</v>
      </c>
      <c r="AS569">
        <v>1.22548E-2</v>
      </c>
      <c r="AT569">
        <v>8.7142700000000008</v>
      </c>
      <c r="AU569">
        <v>41.343299999999999</v>
      </c>
      <c r="AV569">
        <v>37.738900000000001</v>
      </c>
      <c r="AW569">
        <v>9.0854099999999995</v>
      </c>
      <c r="AX569">
        <v>1.9010800000000001</v>
      </c>
      <c r="AY569">
        <v>1.2169700000000001</v>
      </c>
      <c r="AZ569">
        <v>489.49799999999999</v>
      </c>
      <c r="BA569">
        <v>495.6</v>
      </c>
      <c r="BB569">
        <v>24679.9</v>
      </c>
      <c r="BC569">
        <v>-4.7401099999999996E-3</v>
      </c>
      <c r="BD569">
        <v>5.3518900000000001E-2</v>
      </c>
      <c r="BE569">
        <v>0.46072800000000003</v>
      </c>
      <c r="BF569">
        <v>3.9662099999999998</v>
      </c>
      <c r="BG569">
        <v>45.573599999999999</v>
      </c>
      <c r="BH569">
        <v>46.611400000000003</v>
      </c>
      <c r="BI569">
        <v>3.33446</v>
      </c>
      <c r="BJ569">
        <v>31.6797</v>
      </c>
      <c r="BK569">
        <v>0</v>
      </c>
      <c r="BL569">
        <v>34.655799999999999</v>
      </c>
      <c r="BM569">
        <v>55.842300000000002</v>
      </c>
      <c r="BN569">
        <v>7.8684399999999997</v>
      </c>
      <c r="BO569">
        <v>0.92494600000000005</v>
      </c>
      <c r="BP569">
        <v>0.70854300000000003</v>
      </c>
      <c r="BQ569">
        <v>33.474499999999999</v>
      </c>
      <c r="BR569">
        <v>85951</v>
      </c>
    </row>
    <row r="570" spans="1:70" x14ac:dyDescent="0.25">
      <c r="A570">
        <v>46</v>
      </c>
      <c r="B570" s="7">
        <v>45966.538657407407</v>
      </c>
      <c r="C570" t="s">
        <v>176</v>
      </c>
      <c r="D570" s="6" t="s">
        <v>356</v>
      </c>
      <c r="E570" s="6" t="str">
        <f>VLOOKUP(F570,Germplasm!$A$1:$B$21,2,FALSE)</f>
        <v>Tiril</v>
      </c>
      <c r="F570" t="s">
        <v>64</v>
      </c>
      <c r="G570" s="6" t="s">
        <v>113</v>
      </c>
      <c r="H570">
        <v>37857</v>
      </c>
      <c r="I570">
        <v>369.96800000000002</v>
      </c>
      <c r="J570">
        <v>244375</v>
      </c>
      <c r="K570">
        <v>9.4634300000000007</v>
      </c>
      <c r="L570">
        <v>81.247699999999995</v>
      </c>
      <c r="M570">
        <v>1918.56</v>
      </c>
      <c r="N570">
        <v>691.37599999999998</v>
      </c>
      <c r="O570">
        <v>18653900</v>
      </c>
      <c r="P570">
        <v>0.28601700000000002</v>
      </c>
      <c r="Q570">
        <v>0.74861200000000006</v>
      </c>
      <c r="R570">
        <v>2.6913499999999999</v>
      </c>
      <c r="S570">
        <v>12.570600000000001</v>
      </c>
      <c r="T570">
        <v>34.685699999999997</v>
      </c>
      <c r="U570">
        <v>47.927</v>
      </c>
      <c r="V570">
        <v>1.3767199999999999</v>
      </c>
      <c r="W570">
        <v>117.45399999999999</v>
      </c>
      <c r="X570">
        <v>0.76078500000000004</v>
      </c>
      <c r="Y570">
        <v>1.2221200000000001</v>
      </c>
      <c r="Z570">
        <v>2.3919100000000002</v>
      </c>
      <c r="AA570">
        <v>15.389799999999999</v>
      </c>
      <c r="AB570">
        <v>45.872300000000003</v>
      </c>
      <c r="AC570">
        <v>34.363100000000003</v>
      </c>
      <c r="AD570">
        <v>1.63697</v>
      </c>
      <c r="AE570">
        <v>5.8074199999999996</v>
      </c>
      <c r="AF570">
        <v>0</v>
      </c>
      <c r="AG570">
        <v>99.888000000000005</v>
      </c>
      <c r="AH570">
        <v>0.111988</v>
      </c>
      <c r="AI570">
        <v>0</v>
      </c>
      <c r="AJ570">
        <v>0</v>
      </c>
      <c r="AK570">
        <v>0</v>
      </c>
      <c r="AL570">
        <v>0.56673200000000001</v>
      </c>
      <c r="AM570">
        <v>0.471078</v>
      </c>
      <c r="AN570">
        <v>1.7455400000000001</v>
      </c>
      <c r="AO570">
        <v>3.2732000000000001</v>
      </c>
      <c r="AP570">
        <v>10.501300000000001</v>
      </c>
      <c r="AQ570">
        <v>36.487200000000001</v>
      </c>
      <c r="AR570">
        <v>47.521700000000003</v>
      </c>
      <c r="AS570">
        <v>5.4758099999999997E-2</v>
      </c>
      <c r="AT570">
        <v>7.77583</v>
      </c>
      <c r="AU570">
        <v>32.965699999999998</v>
      </c>
      <c r="AV570">
        <v>39.758000000000003</v>
      </c>
      <c r="AW570">
        <v>13.885199999999999</v>
      </c>
      <c r="AX570">
        <v>3.3997999999999999</v>
      </c>
      <c r="AY570">
        <v>2.2154099999999999</v>
      </c>
      <c r="AZ570">
        <v>492.745</v>
      </c>
      <c r="BA570">
        <v>549.59900000000005</v>
      </c>
      <c r="BB570">
        <v>23126.3</v>
      </c>
      <c r="BC570">
        <v>1.3071299999999999E-2</v>
      </c>
      <c r="BD570">
        <v>7.30354E-2</v>
      </c>
      <c r="BE570">
        <v>0.61228000000000005</v>
      </c>
      <c r="BF570">
        <v>2.7497799999999999</v>
      </c>
      <c r="BG570">
        <v>37.302799999999998</v>
      </c>
      <c r="BH570">
        <v>55.487400000000001</v>
      </c>
      <c r="BI570">
        <v>3.7747099999999998</v>
      </c>
      <c r="BJ570">
        <v>37.669899999999998</v>
      </c>
      <c r="BK570">
        <v>0</v>
      </c>
      <c r="BL570">
        <v>21.904499999999999</v>
      </c>
      <c r="BM570">
        <v>58.97</v>
      </c>
      <c r="BN570">
        <v>16.255199999999999</v>
      </c>
      <c r="BO570">
        <v>1.92326</v>
      </c>
      <c r="BP570">
        <v>0.94702500000000001</v>
      </c>
      <c r="BQ570">
        <v>37.693300000000001</v>
      </c>
      <c r="BR570">
        <v>82152</v>
      </c>
    </row>
    <row r="571" spans="1:70" x14ac:dyDescent="0.25">
      <c r="A571">
        <v>46</v>
      </c>
      <c r="B571" s="7">
        <v>45973.567893518521</v>
      </c>
      <c r="C571" t="s">
        <v>176</v>
      </c>
      <c r="D571" s="6" t="s">
        <v>357</v>
      </c>
      <c r="E571" s="6" t="str">
        <f>VLOOKUP(F571,Germplasm!$A$1:$B$21,2,FALSE)</f>
        <v>Tiril</v>
      </c>
      <c r="F571" t="s">
        <v>64</v>
      </c>
      <c r="G571" s="6" t="s">
        <v>113</v>
      </c>
      <c r="H571">
        <v>43885.4</v>
      </c>
      <c r="I571">
        <v>462.09100000000001</v>
      </c>
      <c r="J571">
        <v>192995</v>
      </c>
      <c r="K571">
        <v>14.8965</v>
      </c>
      <c r="L571">
        <v>71.550799999999995</v>
      </c>
      <c r="M571">
        <v>1695.54</v>
      </c>
      <c r="N571">
        <v>649.89</v>
      </c>
      <c r="O571">
        <v>25347500</v>
      </c>
      <c r="P571">
        <v>0.26572200000000001</v>
      </c>
      <c r="Q571">
        <v>0.64802499999999996</v>
      </c>
      <c r="R571">
        <v>2.9260199999999998</v>
      </c>
      <c r="S571">
        <v>14.315</v>
      </c>
      <c r="T571">
        <v>40.062600000000003</v>
      </c>
      <c r="U571">
        <v>40.958399999999997</v>
      </c>
      <c r="V571">
        <v>1.08995</v>
      </c>
      <c r="W571">
        <v>114.97199999999999</v>
      </c>
      <c r="X571">
        <v>0.88484200000000002</v>
      </c>
      <c r="Y571">
        <v>2.11748</v>
      </c>
      <c r="Z571">
        <v>3.3540800000000002</v>
      </c>
      <c r="AA571">
        <v>17.076599999999999</v>
      </c>
      <c r="AB571">
        <v>44.127099999999999</v>
      </c>
      <c r="AC571">
        <v>32.439900000000002</v>
      </c>
      <c r="AD571">
        <v>1.52647</v>
      </c>
      <c r="AE571">
        <v>6.4495800000000001</v>
      </c>
      <c r="AF571">
        <v>0</v>
      </c>
      <c r="AG571">
        <v>99.8078</v>
      </c>
      <c r="AH571">
        <v>0.190246</v>
      </c>
      <c r="AI571">
        <v>1.9817300000000001E-3</v>
      </c>
      <c r="AJ571">
        <v>0</v>
      </c>
      <c r="AK571">
        <v>0</v>
      </c>
      <c r="AL571">
        <v>0.53996699999999997</v>
      </c>
      <c r="AM571">
        <v>0.29527799999999998</v>
      </c>
      <c r="AN571">
        <v>2.1323400000000001</v>
      </c>
      <c r="AO571">
        <v>4.7581300000000004</v>
      </c>
      <c r="AP571">
        <v>13.6601</v>
      </c>
      <c r="AQ571">
        <v>41.014800000000001</v>
      </c>
      <c r="AR571">
        <v>38.139400000000002</v>
      </c>
      <c r="AS571">
        <v>6.0270200000000003E-2</v>
      </c>
      <c r="AT571">
        <v>6.24641</v>
      </c>
      <c r="AU571">
        <v>32.6599</v>
      </c>
      <c r="AV571">
        <v>41.813499999999998</v>
      </c>
      <c r="AW571">
        <v>13.7294</v>
      </c>
      <c r="AX571">
        <v>3.5819700000000001</v>
      </c>
      <c r="AY571">
        <v>1.96885</v>
      </c>
      <c r="AZ571">
        <v>577.58399999999995</v>
      </c>
      <c r="BA571">
        <v>608.99900000000002</v>
      </c>
      <c r="BB571">
        <v>28749.5</v>
      </c>
      <c r="BC571">
        <v>2.5003299999999999E-2</v>
      </c>
      <c r="BD571">
        <v>4.85523E-2</v>
      </c>
      <c r="BE571">
        <v>0.37851000000000001</v>
      </c>
      <c r="BF571">
        <v>2.5257100000000001</v>
      </c>
      <c r="BG571">
        <v>35.953499999999998</v>
      </c>
      <c r="BH571">
        <v>55.151499999999999</v>
      </c>
      <c r="BI571">
        <v>5.9422100000000002</v>
      </c>
      <c r="BJ571">
        <v>35.429000000000002</v>
      </c>
      <c r="BK571">
        <v>0</v>
      </c>
      <c r="BL571">
        <v>24.513999999999999</v>
      </c>
      <c r="BM571">
        <v>61.516800000000003</v>
      </c>
      <c r="BN571">
        <v>11.7507</v>
      </c>
      <c r="BO571">
        <v>1.52098</v>
      </c>
      <c r="BP571">
        <v>0.69756799999999997</v>
      </c>
      <c r="BQ571">
        <v>40.980200000000004</v>
      </c>
      <c r="BR571">
        <v>100922</v>
      </c>
    </row>
    <row r="572" spans="1:70" x14ac:dyDescent="0.25">
      <c r="A572">
        <v>46</v>
      </c>
      <c r="B572" s="7">
        <v>45988.573969907404</v>
      </c>
      <c r="C572" t="s">
        <v>176</v>
      </c>
      <c r="D572" s="6" t="s">
        <v>358</v>
      </c>
      <c r="E572" s="6" t="str">
        <f>VLOOKUP(F572,Germplasm!$A$1:$B$21,2,FALSE)</f>
        <v>Tiril</v>
      </c>
      <c r="F572" t="s">
        <v>64</v>
      </c>
      <c r="G572" s="6" t="s">
        <v>113</v>
      </c>
      <c r="H572">
        <v>62772.800000000003</v>
      </c>
      <c r="I572">
        <v>376.42399999999998</v>
      </c>
      <c r="J572">
        <v>164090</v>
      </c>
      <c r="K572">
        <v>22.238499999999998</v>
      </c>
      <c r="L572">
        <v>63.630099999999999</v>
      </c>
      <c r="M572">
        <v>1535.82</v>
      </c>
      <c r="N572">
        <v>600.55100000000004</v>
      </c>
      <c r="O572">
        <v>36031200</v>
      </c>
      <c r="P572">
        <v>0.16276399999999999</v>
      </c>
      <c r="Q572">
        <v>0.93671000000000004</v>
      </c>
      <c r="R572">
        <v>14.800700000000001</v>
      </c>
      <c r="S572">
        <v>27.4282</v>
      </c>
      <c r="T572">
        <v>39.7136</v>
      </c>
      <c r="U572">
        <v>16.497699999999998</v>
      </c>
      <c r="V572">
        <v>0.62302100000000005</v>
      </c>
      <c r="W572">
        <v>88.362399999999994</v>
      </c>
      <c r="X572">
        <v>9.03599</v>
      </c>
      <c r="Y572">
        <v>13.3841</v>
      </c>
      <c r="Z572">
        <v>8.5807000000000002</v>
      </c>
      <c r="AA572">
        <v>23.660299999999999</v>
      </c>
      <c r="AB572">
        <v>25.0501</v>
      </c>
      <c r="AC572">
        <v>20.288900000000002</v>
      </c>
      <c r="AD572">
        <v>1.7202200000000001</v>
      </c>
      <c r="AE572">
        <v>8.8267500000000005</v>
      </c>
      <c r="AF572">
        <v>0</v>
      </c>
      <c r="AG572">
        <v>98.563000000000002</v>
      </c>
      <c r="AH572">
        <v>1.4319299999999999</v>
      </c>
      <c r="AI572">
        <v>5.0829200000000003E-3</v>
      </c>
      <c r="AJ572">
        <v>0</v>
      </c>
      <c r="AK572">
        <v>0</v>
      </c>
      <c r="AL572">
        <v>0.38074599999999997</v>
      </c>
      <c r="AM572">
        <v>2.3519399999999999</v>
      </c>
      <c r="AN572">
        <v>15.6264</v>
      </c>
      <c r="AO572">
        <v>16.635000000000002</v>
      </c>
      <c r="AP572">
        <v>21.782499999999999</v>
      </c>
      <c r="AQ572">
        <v>29.308900000000001</v>
      </c>
      <c r="AR572">
        <v>14.295400000000001</v>
      </c>
      <c r="AS572">
        <v>0.1671</v>
      </c>
      <c r="AT572">
        <v>1.77685</v>
      </c>
      <c r="AU572">
        <v>20.2271</v>
      </c>
      <c r="AV572">
        <v>36.234699999999997</v>
      </c>
      <c r="AW572">
        <v>29.715499999999999</v>
      </c>
      <c r="AX572">
        <v>9.4825599999999994</v>
      </c>
      <c r="AY572">
        <v>2.56325</v>
      </c>
      <c r="AZ572">
        <v>573.99400000000003</v>
      </c>
      <c r="BA572">
        <v>598.19899999999996</v>
      </c>
      <c r="BB572">
        <v>36491.1</v>
      </c>
      <c r="BC572">
        <v>0.13428300000000001</v>
      </c>
      <c r="BD572">
        <v>8.3505200000000002E-2</v>
      </c>
      <c r="BE572">
        <v>0.40590799999999999</v>
      </c>
      <c r="BF572">
        <v>1.2838000000000001</v>
      </c>
      <c r="BG572">
        <v>20.230799999999999</v>
      </c>
      <c r="BH572">
        <v>47.600900000000003</v>
      </c>
      <c r="BI572">
        <v>30.395199999999999</v>
      </c>
      <c r="BJ572">
        <v>32.061599999999999</v>
      </c>
      <c r="BK572">
        <v>0</v>
      </c>
      <c r="BL572">
        <v>33.887900000000002</v>
      </c>
      <c r="BM572">
        <v>55.811999999999998</v>
      </c>
      <c r="BN572">
        <v>8.3018699999999992</v>
      </c>
      <c r="BO572">
        <v>1.2496700000000001</v>
      </c>
      <c r="BP572">
        <v>0.74864200000000003</v>
      </c>
      <c r="BQ572">
        <v>35.591000000000001</v>
      </c>
      <c r="BR572">
        <v>137716</v>
      </c>
    </row>
    <row r="573" spans="1:70" x14ac:dyDescent="0.25">
      <c r="A573">
        <v>46</v>
      </c>
      <c r="B573" s="7">
        <v>45994.558020833334</v>
      </c>
      <c r="C573" t="s">
        <v>176</v>
      </c>
      <c r="D573" s="6" t="s">
        <v>359</v>
      </c>
      <c r="E573" s="6" t="str">
        <f>VLOOKUP(F573,Germplasm!$A$1:$B$21,2,FALSE)</f>
        <v>Tiril</v>
      </c>
      <c r="F573" t="s">
        <v>64</v>
      </c>
      <c r="G573" s="6" t="s">
        <v>113</v>
      </c>
      <c r="H573">
        <v>47347.3</v>
      </c>
      <c r="I573">
        <v>468.60899999999998</v>
      </c>
      <c r="J573">
        <v>153723</v>
      </c>
      <c r="K573">
        <v>16.627300000000002</v>
      </c>
      <c r="L573">
        <v>75.216999999999999</v>
      </c>
      <c r="M573">
        <v>1512.18</v>
      </c>
      <c r="N573">
        <v>553.20000000000005</v>
      </c>
      <c r="O573">
        <v>29583700</v>
      </c>
      <c r="P573">
        <v>0.13812199999999999</v>
      </c>
      <c r="Q573">
        <v>1.1995499999999999</v>
      </c>
      <c r="R573">
        <v>17.0761</v>
      </c>
      <c r="S573">
        <v>33.0792</v>
      </c>
      <c r="T573">
        <v>36.601500000000001</v>
      </c>
      <c r="U573">
        <v>11.1416</v>
      </c>
      <c r="V573">
        <v>0.90217700000000001</v>
      </c>
      <c r="W573">
        <v>78.325299999999999</v>
      </c>
      <c r="X573">
        <v>10.5298</v>
      </c>
      <c r="Y573">
        <v>18.9678</v>
      </c>
      <c r="Z573">
        <v>11.9895</v>
      </c>
      <c r="AA573">
        <v>20.9269</v>
      </c>
      <c r="AB573">
        <v>20.147300000000001</v>
      </c>
      <c r="AC573">
        <v>17.438700000000001</v>
      </c>
      <c r="AD573">
        <v>1.8524</v>
      </c>
      <c r="AE573">
        <v>8.9332100000000008</v>
      </c>
      <c r="AF573">
        <v>0</v>
      </c>
      <c r="AG573">
        <v>97.8279</v>
      </c>
      <c r="AH573">
        <v>2.15096</v>
      </c>
      <c r="AI573">
        <v>2.10977E-2</v>
      </c>
      <c r="AJ573">
        <v>0</v>
      </c>
      <c r="AK573">
        <v>0</v>
      </c>
      <c r="AL573">
        <v>0.334698</v>
      </c>
      <c r="AM573">
        <v>3.4439500000000001</v>
      </c>
      <c r="AN573">
        <v>22.561499999999999</v>
      </c>
      <c r="AO573">
        <v>19.342600000000001</v>
      </c>
      <c r="AP573">
        <v>20.0016</v>
      </c>
      <c r="AQ573">
        <v>22.6599</v>
      </c>
      <c r="AR573">
        <v>11.990500000000001</v>
      </c>
      <c r="AS573">
        <v>0.19533200000000001</v>
      </c>
      <c r="AT573">
        <v>1.44167</v>
      </c>
      <c r="AU573">
        <v>16.838999999999999</v>
      </c>
      <c r="AV573">
        <v>33.7744</v>
      </c>
      <c r="AW573">
        <v>32.975700000000003</v>
      </c>
      <c r="AX573">
        <v>11.645899999999999</v>
      </c>
      <c r="AY573">
        <v>3.3233899999999998</v>
      </c>
      <c r="AZ573">
        <v>624.822</v>
      </c>
      <c r="BA573">
        <v>694.19899999999996</v>
      </c>
      <c r="BB573">
        <v>25560</v>
      </c>
      <c r="BC573">
        <v>0.17211399999999999</v>
      </c>
      <c r="BD573">
        <v>0.15270700000000001</v>
      </c>
      <c r="BE573">
        <v>0.30541400000000002</v>
      </c>
      <c r="BF573">
        <v>1.02274</v>
      </c>
      <c r="BG573">
        <v>16.796800000000001</v>
      </c>
      <c r="BH573">
        <v>41.303199999999997</v>
      </c>
      <c r="BI573">
        <v>40.4191</v>
      </c>
      <c r="BJ573">
        <v>32.081000000000003</v>
      </c>
      <c r="BK573">
        <v>0</v>
      </c>
      <c r="BL573">
        <v>34.002400000000002</v>
      </c>
      <c r="BM573">
        <v>55.4497</v>
      </c>
      <c r="BN573">
        <v>7.9347399999999997</v>
      </c>
      <c r="BO573">
        <v>1.5542</v>
      </c>
      <c r="BP573">
        <v>1.0589</v>
      </c>
      <c r="BQ573">
        <v>32.7072</v>
      </c>
      <c r="BR573">
        <v>99537</v>
      </c>
    </row>
    <row r="574" spans="1:70" x14ac:dyDescent="0.25">
      <c r="A574">
        <v>46</v>
      </c>
      <c r="B574" s="7">
        <v>46002.585115740738</v>
      </c>
      <c r="C574" t="s">
        <v>176</v>
      </c>
      <c r="D574" s="6" t="s">
        <v>360</v>
      </c>
      <c r="E574" s="6" t="str">
        <f>VLOOKUP(F574,Germplasm!$A$1:$B$21,2,FALSE)</f>
        <v>Tiril</v>
      </c>
      <c r="F574" t="s">
        <v>64</v>
      </c>
      <c r="G574" s="6" t="s">
        <v>113</v>
      </c>
      <c r="H574">
        <v>23974.400000000001</v>
      </c>
      <c r="I574">
        <v>417.1</v>
      </c>
      <c r="J574">
        <v>103605</v>
      </c>
      <c r="K574">
        <v>13.8095</v>
      </c>
      <c r="L574">
        <v>77.973799999999997</v>
      </c>
      <c r="M574">
        <v>1249.5999999999999</v>
      </c>
      <c r="N574">
        <v>450.53399999999999</v>
      </c>
      <c r="O574">
        <v>14256400</v>
      </c>
      <c r="P574">
        <v>0.101159</v>
      </c>
      <c r="Q574">
        <v>0.70523800000000003</v>
      </c>
      <c r="R574">
        <v>24.8325</v>
      </c>
      <c r="S574">
        <v>39.9846</v>
      </c>
      <c r="T574">
        <v>25.709599999999998</v>
      </c>
      <c r="U574">
        <v>8.4979499999999994</v>
      </c>
      <c r="V574">
        <v>0.27016600000000002</v>
      </c>
      <c r="W574">
        <v>59.014699999999998</v>
      </c>
      <c r="X574">
        <v>14.8995</v>
      </c>
      <c r="Y574">
        <v>34.498800000000003</v>
      </c>
      <c r="Z574">
        <v>11.7119</v>
      </c>
      <c r="AA574">
        <v>18.708100000000002</v>
      </c>
      <c r="AB574">
        <v>12.6767</v>
      </c>
      <c r="AC574">
        <v>7.5049999999999999</v>
      </c>
      <c r="AD574">
        <v>1.67567</v>
      </c>
      <c r="AE574">
        <v>10.3474</v>
      </c>
      <c r="AF574">
        <v>0</v>
      </c>
      <c r="AG574">
        <v>95.794899999999998</v>
      </c>
      <c r="AH574">
        <v>4.1454700000000004</v>
      </c>
      <c r="AI574">
        <v>5.9646999999999999E-2</v>
      </c>
      <c r="AJ574">
        <v>0</v>
      </c>
      <c r="AK574">
        <v>0</v>
      </c>
      <c r="AL574">
        <v>0.26550099999999999</v>
      </c>
      <c r="AM574">
        <v>5.7419000000000002</v>
      </c>
      <c r="AN574">
        <v>31.814699999999998</v>
      </c>
      <c r="AO574">
        <v>22.804500000000001</v>
      </c>
      <c r="AP574">
        <v>15.7521</v>
      </c>
      <c r="AQ574">
        <v>15.7363</v>
      </c>
      <c r="AR574">
        <v>8.1505899999999993</v>
      </c>
      <c r="AS574">
        <v>0.26331700000000002</v>
      </c>
      <c r="AT574">
        <v>0.19472999999999999</v>
      </c>
      <c r="AU574">
        <v>7.1751899999999997</v>
      </c>
      <c r="AV574">
        <v>27.039400000000001</v>
      </c>
      <c r="AW574">
        <v>45.158099999999997</v>
      </c>
      <c r="AX574">
        <v>18.122199999999999</v>
      </c>
      <c r="AY574">
        <v>2.3104499999999999</v>
      </c>
      <c r="AZ574">
        <v>594.65200000000004</v>
      </c>
      <c r="BA574">
        <v>605.99900000000002</v>
      </c>
      <c r="BB574">
        <v>14307.4</v>
      </c>
      <c r="BC574">
        <v>0.26117000000000001</v>
      </c>
      <c r="BD574">
        <v>1.5788900000000002E-2</v>
      </c>
      <c r="BE574">
        <v>2.6314899999999999E-2</v>
      </c>
      <c r="BF574">
        <v>0.18771299999999999</v>
      </c>
      <c r="BG574">
        <v>7.1401000000000003</v>
      </c>
      <c r="BH574">
        <v>33.676000000000002</v>
      </c>
      <c r="BI574">
        <v>58.954099999999997</v>
      </c>
      <c r="BJ574">
        <v>33.42</v>
      </c>
      <c r="BK574">
        <v>0</v>
      </c>
      <c r="BL574">
        <v>27.700800000000001</v>
      </c>
      <c r="BM574">
        <v>61.604900000000001</v>
      </c>
      <c r="BN574">
        <v>9.3873899999999999</v>
      </c>
      <c r="BO574">
        <v>1.0315399999999999</v>
      </c>
      <c r="BP574">
        <v>0.27542899999999998</v>
      </c>
      <c r="BQ574">
        <v>36.658200000000001</v>
      </c>
      <c r="BR574">
        <v>57002</v>
      </c>
    </row>
    <row r="575" spans="1:70" x14ac:dyDescent="0.25">
      <c r="A575">
        <v>46</v>
      </c>
      <c r="B575" s="7">
        <v>46013.562280092592</v>
      </c>
      <c r="C575" t="s">
        <v>176</v>
      </c>
      <c r="D575" s="6" t="s">
        <v>361</v>
      </c>
      <c r="E575" s="6" t="str">
        <f>VLOOKUP(F575,Germplasm!$A$1:$B$21,2,FALSE)</f>
        <v>Tiril</v>
      </c>
      <c r="F575" t="s">
        <v>64</v>
      </c>
      <c r="G575" s="6" t="s">
        <v>113</v>
      </c>
      <c r="H575">
        <v>35699.4</v>
      </c>
      <c r="I575">
        <v>448.26</v>
      </c>
      <c r="J575">
        <v>83298.7</v>
      </c>
      <c r="K575">
        <v>24.026700000000002</v>
      </c>
      <c r="L575">
        <v>60.100499999999997</v>
      </c>
      <c r="M575">
        <v>1169.7</v>
      </c>
      <c r="N575">
        <v>438.93099999999998</v>
      </c>
      <c r="O575">
        <v>20331700</v>
      </c>
      <c r="P575">
        <v>4.0389700000000001E-2</v>
      </c>
      <c r="Q575">
        <v>1.2775700000000001</v>
      </c>
      <c r="R575">
        <v>29.9603</v>
      </c>
      <c r="S575">
        <v>56.578899999999997</v>
      </c>
      <c r="T575">
        <v>8.9580300000000008</v>
      </c>
      <c r="U575">
        <v>3.1801499999999998</v>
      </c>
      <c r="V575">
        <v>4.5090699999999997E-2</v>
      </c>
      <c r="W575">
        <v>40.296900000000001</v>
      </c>
      <c r="X575">
        <v>15.6816</v>
      </c>
      <c r="Y575">
        <v>56.979700000000001</v>
      </c>
      <c r="Z575">
        <v>12.9085</v>
      </c>
      <c r="AA575">
        <v>8.5108800000000002</v>
      </c>
      <c r="AB575">
        <v>1.3351900000000001</v>
      </c>
      <c r="AC575">
        <v>4.5842299999999998</v>
      </c>
      <c r="AD575">
        <v>1.78373</v>
      </c>
      <c r="AE575">
        <v>14.233000000000001</v>
      </c>
      <c r="AF575">
        <v>0</v>
      </c>
      <c r="AG575">
        <v>91.495400000000004</v>
      </c>
      <c r="AH575">
        <v>8.4845799999999993</v>
      </c>
      <c r="AI575">
        <v>2.00403E-2</v>
      </c>
      <c r="AJ575">
        <v>0</v>
      </c>
      <c r="AK575">
        <v>0</v>
      </c>
      <c r="AL575">
        <v>0.14108100000000001</v>
      </c>
      <c r="AM575">
        <v>7.1393700000000004</v>
      </c>
      <c r="AN575">
        <v>54.373199999999997</v>
      </c>
      <c r="AO575">
        <v>28.712800000000001</v>
      </c>
      <c r="AP575">
        <v>7.8107199999999999</v>
      </c>
      <c r="AQ575">
        <v>1.4654499999999999</v>
      </c>
      <c r="AR575">
        <v>0.49850299999999997</v>
      </c>
      <c r="AS575">
        <v>0.29929099999999997</v>
      </c>
      <c r="AT575">
        <v>0.47345300000000001</v>
      </c>
      <c r="AU575">
        <v>2.19943</v>
      </c>
      <c r="AV575">
        <v>17.105699999999999</v>
      </c>
      <c r="AW575">
        <v>62.421900000000001</v>
      </c>
      <c r="AX575">
        <v>15.023999999999999</v>
      </c>
      <c r="AY575">
        <v>2.7755899999999998</v>
      </c>
      <c r="AZ575">
        <v>569.52499999999998</v>
      </c>
      <c r="BA575">
        <v>581.99900000000002</v>
      </c>
      <c r="BB575">
        <v>20013.900000000001</v>
      </c>
      <c r="BC575">
        <v>0.336337</v>
      </c>
      <c r="BD575">
        <v>7.7656299999999998E-2</v>
      </c>
      <c r="BE575">
        <v>0.19539300000000001</v>
      </c>
      <c r="BF575">
        <v>0.41959400000000002</v>
      </c>
      <c r="BG575">
        <v>1.98024</v>
      </c>
      <c r="BH575">
        <v>10.9733</v>
      </c>
      <c r="BI575">
        <v>86.353800000000007</v>
      </c>
      <c r="BJ575">
        <v>32.185899999999997</v>
      </c>
      <c r="BK575">
        <v>0</v>
      </c>
      <c r="BL575">
        <v>28.4222</v>
      </c>
      <c r="BM575">
        <v>63.603000000000002</v>
      </c>
      <c r="BN575">
        <v>6.4805400000000004</v>
      </c>
      <c r="BO575">
        <v>0.91434000000000004</v>
      </c>
      <c r="BP575">
        <v>0.57991700000000002</v>
      </c>
      <c r="BQ575">
        <v>34.128</v>
      </c>
      <c r="BR575">
        <v>79839</v>
      </c>
    </row>
    <row r="576" spans="1:70" x14ac:dyDescent="0.25">
      <c r="A576">
        <v>46</v>
      </c>
      <c r="B576" s="7">
        <v>46024.561076388891</v>
      </c>
      <c r="C576" t="s">
        <v>176</v>
      </c>
      <c r="D576" s="6" t="s">
        <v>362</v>
      </c>
      <c r="E576" s="6" t="str">
        <f>VLOOKUP(F576,Germplasm!$A$1:$B$21,2,FALSE)</f>
        <v>Tiril</v>
      </c>
      <c r="F576" t="s">
        <v>64</v>
      </c>
      <c r="G576" s="6" t="s">
        <v>113</v>
      </c>
      <c r="H576">
        <v>40372.400000000001</v>
      </c>
      <c r="I576">
        <v>410.76900000000001</v>
      </c>
      <c r="J576">
        <v>99961.1</v>
      </c>
      <c r="K576">
        <v>22.186900000000001</v>
      </c>
      <c r="L576">
        <v>73.485500000000002</v>
      </c>
      <c r="M576">
        <v>1212.6199999999999</v>
      </c>
      <c r="N576">
        <v>456.15499999999997</v>
      </c>
      <c r="O576">
        <v>18880200</v>
      </c>
      <c r="P576">
        <v>-3.6852399999999998E-3</v>
      </c>
      <c r="Q576">
        <v>1.2942400000000001</v>
      </c>
      <c r="R576">
        <v>47.374000000000002</v>
      </c>
      <c r="S576">
        <v>50.100299999999997</v>
      </c>
      <c r="T576">
        <v>1.03589</v>
      </c>
      <c r="U576">
        <v>0.16239600000000001</v>
      </c>
      <c r="V576">
        <v>3.3217299999999998E-2</v>
      </c>
      <c r="W576">
        <v>31.281099999999999</v>
      </c>
      <c r="X576">
        <v>27.0167</v>
      </c>
      <c r="Y576">
        <v>60.037199999999999</v>
      </c>
      <c r="Z576">
        <v>5.8093300000000001</v>
      </c>
      <c r="AA576">
        <v>1.48247</v>
      </c>
      <c r="AB576">
        <v>0.63604899999999998</v>
      </c>
      <c r="AC576">
        <v>5.0182700000000002</v>
      </c>
      <c r="AD576">
        <v>1.82036</v>
      </c>
      <c r="AE576">
        <v>18.1113</v>
      </c>
      <c r="AF576">
        <v>0</v>
      </c>
      <c r="AG576">
        <v>79.611999999999995</v>
      </c>
      <c r="AH576">
        <v>20.255199999999999</v>
      </c>
      <c r="AI576">
        <v>0.13286899999999999</v>
      </c>
      <c r="AJ576">
        <v>0</v>
      </c>
      <c r="AK576">
        <v>0</v>
      </c>
      <c r="AL576">
        <v>9.4121999999999997E-2</v>
      </c>
      <c r="AM576">
        <v>13.1713</v>
      </c>
      <c r="AN576">
        <v>64.447699999999998</v>
      </c>
      <c r="AO576">
        <v>18.222799999999999</v>
      </c>
      <c r="AP576">
        <v>3.2220800000000001</v>
      </c>
      <c r="AQ576">
        <v>0.698793</v>
      </c>
      <c r="AR576">
        <v>0.23744199999999999</v>
      </c>
      <c r="AS576">
        <v>0.29316399999999998</v>
      </c>
      <c r="AT576">
        <v>0.44658799999999998</v>
      </c>
      <c r="AU576">
        <v>2.3079900000000002</v>
      </c>
      <c r="AV576">
        <v>20.9207</v>
      </c>
      <c r="AW576">
        <v>58.282800000000002</v>
      </c>
      <c r="AX576">
        <v>14.360900000000001</v>
      </c>
      <c r="AY576">
        <v>3.6809699999999999</v>
      </c>
      <c r="AZ576">
        <v>467.65</v>
      </c>
      <c r="BA576">
        <v>542.99900000000002</v>
      </c>
      <c r="BB576">
        <v>22178.3</v>
      </c>
      <c r="BC576">
        <v>0.35624</v>
      </c>
      <c r="BD576">
        <v>9.35005E-2</v>
      </c>
      <c r="BE576">
        <v>0.25589600000000001</v>
      </c>
      <c r="BF576">
        <v>0.50933200000000001</v>
      </c>
      <c r="BG576">
        <v>1.89462</v>
      </c>
      <c r="BH576">
        <v>9.0387900000000005</v>
      </c>
      <c r="BI576">
        <v>88.207899999999995</v>
      </c>
      <c r="BJ576">
        <v>30.385400000000001</v>
      </c>
      <c r="BK576">
        <v>0</v>
      </c>
      <c r="BL576">
        <v>36.770299999999999</v>
      </c>
      <c r="BM576">
        <v>55.645099999999999</v>
      </c>
      <c r="BN576">
        <v>5.9286700000000003</v>
      </c>
      <c r="BO576">
        <v>1.15768</v>
      </c>
      <c r="BP576">
        <v>0.49825900000000001</v>
      </c>
      <c r="BQ576">
        <v>33.354399999999998</v>
      </c>
      <c r="BR576">
        <v>81283</v>
      </c>
    </row>
    <row r="577" spans="1:70" x14ac:dyDescent="0.25">
      <c r="A577">
        <v>46</v>
      </c>
      <c r="B577" s="7">
        <v>45952.574780092589</v>
      </c>
      <c r="C577" t="s">
        <v>175</v>
      </c>
      <c r="D577" s="6" t="s">
        <v>354</v>
      </c>
      <c r="E577" s="6" t="str">
        <f>VLOOKUP(F577,Germplasm!$A$1:$B$21,2,FALSE)</f>
        <v>Bamse</v>
      </c>
      <c r="F577" t="s">
        <v>69</v>
      </c>
      <c r="G577" s="6" t="s">
        <v>113</v>
      </c>
      <c r="H577">
        <v>40116.6</v>
      </c>
      <c r="I577">
        <v>267.16199999999998</v>
      </c>
      <c r="J577">
        <v>99748.9</v>
      </c>
      <c r="K577">
        <v>22.670300000000001</v>
      </c>
      <c r="L577">
        <v>79.355199999999996</v>
      </c>
      <c r="M577">
        <v>1170.3900000000001</v>
      </c>
      <c r="N577">
        <v>424.99099999999999</v>
      </c>
      <c r="O577">
        <v>11982300</v>
      </c>
      <c r="P577">
        <v>0.27096799999999999</v>
      </c>
      <c r="Q577">
        <v>0.29959799999999998</v>
      </c>
      <c r="R577">
        <v>2.2325300000000001</v>
      </c>
      <c r="S577">
        <v>12.748699999999999</v>
      </c>
      <c r="T577">
        <v>41.556100000000001</v>
      </c>
      <c r="U577">
        <v>42.900300000000001</v>
      </c>
      <c r="V577">
        <v>0.26280500000000001</v>
      </c>
      <c r="W577">
        <v>112.27500000000001</v>
      </c>
      <c r="X577">
        <v>0.62021999999999999</v>
      </c>
      <c r="Y577">
        <v>1.2640899999999999</v>
      </c>
      <c r="Z577">
        <v>3.3192300000000001</v>
      </c>
      <c r="AA577">
        <v>21.676200000000001</v>
      </c>
      <c r="AB577">
        <v>46.567799999999998</v>
      </c>
      <c r="AC577">
        <v>26.552499999999998</v>
      </c>
      <c r="AD577">
        <v>1.7740199999999999</v>
      </c>
      <c r="AE577">
        <v>7.4230299999999998</v>
      </c>
      <c r="AF577">
        <v>0</v>
      </c>
      <c r="AG577">
        <v>99.971100000000007</v>
      </c>
      <c r="AH577">
        <v>2.89086E-2</v>
      </c>
      <c r="AI577">
        <v>0</v>
      </c>
      <c r="AJ577">
        <v>0</v>
      </c>
      <c r="AK577">
        <v>0</v>
      </c>
      <c r="AL577">
        <v>0.53395899999999996</v>
      </c>
      <c r="AM577">
        <v>0.29302800000000001</v>
      </c>
      <c r="AN577">
        <v>1.58077</v>
      </c>
      <c r="AO577">
        <v>3.76206</v>
      </c>
      <c r="AP577">
        <v>14.1297</v>
      </c>
      <c r="AQ577">
        <v>47.525700000000001</v>
      </c>
      <c r="AR577">
        <v>32.7087</v>
      </c>
      <c r="AS577">
        <v>7.1623300000000001E-2</v>
      </c>
      <c r="AT577">
        <v>4.6529699999999998</v>
      </c>
      <c r="AU577">
        <v>28.011099999999999</v>
      </c>
      <c r="AV577">
        <v>47.546700000000001</v>
      </c>
      <c r="AW577">
        <v>16.3491</v>
      </c>
      <c r="AX577">
        <v>2.5518399999999999</v>
      </c>
      <c r="AY577">
        <v>0.88828200000000002</v>
      </c>
      <c r="AZ577">
        <v>298.68700000000001</v>
      </c>
      <c r="BA577">
        <v>307.19900000000001</v>
      </c>
      <c r="BB577">
        <v>22613.3</v>
      </c>
      <c r="BC577">
        <v>3.12149E-2</v>
      </c>
      <c r="BD577">
        <v>2.7594500000000001E-2</v>
      </c>
      <c r="BE577">
        <v>0.24046699999999999</v>
      </c>
      <c r="BF577">
        <v>2.0275400000000001</v>
      </c>
      <c r="BG577">
        <v>30.368500000000001</v>
      </c>
      <c r="BH577">
        <v>63.371499999999997</v>
      </c>
      <c r="BI577">
        <v>3.9644200000000001</v>
      </c>
      <c r="BJ577">
        <v>34.848700000000001</v>
      </c>
      <c r="BK577">
        <v>0</v>
      </c>
      <c r="BL577">
        <v>23.706299999999999</v>
      </c>
      <c r="BM577">
        <v>64.012799999999999</v>
      </c>
      <c r="BN577">
        <v>11.458299999999999</v>
      </c>
      <c r="BO577">
        <v>0.662269</v>
      </c>
      <c r="BP577">
        <v>0.16031100000000001</v>
      </c>
      <c r="BQ577">
        <v>34.345500000000001</v>
      </c>
      <c r="BR577">
        <v>76102</v>
      </c>
    </row>
    <row r="578" spans="1:70" x14ac:dyDescent="0.25">
      <c r="A578">
        <v>46</v>
      </c>
      <c r="B578" s="7">
        <v>45959.541030092594</v>
      </c>
      <c r="C578" t="s">
        <v>175</v>
      </c>
      <c r="D578" s="6" t="s">
        <v>355</v>
      </c>
      <c r="E578" s="6" t="str">
        <f>VLOOKUP(F578,Germplasm!$A$1:$B$21,2,FALSE)</f>
        <v>Bamse</v>
      </c>
      <c r="F578" t="s">
        <v>69</v>
      </c>
      <c r="G578" s="6" t="s">
        <v>113</v>
      </c>
      <c r="H578">
        <v>57805.5</v>
      </c>
      <c r="I578">
        <v>405.38600000000002</v>
      </c>
      <c r="J578">
        <v>139189</v>
      </c>
      <c r="K578">
        <v>22.950399999999998</v>
      </c>
      <c r="L578">
        <v>78.968699999999998</v>
      </c>
      <c r="M578">
        <v>1372.21</v>
      </c>
      <c r="N578">
        <v>480.666</v>
      </c>
      <c r="O578">
        <v>28580000</v>
      </c>
      <c r="P578">
        <v>0.223852</v>
      </c>
      <c r="Q578">
        <v>0.68242899999999995</v>
      </c>
      <c r="R578">
        <v>3.3290799999999998</v>
      </c>
      <c r="S578">
        <v>21.863600000000002</v>
      </c>
      <c r="T578">
        <v>47.881700000000002</v>
      </c>
      <c r="U578">
        <v>25.485700000000001</v>
      </c>
      <c r="V578">
        <v>0.75746100000000005</v>
      </c>
      <c r="W578">
        <v>125.125</v>
      </c>
      <c r="X578">
        <v>0.81016100000000002</v>
      </c>
      <c r="Y578">
        <v>1.25142</v>
      </c>
      <c r="Z578">
        <v>2.4242300000000001</v>
      </c>
      <c r="AA578">
        <v>11.563800000000001</v>
      </c>
      <c r="AB578">
        <v>34.721699999999998</v>
      </c>
      <c r="AC578">
        <v>49.228700000000003</v>
      </c>
      <c r="AD578">
        <v>1.8095699999999999</v>
      </c>
      <c r="AE578">
        <v>6.3661500000000002</v>
      </c>
      <c r="AF578">
        <v>0</v>
      </c>
      <c r="AG578">
        <v>99.960700000000003</v>
      </c>
      <c r="AH578">
        <v>3.6622500000000002E-2</v>
      </c>
      <c r="AI578">
        <v>2.6797000000000001E-3</v>
      </c>
      <c r="AJ578">
        <v>0</v>
      </c>
      <c r="AK578">
        <v>0</v>
      </c>
      <c r="AL578">
        <v>0.52825500000000003</v>
      </c>
      <c r="AM578">
        <v>0.36622500000000002</v>
      </c>
      <c r="AN578">
        <v>1.6917800000000001</v>
      </c>
      <c r="AO578">
        <v>4.5617400000000004</v>
      </c>
      <c r="AP578">
        <v>16.986599999999999</v>
      </c>
      <c r="AQ578">
        <v>44.278399999999998</v>
      </c>
      <c r="AR578">
        <v>32.115299999999998</v>
      </c>
      <c r="AS578">
        <v>-2.5351200000000001E-3</v>
      </c>
      <c r="AT578">
        <v>8.9930599999999998</v>
      </c>
      <c r="AU578">
        <v>46.438200000000002</v>
      </c>
      <c r="AV578">
        <v>34.700299999999999</v>
      </c>
      <c r="AW578">
        <v>6.9564899999999996</v>
      </c>
      <c r="AX578">
        <v>1.5381499999999999</v>
      </c>
      <c r="AY578">
        <v>1.3737900000000001</v>
      </c>
      <c r="AZ578">
        <v>494.41699999999997</v>
      </c>
      <c r="BA578">
        <v>538.20000000000005</v>
      </c>
      <c r="BB578">
        <v>31944.3</v>
      </c>
      <c r="BC578">
        <v>-1.6194299999999998E-2</v>
      </c>
      <c r="BD578">
        <v>4.3768399999999999E-2</v>
      </c>
      <c r="BE578">
        <v>0.55916299999999997</v>
      </c>
      <c r="BF578">
        <v>4.4331100000000001</v>
      </c>
      <c r="BG578">
        <v>50.394399999999997</v>
      </c>
      <c r="BH578">
        <v>41.567399999999999</v>
      </c>
      <c r="BI578">
        <v>3.0021499999999999</v>
      </c>
      <c r="BJ578">
        <v>30.396100000000001</v>
      </c>
      <c r="BK578">
        <v>0</v>
      </c>
      <c r="BL578">
        <v>38.917200000000001</v>
      </c>
      <c r="BM578">
        <v>53.040100000000002</v>
      </c>
      <c r="BN578">
        <v>6.3071099999999998</v>
      </c>
      <c r="BO578">
        <v>0.897698</v>
      </c>
      <c r="BP578">
        <v>0.83785200000000004</v>
      </c>
      <c r="BQ578">
        <v>33.588299999999997</v>
      </c>
      <c r="BR578">
        <v>111953</v>
      </c>
    </row>
    <row r="579" spans="1:70" x14ac:dyDescent="0.25">
      <c r="A579">
        <v>46</v>
      </c>
      <c r="B579" s="7">
        <v>45966.538657407407</v>
      </c>
      <c r="C579" t="s">
        <v>175</v>
      </c>
      <c r="D579" s="6" t="s">
        <v>356</v>
      </c>
      <c r="E579" s="6" t="str">
        <f>VLOOKUP(F579,Germplasm!$A$1:$B$21,2,FALSE)</f>
        <v>Bamse</v>
      </c>
      <c r="F579" t="s">
        <v>69</v>
      </c>
      <c r="G579" s="6" t="s">
        <v>113</v>
      </c>
      <c r="H579">
        <v>41823.599999999999</v>
      </c>
      <c r="I579">
        <v>415.51600000000002</v>
      </c>
      <c r="J579">
        <v>182647</v>
      </c>
      <c r="K579">
        <v>13.7774</v>
      </c>
      <c r="L579">
        <v>74.059700000000007</v>
      </c>
      <c r="M579">
        <v>1584.69</v>
      </c>
      <c r="N579">
        <v>572.58199999999999</v>
      </c>
      <c r="O579">
        <v>22130100</v>
      </c>
      <c r="P579">
        <v>0.24259500000000001</v>
      </c>
      <c r="Q579">
        <v>0.79812399999999994</v>
      </c>
      <c r="R579">
        <v>2.8930600000000002</v>
      </c>
      <c r="S579">
        <v>18.255600000000001</v>
      </c>
      <c r="T579">
        <v>46.066600000000001</v>
      </c>
      <c r="U579">
        <v>30.4971</v>
      </c>
      <c r="V579">
        <v>1.48946</v>
      </c>
      <c r="W579">
        <v>122.63800000000001</v>
      </c>
      <c r="X579">
        <v>0.86307500000000004</v>
      </c>
      <c r="Y579">
        <v>1.2329600000000001</v>
      </c>
      <c r="Z579">
        <v>2.67069</v>
      </c>
      <c r="AA579">
        <v>12.814</v>
      </c>
      <c r="AB579">
        <v>36.559600000000003</v>
      </c>
      <c r="AC579">
        <v>45.859699999999997</v>
      </c>
      <c r="AD579">
        <v>1.6620299999999999</v>
      </c>
      <c r="AE579">
        <v>5.77989</v>
      </c>
      <c r="AF579">
        <v>0</v>
      </c>
      <c r="AG579">
        <v>99.981300000000005</v>
      </c>
      <c r="AH579">
        <v>1.65129E-2</v>
      </c>
      <c r="AI579">
        <v>2.2017199999999999E-3</v>
      </c>
      <c r="AJ579">
        <v>0</v>
      </c>
      <c r="AK579">
        <v>0</v>
      </c>
      <c r="AL579">
        <v>0.53399300000000005</v>
      </c>
      <c r="AM579">
        <v>0.44144499999999998</v>
      </c>
      <c r="AN579">
        <v>1.5290999999999999</v>
      </c>
      <c r="AO579">
        <v>4.1612499999999999</v>
      </c>
      <c r="AP579">
        <v>16.105599999999999</v>
      </c>
      <c r="AQ579">
        <v>43.844000000000001</v>
      </c>
      <c r="AR579">
        <v>33.918599999999998</v>
      </c>
      <c r="AS579">
        <v>1.6952600000000002E-2</v>
      </c>
      <c r="AT579">
        <v>8.3764500000000002</v>
      </c>
      <c r="AU579">
        <v>43.954099999999997</v>
      </c>
      <c r="AV579">
        <v>34.600099999999998</v>
      </c>
      <c r="AW579">
        <v>8.4061699999999995</v>
      </c>
      <c r="AX579">
        <v>2.3228200000000001</v>
      </c>
      <c r="AY579">
        <v>2.34043</v>
      </c>
      <c r="AZ579">
        <v>529.12800000000004</v>
      </c>
      <c r="BA579">
        <v>587.99900000000002</v>
      </c>
      <c r="BB579">
        <v>25164.1</v>
      </c>
      <c r="BC579">
        <v>-5.6603000000000001E-3</v>
      </c>
      <c r="BD579">
        <v>7.7060299999999998E-2</v>
      </c>
      <c r="BE579">
        <v>0.41392400000000001</v>
      </c>
      <c r="BF579">
        <v>3.5524800000000001</v>
      </c>
      <c r="BG579">
        <v>48.277200000000001</v>
      </c>
      <c r="BH579">
        <v>43.851700000000001</v>
      </c>
      <c r="BI579">
        <v>3.82769</v>
      </c>
      <c r="BJ579">
        <v>32.791899999999998</v>
      </c>
      <c r="BK579">
        <v>0</v>
      </c>
      <c r="BL579">
        <v>32.927799999999998</v>
      </c>
      <c r="BM579">
        <v>56.252899999999997</v>
      </c>
      <c r="BN579">
        <v>7.8975799999999996</v>
      </c>
      <c r="BO579">
        <v>1.83514</v>
      </c>
      <c r="BP579">
        <v>1.0865499999999999</v>
      </c>
      <c r="BQ579">
        <v>37.031300000000002</v>
      </c>
      <c r="BR579">
        <v>90838</v>
      </c>
    </row>
    <row r="580" spans="1:70" x14ac:dyDescent="0.25">
      <c r="A580">
        <v>46</v>
      </c>
      <c r="B580" s="7">
        <v>45973.567893518521</v>
      </c>
      <c r="C580" t="s">
        <v>175</v>
      </c>
      <c r="D580" s="6" t="s">
        <v>357</v>
      </c>
      <c r="E580" s="6" t="str">
        <f>VLOOKUP(F580,Germplasm!$A$1:$B$21,2,FALSE)</f>
        <v>Bamse</v>
      </c>
      <c r="F580" t="s">
        <v>69</v>
      </c>
      <c r="G580" s="6" t="s">
        <v>113</v>
      </c>
      <c r="H580">
        <v>40650.300000000003</v>
      </c>
      <c r="I580">
        <v>423.78699999999998</v>
      </c>
      <c r="J580">
        <v>124715</v>
      </c>
      <c r="K580">
        <v>20.6449</v>
      </c>
      <c r="L580">
        <v>75.791799999999995</v>
      </c>
      <c r="M580">
        <v>1330.85</v>
      </c>
      <c r="N580">
        <v>494.60399999999998</v>
      </c>
      <c r="O580">
        <v>23241800</v>
      </c>
      <c r="P580">
        <v>0.224189</v>
      </c>
      <c r="Q580">
        <v>0.73193299999999994</v>
      </c>
      <c r="R580">
        <v>3.9334899999999999</v>
      </c>
      <c r="S580">
        <v>18.949100000000001</v>
      </c>
      <c r="T580">
        <v>51.1</v>
      </c>
      <c r="U580">
        <v>24.5932</v>
      </c>
      <c r="V580">
        <v>0.69236900000000001</v>
      </c>
      <c r="W580">
        <v>115.36799999999999</v>
      </c>
      <c r="X580">
        <v>1.36392</v>
      </c>
      <c r="Y580">
        <v>2.9725000000000001</v>
      </c>
      <c r="Z580">
        <v>4.4134599999999997</v>
      </c>
      <c r="AA580">
        <v>17.7028</v>
      </c>
      <c r="AB580">
        <v>35.5045</v>
      </c>
      <c r="AC580">
        <v>38.0428</v>
      </c>
      <c r="AD580">
        <v>1.5788199999999999</v>
      </c>
      <c r="AE580">
        <v>6.2707800000000002</v>
      </c>
      <c r="AF580">
        <v>0</v>
      </c>
      <c r="AG580">
        <v>99.873000000000005</v>
      </c>
      <c r="AH580">
        <v>0.127021</v>
      </c>
      <c r="AI580">
        <v>0</v>
      </c>
      <c r="AJ580">
        <v>0</v>
      </c>
      <c r="AK580">
        <v>0</v>
      </c>
      <c r="AL580">
        <v>0.49978499999999998</v>
      </c>
      <c r="AM580">
        <v>0.54660699999999995</v>
      </c>
      <c r="AN580">
        <v>3.57429</v>
      </c>
      <c r="AO580">
        <v>7.6920700000000002</v>
      </c>
      <c r="AP580">
        <v>18.121300000000002</v>
      </c>
      <c r="AQ580">
        <v>41.832599999999999</v>
      </c>
      <c r="AR580">
        <v>28.2331</v>
      </c>
      <c r="AS580">
        <v>5.2957900000000002E-2</v>
      </c>
      <c r="AT580">
        <v>5.2620100000000001</v>
      </c>
      <c r="AU580">
        <v>38.481200000000001</v>
      </c>
      <c r="AV580">
        <v>38.021000000000001</v>
      </c>
      <c r="AW580">
        <v>12.3575</v>
      </c>
      <c r="AX580">
        <v>3.8720599999999998</v>
      </c>
      <c r="AY580">
        <v>2.00631</v>
      </c>
      <c r="AZ580">
        <v>571.75</v>
      </c>
      <c r="BA580">
        <v>658.19899999999996</v>
      </c>
      <c r="BB580">
        <v>25747.3</v>
      </c>
      <c r="BC580">
        <v>2.8422800000000002E-2</v>
      </c>
      <c r="BD580">
        <v>4.7893199999999997E-2</v>
      </c>
      <c r="BE580">
        <v>0.41646300000000003</v>
      </c>
      <c r="BF580">
        <v>2.5789499999999999</v>
      </c>
      <c r="BG580">
        <v>40.6967</v>
      </c>
      <c r="BH580">
        <v>47.522599999999997</v>
      </c>
      <c r="BI580">
        <v>8.7373899999999995</v>
      </c>
      <c r="BJ580">
        <v>31.583500000000001</v>
      </c>
      <c r="BK580">
        <v>0</v>
      </c>
      <c r="BL580">
        <v>34.250900000000001</v>
      </c>
      <c r="BM580">
        <v>56.2423</v>
      </c>
      <c r="BN580">
        <v>7.5421399999999998</v>
      </c>
      <c r="BO580">
        <v>1.28895</v>
      </c>
      <c r="BP580">
        <v>0.67571099999999995</v>
      </c>
      <c r="BQ580">
        <v>39.345599999999997</v>
      </c>
      <c r="BR580">
        <v>96047</v>
      </c>
    </row>
    <row r="581" spans="1:70" x14ac:dyDescent="0.25">
      <c r="A581">
        <v>46</v>
      </c>
      <c r="B581" s="7">
        <v>45988.573969907404</v>
      </c>
      <c r="C581" t="s">
        <v>175</v>
      </c>
      <c r="D581" s="6" t="s">
        <v>358</v>
      </c>
      <c r="E581" s="6" t="str">
        <f>VLOOKUP(F581,Germplasm!$A$1:$B$21,2,FALSE)</f>
        <v>Bamse</v>
      </c>
      <c r="F581" t="s">
        <v>69</v>
      </c>
      <c r="G581" s="6" t="s">
        <v>113</v>
      </c>
      <c r="H581">
        <v>62154.400000000001</v>
      </c>
      <c r="I581">
        <v>446.9</v>
      </c>
      <c r="J581">
        <v>135887</v>
      </c>
      <c r="K581">
        <v>25.713100000000001</v>
      </c>
      <c r="L581">
        <v>86.159899999999993</v>
      </c>
      <c r="M581">
        <v>1422.04</v>
      </c>
      <c r="N581">
        <v>500.28399999999999</v>
      </c>
      <c r="O581">
        <v>41973500</v>
      </c>
      <c r="P581">
        <v>0.19573399999999999</v>
      </c>
      <c r="Q581">
        <v>0.79039400000000004</v>
      </c>
      <c r="R581">
        <v>8.3565000000000005</v>
      </c>
      <c r="S581">
        <v>24.506399999999999</v>
      </c>
      <c r="T581">
        <v>45.432499999999997</v>
      </c>
      <c r="U581">
        <v>20.195499999999999</v>
      </c>
      <c r="V581">
        <v>0.71860400000000002</v>
      </c>
      <c r="W581">
        <v>89.656199999999998</v>
      </c>
      <c r="X581">
        <v>4.8577899999999996</v>
      </c>
      <c r="Y581">
        <v>10.912100000000001</v>
      </c>
      <c r="Z581">
        <v>11.143599999999999</v>
      </c>
      <c r="AA581">
        <v>30.241900000000001</v>
      </c>
      <c r="AB581">
        <v>28.5992</v>
      </c>
      <c r="AC581">
        <v>14.2454</v>
      </c>
      <c r="AD581">
        <v>1.77885</v>
      </c>
      <c r="AE581">
        <v>7.60738</v>
      </c>
      <c r="AF581">
        <v>0</v>
      </c>
      <c r="AG581">
        <v>98.848500000000001</v>
      </c>
      <c r="AH581">
        <v>1.1514599999999999</v>
      </c>
      <c r="AI581">
        <v>0</v>
      </c>
      <c r="AJ581">
        <v>0</v>
      </c>
      <c r="AK581">
        <v>0</v>
      </c>
      <c r="AL581">
        <v>0.391648</v>
      </c>
      <c r="AM581">
        <v>1.72296</v>
      </c>
      <c r="AN581">
        <v>13.753399999999999</v>
      </c>
      <c r="AO581">
        <v>14.5389</v>
      </c>
      <c r="AP581">
        <v>25.897200000000002</v>
      </c>
      <c r="AQ581">
        <v>31.078800000000001</v>
      </c>
      <c r="AR581">
        <v>13.008800000000001</v>
      </c>
      <c r="AS581">
        <v>0.18267600000000001</v>
      </c>
      <c r="AT581">
        <v>1.14723</v>
      </c>
      <c r="AU581">
        <v>14.9612</v>
      </c>
      <c r="AV581">
        <v>40.692999999999998</v>
      </c>
      <c r="AW581">
        <v>30.512899999999998</v>
      </c>
      <c r="AX581">
        <v>10.2948</v>
      </c>
      <c r="AY581">
        <v>2.3908900000000002</v>
      </c>
      <c r="AZ581">
        <v>675.31</v>
      </c>
      <c r="BA581">
        <v>740.99900000000002</v>
      </c>
      <c r="BB581">
        <v>34940.800000000003</v>
      </c>
      <c r="BC581">
        <v>0.142037</v>
      </c>
      <c r="BD581">
        <v>2.1818500000000001E-2</v>
      </c>
      <c r="BE581">
        <v>0.14780299999999999</v>
      </c>
      <c r="BF581">
        <v>0.77420599999999995</v>
      </c>
      <c r="BG581">
        <v>15.1639</v>
      </c>
      <c r="BH581">
        <v>55.606999999999999</v>
      </c>
      <c r="BI581">
        <v>28.285299999999999</v>
      </c>
      <c r="BJ581">
        <v>33.881799999999998</v>
      </c>
      <c r="BK581">
        <v>0</v>
      </c>
      <c r="BL581">
        <v>28.578099999999999</v>
      </c>
      <c r="BM581">
        <v>59.3063</v>
      </c>
      <c r="BN581">
        <v>10.113899999999999</v>
      </c>
      <c r="BO581">
        <v>1.3443000000000001</v>
      </c>
      <c r="BP581">
        <v>0.65737199999999996</v>
      </c>
      <c r="BQ581">
        <v>34.25</v>
      </c>
      <c r="BR581">
        <v>142081</v>
      </c>
    </row>
    <row r="582" spans="1:70" x14ac:dyDescent="0.25">
      <c r="A582">
        <v>46</v>
      </c>
      <c r="B582" s="7">
        <v>45994.558020833334</v>
      </c>
      <c r="C582" t="s">
        <v>175</v>
      </c>
      <c r="D582" s="6" t="s">
        <v>359</v>
      </c>
      <c r="E582" s="6" t="str">
        <f>VLOOKUP(F582,Germplasm!$A$1:$B$21,2,FALSE)</f>
        <v>Bamse</v>
      </c>
      <c r="F582" t="s">
        <v>69</v>
      </c>
      <c r="G582" s="6" t="s">
        <v>113</v>
      </c>
      <c r="H582">
        <v>57327.9</v>
      </c>
      <c r="I582">
        <v>435.33</v>
      </c>
      <c r="J582">
        <v>122797</v>
      </c>
      <c r="K582">
        <v>25.392099999999999</v>
      </c>
      <c r="L582">
        <v>67.214600000000004</v>
      </c>
      <c r="M582">
        <v>1359.88</v>
      </c>
      <c r="N582">
        <v>486.46800000000002</v>
      </c>
      <c r="O582">
        <v>38649000</v>
      </c>
      <c r="P582">
        <v>0.16139100000000001</v>
      </c>
      <c r="Q582">
        <v>1.02328</v>
      </c>
      <c r="R582">
        <v>11.6577</v>
      </c>
      <c r="S582">
        <v>32.4086</v>
      </c>
      <c r="T582">
        <v>39.306699999999999</v>
      </c>
      <c r="U582">
        <v>15.1561</v>
      </c>
      <c r="V582">
        <v>0.44763999999999998</v>
      </c>
      <c r="W582">
        <v>78.373900000000006</v>
      </c>
      <c r="X582">
        <v>6.6070799999999998</v>
      </c>
      <c r="Y582">
        <v>18.686</v>
      </c>
      <c r="Z582">
        <v>13.116899999999999</v>
      </c>
      <c r="AA582">
        <v>29.8215</v>
      </c>
      <c r="AB582">
        <v>21.366800000000001</v>
      </c>
      <c r="AC582">
        <v>10.4018</v>
      </c>
      <c r="AD582">
        <v>1.8385800000000001</v>
      </c>
      <c r="AE582">
        <v>8.5511400000000002</v>
      </c>
      <c r="AF582">
        <v>0</v>
      </c>
      <c r="AG582">
        <v>98.074100000000001</v>
      </c>
      <c r="AH582">
        <v>1.92588</v>
      </c>
      <c r="AI582">
        <v>0</v>
      </c>
      <c r="AJ582">
        <v>0</v>
      </c>
      <c r="AK582">
        <v>0</v>
      </c>
      <c r="AL582">
        <v>0.33014300000000002</v>
      </c>
      <c r="AM582">
        <v>3.0091399999999999</v>
      </c>
      <c r="AN582">
        <v>21.431100000000001</v>
      </c>
      <c r="AO582">
        <v>18.3415</v>
      </c>
      <c r="AP582">
        <v>25.247</v>
      </c>
      <c r="AQ582">
        <v>24.243500000000001</v>
      </c>
      <c r="AR582">
        <v>7.7276400000000001</v>
      </c>
      <c r="AS582">
        <v>0.213172</v>
      </c>
      <c r="AT582">
        <v>1.01231</v>
      </c>
      <c r="AU582">
        <v>9.5313700000000008</v>
      </c>
      <c r="AV582">
        <v>38.3551</v>
      </c>
      <c r="AW582">
        <v>36.301299999999998</v>
      </c>
      <c r="AX582">
        <v>12.572699999999999</v>
      </c>
      <c r="AY582">
        <v>2.22723</v>
      </c>
      <c r="AZ582">
        <v>674.17499999999995</v>
      </c>
      <c r="BA582">
        <v>728.99900000000002</v>
      </c>
      <c r="BB582">
        <v>31180.6</v>
      </c>
      <c r="BC582">
        <v>0.187142</v>
      </c>
      <c r="BD582">
        <v>4.7543500000000002E-2</v>
      </c>
      <c r="BE582">
        <v>0.148482</v>
      </c>
      <c r="BF582">
        <v>0.76581500000000002</v>
      </c>
      <c r="BG582">
        <v>9.5811100000000007</v>
      </c>
      <c r="BH582">
        <v>51.226999999999997</v>
      </c>
      <c r="BI582">
        <v>38.2301</v>
      </c>
      <c r="BJ582">
        <v>33.383099999999999</v>
      </c>
      <c r="BK582">
        <v>0</v>
      </c>
      <c r="BL582">
        <v>28.782800000000002</v>
      </c>
      <c r="BM582">
        <v>60.466500000000003</v>
      </c>
      <c r="BN582">
        <v>9.0120500000000003</v>
      </c>
      <c r="BO582">
        <v>1.0693600000000001</v>
      </c>
      <c r="BP582">
        <v>0.66926600000000003</v>
      </c>
      <c r="BQ582">
        <v>32.9893</v>
      </c>
      <c r="BR582">
        <v>136717</v>
      </c>
    </row>
    <row r="583" spans="1:70" x14ac:dyDescent="0.25">
      <c r="A583">
        <v>46</v>
      </c>
      <c r="B583" s="7">
        <v>46002.585115740738</v>
      </c>
      <c r="C583" t="s">
        <v>175</v>
      </c>
      <c r="D583" s="6" t="s">
        <v>360</v>
      </c>
      <c r="E583" s="6" t="str">
        <f>VLOOKUP(F583,Germplasm!$A$1:$B$21,2,FALSE)</f>
        <v>Bamse</v>
      </c>
      <c r="F583" t="s">
        <v>69</v>
      </c>
      <c r="G583" s="6" t="s">
        <v>113</v>
      </c>
      <c r="H583">
        <v>27865.3</v>
      </c>
      <c r="I583">
        <v>401.476</v>
      </c>
      <c r="J583">
        <v>100752</v>
      </c>
      <c r="K583">
        <v>16.042100000000001</v>
      </c>
      <c r="L583">
        <v>82.389499999999998</v>
      </c>
      <c r="M583">
        <v>1207.17</v>
      </c>
      <c r="N583">
        <v>422.60599999999999</v>
      </c>
      <c r="O583">
        <v>17926900</v>
      </c>
      <c r="P583">
        <v>0.116254</v>
      </c>
      <c r="Q583">
        <v>0.43243500000000001</v>
      </c>
      <c r="R583">
        <v>20.5672</v>
      </c>
      <c r="S583">
        <v>40.111899999999999</v>
      </c>
      <c r="T583">
        <v>29.779499999999999</v>
      </c>
      <c r="U583">
        <v>8.7338000000000005</v>
      </c>
      <c r="V583">
        <v>0.37524200000000002</v>
      </c>
      <c r="W583">
        <v>58.290199999999999</v>
      </c>
      <c r="X583">
        <v>11.6465</v>
      </c>
      <c r="Y583">
        <v>33.321199999999997</v>
      </c>
      <c r="Z583">
        <v>18.2013</v>
      </c>
      <c r="AA583">
        <v>25.5779</v>
      </c>
      <c r="AB583">
        <v>7.8298699999999997</v>
      </c>
      <c r="AC583">
        <v>3.4232100000000001</v>
      </c>
      <c r="AD583">
        <v>1.72404</v>
      </c>
      <c r="AE583">
        <v>10.7806</v>
      </c>
      <c r="AF583">
        <v>0</v>
      </c>
      <c r="AG583">
        <v>94.768900000000002</v>
      </c>
      <c r="AH583">
        <v>5.2241</v>
      </c>
      <c r="AI583">
        <v>6.9747699999999999E-3</v>
      </c>
      <c r="AJ583">
        <v>0</v>
      </c>
      <c r="AK583">
        <v>0</v>
      </c>
      <c r="AL583">
        <v>0.24224899999999999</v>
      </c>
      <c r="AM583">
        <v>6.96082</v>
      </c>
      <c r="AN583">
        <v>31.9361</v>
      </c>
      <c r="AO583">
        <v>24.634899999999998</v>
      </c>
      <c r="AP583">
        <v>19.999400000000001</v>
      </c>
      <c r="AQ583">
        <v>12.151400000000001</v>
      </c>
      <c r="AR583">
        <v>4.31738</v>
      </c>
      <c r="AS583">
        <v>0.28834500000000002</v>
      </c>
      <c r="AT583">
        <v>0.196688</v>
      </c>
      <c r="AU583">
        <v>2.48441</v>
      </c>
      <c r="AV583">
        <v>22.9023</v>
      </c>
      <c r="AW583">
        <v>55.897199999999998</v>
      </c>
      <c r="AX583">
        <v>16.1494</v>
      </c>
      <c r="AY583">
        <v>2.3700299999999999</v>
      </c>
      <c r="AZ583">
        <v>643.34299999999996</v>
      </c>
      <c r="BA583">
        <v>680.99900000000002</v>
      </c>
      <c r="BB583">
        <v>16162.8</v>
      </c>
      <c r="BC583">
        <v>0.28324199999999999</v>
      </c>
      <c r="BD583">
        <v>4.1848600000000003E-3</v>
      </c>
      <c r="BE583">
        <v>3.7663700000000001E-2</v>
      </c>
      <c r="BF583">
        <v>0.14646999999999999</v>
      </c>
      <c r="BG583">
        <v>2.4927800000000002</v>
      </c>
      <c r="BH583">
        <v>32.143900000000002</v>
      </c>
      <c r="BI583">
        <v>65.174999999999997</v>
      </c>
      <c r="BJ583">
        <v>34.6541</v>
      </c>
      <c r="BK583">
        <v>0</v>
      </c>
      <c r="BL583">
        <v>21.906300000000002</v>
      </c>
      <c r="BM583">
        <v>68.102999999999994</v>
      </c>
      <c r="BN583">
        <v>8.4687599999999996</v>
      </c>
      <c r="BO583">
        <v>1.0824800000000001</v>
      </c>
      <c r="BP583">
        <v>0.43941000000000002</v>
      </c>
      <c r="BQ583">
        <v>35.476199999999999</v>
      </c>
      <c r="BR583">
        <v>71687</v>
      </c>
    </row>
    <row r="584" spans="1:70" x14ac:dyDescent="0.25">
      <c r="A584">
        <v>46</v>
      </c>
      <c r="B584" s="7">
        <v>46013.562280092592</v>
      </c>
      <c r="C584" t="s">
        <v>175</v>
      </c>
      <c r="D584" s="6" t="s">
        <v>361</v>
      </c>
      <c r="E584" s="6" t="str">
        <f>VLOOKUP(F584,Germplasm!$A$1:$B$21,2,FALSE)</f>
        <v>Bamse</v>
      </c>
      <c r="F584" t="s">
        <v>69</v>
      </c>
      <c r="G584" s="6" t="s">
        <v>113</v>
      </c>
      <c r="H584">
        <v>33082.699999999997</v>
      </c>
      <c r="I584">
        <v>430.9</v>
      </c>
      <c r="J584">
        <v>75505.399999999994</v>
      </c>
      <c r="K584">
        <v>23.560199999999998</v>
      </c>
      <c r="L584">
        <v>65.167400000000001</v>
      </c>
      <c r="M584">
        <v>1025.98</v>
      </c>
      <c r="N584">
        <v>377.22</v>
      </c>
      <c r="O584">
        <v>20745600</v>
      </c>
      <c r="P584">
        <v>4.0755699999999999E-2</v>
      </c>
      <c r="Q584">
        <v>1.1361699999999999</v>
      </c>
      <c r="R584">
        <v>26.572399999999998</v>
      </c>
      <c r="S584">
        <v>62.513599999999997</v>
      </c>
      <c r="T584">
        <v>7.6579600000000001</v>
      </c>
      <c r="U584">
        <v>2.0412400000000002</v>
      </c>
      <c r="V584">
        <v>7.8648700000000002E-2</v>
      </c>
      <c r="W584">
        <v>42.229300000000002</v>
      </c>
      <c r="X584">
        <v>13.1234</v>
      </c>
      <c r="Y584">
        <v>54.947600000000001</v>
      </c>
      <c r="Z584">
        <v>14.573</v>
      </c>
      <c r="AA584">
        <v>8.0342699999999994</v>
      </c>
      <c r="AB584">
        <v>2.6764800000000002</v>
      </c>
      <c r="AC584">
        <v>6.6452099999999996</v>
      </c>
      <c r="AD584">
        <v>1.8596999999999999</v>
      </c>
      <c r="AE584">
        <v>13.5206</v>
      </c>
      <c r="AF584">
        <v>0</v>
      </c>
      <c r="AG584">
        <v>88.537899999999993</v>
      </c>
      <c r="AH584">
        <v>11.4343</v>
      </c>
      <c r="AI584">
        <v>2.78295E-2</v>
      </c>
      <c r="AJ584">
        <v>0</v>
      </c>
      <c r="AK584">
        <v>0</v>
      </c>
      <c r="AL584">
        <v>0.12388200000000001</v>
      </c>
      <c r="AM584">
        <v>12.5427</v>
      </c>
      <c r="AN584">
        <v>56.7928</v>
      </c>
      <c r="AO584">
        <v>20.662800000000001</v>
      </c>
      <c r="AP584">
        <v>6.4407199999999998</v>
      </c>
      <c r="AQ584">
        <v>2.7974700000000001</v>
      </c>
      <c r="AR584">
        <v>0.76349699999999998</v>
      </c>
      <c r="AS584">
        <v>0.26126700000000003</v>
      </c>
      <c r="AT584">
        <v>0.39566299999999999</v>
      </c>
      <c r="AU584">
        <v>3.6952799999999999</v>
      </c>
      <c r="AV584">
        <v>24.342400000000001</v>
      </c>
      <c r="AW584">
        <v>60.737400000000001</v>
      </c>
      <c r="AX584">
        <v>9.2853899999999996</v>
      </c>
      <c r="AY584">
        <v>1.54393</v>
      </c>
      <c r="AZ584">
        <v>627.08399999999995</v>
      </c>
      <c r="BA584">
        <v>669.59900000000005</v>
      </c>
      <c r="BB584">
        <v>17789.2</v>
      </c>
      <c r="BC584">
        <v>0.319413</v>
      </c>
      <c r="BD584">
        <v>5.6869099999999999E-2</v>
      </c>
      <c r="BE584">
        <v>0.111318</v>
      </c>
      <c r="BF584">
        <v>0.56748100000000001</v>
      </c>
      <c r="BG584">
        <v>3.35406</v>
      </c>
      <c r="BH584">
        <v>16.454499999999999</v>
      </c>
      <c r="BI584">
        <v>79.455699999999993</v>
      </c>
      <c r="BJ584">
        <v>28.7605</v>
      </c>
      <c r="BK584">
        <v>0</v>
      </c>
      <c r="BL584">
        <v>38.039299999999997</v>
      </c>
      <c r="BM584">
        <v>57.789900000000003</v>
      </c>
      <c r="BN584">
        <v>3.2124999999999999</v>
      </c>
      <c r="BO584">
        <v>0.58562999999999998</v>
      </c>
      <c r="BP584">
        <v>0.37267400000000001</v>
      </c>
      <c r="BQ584">
        <v>32.551900000000003</v>
      </c>
      <c r="BR584">
        <v>82646</v>
      </c>
    </row>
    <row r="585" spans="1:70" x14ac:dyDescent="0.25">
      <c r="A585">
        <v>46</v>
      </c>
      <c r="B585" s="7">
        <v>46024.561076388891</v>
      </c>
      <c r="C585" t="s">
        <v>175</v>
      </c>
      <c r="D585" s="6" t="s">
        <v>362</v>
      </c>
      <c r="E585" s="6" t="str">
        <f>VLOOKUP(F585,Germplasm!$A$1:$B$21,2,FALSE)</f>
        <v>Bamse</v>
      </c>
      <c r="F585" t="s">
        <v>69</v>
      </c>
      <c r="G585" s="6" t="s">
        <v>113</v>
      </c>
      <c r="H585">
        <v>40489.9</v>
      </c>
      <c r="I585">
        <v>459.72800000000001</v>
      </c>
      <c r="J585">
        <v>99425.3</v>
      </c>
      <c r="K585">
        <v>22.7684</v>
      </c>
      <c r="L585">
        <v>72.830399999999997</v>
      </c>
      <c r="M585">
        <v>1201.93</v>
      </c>
      <c r="N585">
        <v>449.15600000000001</v>
      </c>
      <c r="O585">
        <v>21976800</v>
      </c>
      <c r="P585">
        <v>1.5772799999999999E-3</v>
      </c>
      <c r="Q585">
        <v>1.04606</v>
      </c>
      <c r="R585">
        <v>43.036200000000001</v>
      </c>
      <c r="S585">
        <v>54.822400000000002</v>
      </c>
      <c r="T585">
        <v>0.97273100000000001</v>
      </c>
      <c r="U585">
        <v>0.11228200000000001</v>
      </c>
      <c r="V585">
        <v>1.0311600000000001E-2</v>
      </c>
      <c r="W585">
        <v>32.464500000000001</v>
      </c>
      <c r="X585">
        <v>22.102399999999999</v>
      </c>
      <c r="Y585">
        <v>61.741500000000002</v>
      </c>
      <c r="Z585">
        <v>6.6303799999999997</v>
      </c>
      <c r="AA585">
        <v>1.8297399999999999</v>
      </c>
      <c r="AB585">
        <v>0.77795599999999998</v>
      </c>
      <c r="AC585">
        <v>6.9179599999999999</v>
      </c>
      <c r="AD585">
        <v>1.78861</v>
      </c>
      <c r="AE585">
        <v>19.138100000000001</v>
      </c>
      <c r="AF585">
        <v>0</v>
      </c>
      <c r="AG585">
        <v>75.299000000000007</v>
      </c>
      <c r="AH585">
        <v>24.56</v>
      </c>
      <c r="AI585">
        <v>0.13863400000000001</v>
      </c>
      <c r="AJ585">
        <v>2.2914799999999998E-3</v>
      </c>
      <c r="AK585">
        <v>0</v>
      </c>
      <c r="AL585">
        <v>7.4129899999999999E-2</v>
      </c>
      <c r="AM585">
        <v>18.104900000000001</v>
      </c>
      <c r="AN585">
        <v>64.576099999999997</v>
      </c>
      <c r="AO585">
        <v>13.907</v>
      </c>
      <c r="AP585">
        <v>2.8425799999999999</v>
      </c>
      <c r="AQ585">
        <v>0.45027499999999998</v>
      </c>
      <c r="AR585">
        <v>0.119157</v>
      </c>
      <c r="AS585">
        <v>0.26599800000000001</v>
      </c>
      <c r="AT585">
        <v>0.62328099999999997</v>
      </c>
      <c r="AU585">
        <v>3.6125099999999999</v>
      </c>
      <c r="AV585">
        <v>24.416799999999999</v>
      </c>
      <c r="AW585">
        <v>58.776400000000002</v>
      </c>
      <c r="AX585">
        <v>10.632400000000001</v>
      </c>
      <c r="AY585">
        <v>1.93859</v>
      </c>
      <c r="AZ585">
        <v>542.77200000000005</v>
      </c>
      <c r="BA585">
        <v>553.79899999999998</v>
      </c>
      <c r="BB585">
        <v>22637.599999999999</v>
      </c>
      <c r="BC585">
        <v>0.34857900000000003</v>
      </c>
      <c r="BD585">
        <v>0.114574</v>
      </c>
      <c r="BE585">
        <v>0.40329999999999999</v>
      </c>
      <c r="BF585">
        <v>0.78483000000000003</v>
      </c>
      <c r="BG585">
        <v>2.93309</v>
      </c>
      <c r="BH585">
        <v>10.7814</v>
      </c>
      <c r="BI585">
        <v>84.982799999999997</v>
      </c>
      <c r="BJ585">
        <v>28.0261</v>
      </c>
      <c r="BK585">
        <v>0</v>
      </c>
      <c r="BL585">
        <v>41.958100000000002</v>
      </c>
      <c r="BM585">
        <v>53.637700000000002</v>
      </c>
      <c r="BN585">
        <v>3.50481</v>
      </c>
      <c r="BO585">
        <v>0.62099000000000004</v>
      </c>
      <c r="BP585">
        <v>0.27841399999999999</v>
      </c>
      <c r="BQ585">
        <v>34.027099999999997</v>
      </c>
      <c r="BR585">
        <v>87280</v>
      </c>
    </row>
    <row r="586" spans="1:70" x14ac:dyDescent="0.25">
      <c r="A586">
        <v>47</v>
      </c>
      <c r="B586" s="7">
        <v>45952.576064814813</v>
      </c>
      <c r="C586" t="s">
        <v>179</v>
      </c>
      <c r="D586" s="6" t="s">
        <v>363</v>
      </c>
      <c r="E586" s="6" t="str">
        <f>VLOOKUP(F586,Germplasm!$A$1:$B$21,2,FALSE)</f>
        <v>Tyra</v>
      </c>
      <c r="F586" t="s">
        <v>73</v>
      </c>
      <c r="G586" s="6" t="s">
        <v>113</v>
      </c>
      <c r="H586">
        <v>37516.5</v>
      </c>
      <c r="I586">
        <v>360.113</v>
      </c>
      <c r="J586">
        <v>143498</v>
      </c>
      <c r="K586">
        <v>15.581300000000001</v>
      </c>
      <c r="L586">
        <v>85.331900000000005</v>
      </c>
      <c r="M586">
        <v>1418.75</v>
      </c>
      <c r="N586">
        <v>492.12099999999998</v>
      </c>
      <c r="O586">
        <v>15984600</v>
      </c>
      <c r="P586">
        <v>0.20419799999999999</v>
      </c>
      <c r="Q586">
        <v>0.49552000000000002</v>
      </c>
      <c r="R586">
        <v>7.3716699999999999</v>
      </c>
      <c r="S586">
        <v>24.959399999999999</v>
      </c>
      <c r="T586">
        <v>41.206200000000003</v>
      </c>
      <c r="U586">
        <v>25.728000000000002</v>
      </c>
      <c r="V586">
        <v>0.23930599999999999</v>
      </c>
      <c r="W586">
        <v>118.345</v>
      </c>
      <c r="X586">
        <v>2.0939299999999998</v>
      </c>
      <c r="Y586">
        <v>2.9874200000000002</v>
      </c>
      <c r="Z586">
        <v>4.4427700000000003</v>
      </c>
      <c r="AA586">
        <v>15.153</v>
      </c>
      <c r="AB586">
        <v>33.355899999999998</v>
      </c>
      <c r="AC586">
        <v>41.966999999999999</v>
      </c>
      <c r="AD586">
        <v>1.6779200000000001</v>
      </c>
      <c r="AE586">
        <v>14.2204</v>
      </c>
      <c r="AF586">
        <v>0</v>
      </c>
      <c r="AG586">
        <v>89.886700000000005</v>
      </c>
      <c r="AH586">
        <v>0.92861099999999996</v>
      </c>
      <c r="AI586">
        <v>1.99508</v>
      </c>
      <c r="AJ586">
        <v>7.1895899999999999</v>
      </c>
      <c r="AK586">
        <v>0</v>
      </c>
      <c r="AL586">
        <v>0.44155499999999998</v>
      </c>
      <c r="AM586">
        <v>9.0507100000000005</v>
      </c>
      <c r="AN586">
        <v>5.3336600000000001</v>
      </c>
      <c r="AO586">
        <v>6.6667500000000004</v>
      </c>
      <c r="AP586">
        <v>16.017900000000001</v>
      </c>
      <c r="AQ586">
        <v>37.775199999999998</v>
      </c>
      <c r="AR586">
        <v>25.1557</v>
      </c>
      <c r="AS586">
        <v>2.3511399999999998E-2</v>
      </c>
      <c r="AT586">
        <v>7.1648699999999996</v>
      </c>
      <c r="AU586">
        <v>39.715699999999998</v>
      </c>
      <c r="AV586">
        <v>40.056399999999996</v>
      </c>
      <c r="AW586">
        <v>9.7218099999999996</v>
      </c>
      <c r="AX586">
        <v>2.1498499999999998</v>
      </c>
      <c r="AY586">
        <v>1.19133</v>
      </c>
      <c r="AZ586">
        <v>426.06900000000002</v>
      </c>
      <c r="BA586">
        <v>475.79899999999998</v>
      </c>
      <c r="BB586">
        <v>22358.9</v>
      </c>
      <c r="BC586">
        <v>-4.7875000000000001E-3</v>
      </c>
      <c r="BD586">
        <v>0.68150200000000005</v>
      </c>
      <c r="BE586">
        <v>1.03006</v>
      </c>
      <c r="BF586">
        <v>4.0773099999999998</v>
      </c>
      <c r="BG586">
        <v>41.091700000000003</v>
      </c>
      <c r="BH586">
        <v>47.813099999999999</v>
      </c>
      <c r="BI586">
        <v>5.3063500000000001</v>
      </c>
      <c r="BJ586">
        <v>31.245799999999999</v>
      </c>
      <c r="BK586">
        <v>0</v>
      </c>
      <c r="BL586">
        <v>36.331600000000002</v>
      </c>
      <c r="BM586">
        <v>54.455100000000002</v>
      </c>
      <c r="BN586">
        <v>6.8267199999999999</v>
      </c>
      <c r="BO586">
        <v>1.3512999999999999</v>
      </c>
      <c r="BP586">
        <v>1.0352600000000001</v>
      </c>
      <c r="BQ586">
        <v>36.618299999999998</v>
      </c>
      <c r="BR586">
        <v>76889</v>
      </c>
    </row>
    <row r="587" spans="1:70" x14ac:dyDescent="0.25">
      <c r="A587">
        <v>47</v>
      </c>
      <c r="B587" s="7">
        <v>45959.542500000003</v>
      </c>
      <c r="C587" t="s">
        <v>179</v>
      </c>
      <c r="D587" s="6" t="s">
        <v>364</v>
      </c>
      <c r="E587" s="6" t="str">
        <f>VLOOKUP(F587,Germplasm!$A$1:$B$21,2,FALSE)</f>
        <v>Tyra</v>
      </c>
      <c r="F587" t="s">
        <v>73</v>
      </c>
      <c r="G587" s="6" t="s">
        <v>113</v>
      </c>
      <c r="H587">
        <v>43449</v>
      </c>
      <c r="I587">
        <v>440.61200000000002</v>
      </c>
      <c r="J587">
        <v>152718</v>
      </c>
      <c r="K587">
        <v>18.169799999999999</v>
      </c>
      <c r="L587">
        <v>79.003</v>
      </c>
      <c r="M587">
        <v>1466.2</v>
      </c>
      <c r="N587">
        <v>503.41800000000001</v>
      </c>
      <c r="O587">
        <v>22370600</v>
      </c>
      <c r="P587">
        <v>0.210864</v>
      </c>
      <c r="Q587">
        <v>0.65772799999999998</v>
      </c>
      <c r="R587">
        <v>6.0631300000000001</v>
      </c>
      <c r="S587">
        <v>24.225100000000001</v>
      </c>
      <c r="T587">
        <v>42.216000000000001</v>
      </c>
      <c r="U587">
        <v>26.2331</v>
      </c>
      <c r="V587">
        <v>0.60494099999999995</v>
      </c>
      <c r="W587">
        <v>117.039</v>
      </c>
      <c r="X587">
        <v>2.2782900000000001</v>
      </c>
      <c r="Y587">
        <v>3.4375</v>
      </c>
      <c r="Z587">
        <v>4.5354700000000001</v>
      </c>
      <c r="AA587">
        <v>14.513299999999999</v>
      </c>
      <c r="AB587">
        <v>34.621000000000002</v>
      </c>
      <c r="AC587">
        <v>40.614400000000003</v>
      </c>
      <c r="AD587">
        <v>1.56582</v>
      </c>
      <c r="AE587">
        <v>12.3765</v>
      </c>
      <c r="AF587">
        <v>0</v>
      </c>
      <c r="AG587">
        <v>91.999600000000001</v>
      </c>
      <c r="AH587">
        <v>1.01668</v>
      </c>
      <c r="AI587">
        <v>1.4220900000000001</v>
      </c>
      <c r="AJ587">
        <v>5.5616599999999998</v>
      </c>
      <c r="AK587">
        <v>0</v>
      </c>
      <c r="AL587">
        <v>0.46105600000000002</v>
      </c>
      <c r="AM587">
        <v>7.5644</v>
      </c>
      <c r="AN587">
        <v>5.58805</v>
      </c>
      <c r="AO587">
        <v>7.47783</v>
      </c>
      <c r="AP587">
        <v>13.959</v>
      </c>
      <c r="AQ587">
        <v>34.727600000000002</v>
      </c>
      <c r="AR587">
        <v>30.6831</v>
      </c>
      <c r="AS587">
        <v>3.1938599999999998E-2</v>
      </c>
      <c r="AT587">
        <v>6.7008000000000001</v>
      </c>
      <c r="AU587">
        <v>39.477400000000003</v>
      </c>
      <c r="AV587">
        <v>39.869100000000003</v>
      </c>
      <c r="AW587">
        <v>9.6642700000000001</v>
      </c>
      <c r="AX587">
        <v>2.3680300000000001</v>
      </c>
      <c r="AY587">
        <v>1.9204000000000001</v>
      </c>
      <c r="AZ587">
        <v>514.86900000000003</v>
      </c>
      <c r="BA587">
        <v>569.99900000000002</v>
      </c>
      <c r="BB587">
        <v>27748.5</v>
      </c>
      <c r="BC587">
        <v>5.6485499999999996E-3</v>
      </c>
      <c r="BD587">
        <v>0.59438299999999999</v>
      </c>
      <c r="BE587">
        <v>0.88576900000000003</v>
      </c>
      <c r="BF587">
        <v>3.1112799999999998</v>
      </c>
      <c r="BG587">
        <v>41.585700000000003</v>
      </c>
      <c r="BH587">
        <v>47.152700000000003</v>
      </c>
      <c r="BI587">
        <v>6.6701899999999998</v>
      </c>
      <c r="BJ587">
        <v>31.809000000000001</v>
      </c>
      <c r="BK587">
        <v>0</v>
      </c>
      <c r="BL587">
        <v>36.009300000000003</v>
      </c>
      <c r="BM587">
        <v>53.831299999999999</v>
      </c>
      <c r="BN587">
        <v>7.0597500000000002</v>
      </c>
      <c r="BO587">
        <v>1.40625</v>
      </c>
      <c r="BP587">
        <v>1.6934100000000001</v>
      </c>
      <c r="BQ587">
        <v>39.738199999999999</v>
      </c>
      <c r="BR587">
        <v>94720</v>
      </c>
    </row>
    <row r="588" spans="1:70" x14ac:dyDescent="0.25">
      <c r="A588">
        <v>47</v>
      </c>
      <c r="B588" s="7">
        <v>45966.537199074075</v>
      </c>
      <c r="C588" t="s">
        <v>179</v>
      </c>
      <c r="D588" s="6" t="s">
        <v>365</v>
      </c>
      <c r="E588" s="6" t="str">
        <f>VLOOKUP(F588,Germplasm!$A$1:$B$21,2,FALSE)</f>
        <v>Tyra</v>
      </c>
      <c r="F588" t="s">
        <v>73</v>
      </c>
      <c r="G588" s="6" t="s">
        <v>113</v>
      </c>
      <c r="H588">
        <v>62872.6</v>
      </c>
      <c r="I588">
        <v>470.63499999999999</v>
      </c>
      <c r="J588">
        <v>181491</v>
      </c>
      <c r="K588">
        <v>21.575500000000002</v>
      </c>
      <c r="L588">
        <v>82.858699999999999</v>
      </c>
      <c r="M588">
        <v>1592.54</v>
      </c>
      <c r="N588">
        <v>574.26599999999996</v>
      </c>
      <c r="O588">
        <v>34864600</v>
      </c>
      <c r="P588">
        <v>0.21998100000000001</v>
      </c>
      <c r="Q588">
        <v>0.62849200000000005</v>
      </c>
      <c r="R588">
        <v>5.3578799999999998</v>
      </c>
      <c r="S588">
        <v>22.456900000000001</v>
      </c>
      <c r="T588">
        <v>43.107900000000001</v>
      </c>
      <c r="U588">
        <v>27.720600000000001</v>
      </c>
      <c r="V588">
        <v>0.72824199999999994</v>
      </c>
      <c r="W588">
        <v>113.51</v>
      </c>
      <c r="X588">
        <v>1.7578199999999999</v>
      </c>
      <c r="Y588">
        <v>3.0964200000000002</v>
      </c>
      <c r="Z588">
        <v>4.8061199999999999</v>
      </c>
      <c r="AA588">
        <v>18.189299999999999</v>
      </c>
      <c r="AB588">
        <v>38.1873</v>
      </c>
      <c r="AC588">
        <v>33.963000000000001</v>
      </c>
      <c r="AD588">
        <v>1.6056299999999999</v>
      </c>
      <c r="AE588">
        <v>10.0404</v>
      </c>
      <c r="AF588">
        <v>0</v>
      </c>
      <c r="AG588">
        <v>94.708399999999997</v>
      </c>
      <c r="AH588">
        <v>0.73103200000000002</v>
      </c>
      <c r="AI588">
        <v>0.92425299999999999</v>
      </c>
      <c r="AJ588">
        <v>3.6363300000000001</v>
      </c>
      <c r="AK588">
        <v>0</v>
      </c>
      <c r="AL588">
        <v>0.46959299999999998</v>
      </c>
      <c r="AM588">
        <v>4.9798099999999996</v>
      </c>
      <c r="AN588">
        <v>4.7321799999999996</v>
      </c>
      <c r="AO588">
        <v>8.3971</v>
      </c>
      <c r="AP588">
        <v>16.264099999999999</v>
      </c>
      <c r="AQ588">
        <v>37.203800000000001</v>
      </c>
      <c r="AR588">
        <v>28.422999999999998</v>
      </c>
      <c r="AS588">
        <v>5.6456800000000001E-2</v>
      </c>
      <c r="AT588">
        <v>4.7342700000000004</v>
      </c>
      <c r="AU588">
        <v>34.497300000000003</v>
      </c>
      <c r="AV588">
        <v>43.804000000000002</v>
      </c>
      <c r="AW588">
        <v>12.314500000000001</v>
      </c>
      <c r="AX588">
        <v>2.9220299999999999</v>
      </c>
      <c r="AY588">
        <v>1.72783</v>
      </c>
      <c r="AZ588">
        <v>554.52700000000004</v>
      </c>
      <c r="BA588">
        <v>642.59900000000005</v>
      </c>
      <c r="BB588">
        <v>39157.599999999999</v>
      </c>
      <c r="BC588">
        <v>2.29561E-2</v>
      </c>
      <c r="BD588">
        <v>0.30064400000000002</v>
      </c>
      <c r="BE588">
        <v>0.608263</v>
      </c>
      <c r="BF588">
        <v>2.5914000000000001</v>
      </c>
      <c r="BG588">
        <v>35.730600000000003</v>
      </c>
      <c r="BH588">
        <v>53.648499999999999</v>
      </c>
      <c r="BI588">
        <v>7.12059</v>
      </c>
      <c r="BJ588">
        <v>31.5943</v>
      </c>
      <c r="BK588">
        <v>0</v>
      </c>
      <c r="BL588">
        <v>35.986600000000003</v>
      </c>
      <c r="BM588">
        <v>53.978499999999997</v>
      </c>
      <c r="BN588">
        <v>7.6437499999999998</v>
      </c>
      <c r="BO588">
        <v>1.3079099999999999</v>
      </c>
      <c r="BP588">
        <v>1.0832900000000001</v>
      </c>
      <c r="BQ588">
        <v>38.5747</v>
      </c>
      <c r="BR588">
        <v>143359</v>
      </c>
    </row>
    <row r="589" spans="1:70" x14ac:dyDescent="0.25">
      <c r="A589">
        <v>47</v>
      </c>
      <c r="B589" s="7">
        <v>45973.568958333337</v>
      </c>
      <c r="C589" t="s">
        <v>179</v>
      </c>
      <c r="D589" s="6" t="s">
        <v>366</v>
      </c>
      <c r="E589" s="6" t="str">
        <f>VLOOKUP(F589,Germplasm!$A$1:$B$21,2,FALSE)</f>
        <v>Tyra</v>
      </c>
      <c r="F589" t="s">
        <v>73</v>
      </c>
      <c r="G589" s="6" t="s">
        <v>113</v>
      </c>
      <c r="H589">
        <v>72948.399999999994</v>
      </c>
      <c r="I589">
        <v>418.637</v>
      </c>
      <c r="J589">
        <v>218228</v>
      </c>
      <c r="K589">
        <v>18.021599999999999</v>
      </c>
      <c r="L589">
        <v>86.863100000000003</v>
      </c>
      <c r="M589">
        <v>1718.95</v>
      </c>
      <c r="N589">
        <v>602.07000000000005</v>
      </c>
      <c r="O589">
        <v>37842700</v>
      </c>
      <c r="P589">
        <v>0.21399499999999999</v>
      </c>
      <c r="Q589">
        <v>0.55094600000000005</v>
      </c>
      <c r="R589">
        <v>5.2611400000000001</v>
      </c>
      <c r="S589">
        <v>24.3032</v>
      </c>
      <c r="T589">
        <v>43.133400000000002</v>
      </c>
      <c r="U589">
        <v>26.1938</v>
      </c>
      <c r="V589">
        <v>0.55756799999999995</v>
      </c>
      <c r="W589">
        <v>109.295</v>
      </c>
      <c r="X589">
        <v>1.79389</v>
      </c>
      <c r="Y589">
        <v>3.6804800000000002</v>
      </c>
      <c r="Z589">
        <v>6.1007999999999996</v>
      </c>
      <c r="AA589">
        <v>21.859000000000002</v>
      </c>
      <c r="AB589">
        <v>37.984099999999998</v>
      </c>
      <c r="AC589">
        <v>28.581600000000002</v>
      </c>
      <c r="AD589">
        <v>1.85486</v>
      </c>
      <c r="AE589">
        <v>11.0002</v>
      </c>
      <c r="AF589">
        <v>0</v>
      </c>
      <c r="AG589">
        <v>94.303799999999995</v>
      </c>
      <c r="AH589">
        <v>1.0052099999999999</v>
      </c>
      <c r="AI589">
        <v>1.2243999999999999</v>
      </c>
      <c r="AJ589">
        <v>3.4665900000000001</v>
      </c>
      <c r="AK589">
        <v>0</v>
      </c>
      <c r="AL589">
        <v>0.43681999999999999</v>
      </c>
      <c r="AM589">
        <v>5.3730500000000001</v>
      </c>
      <c r="AN589">
        <v>5.577</v>
      </c>
      <c r="AO589">
        <v>10.697100000000001</v>
      </c>
      <c r="AP589">
        <v>20.020099999999999</v>
      </c>
      <c r="AQ589">
        <v>38.448999999999998</v>
      </c>
      <c r="AR589">
        <v>19.883700000000001</v>
      </c>
      <c r="AS589">
        <v>8.0182799999999999E-2</v>
      </c>
      <c r="AT589">
        <v>3.62419</v>
      </c>
      <c r="AU589">
        <v>29.4008</v>
      </c>
      <c r="AV589">
        <v>47.032400000000003</v>
      </c>
      <c r="AW589">
        <v>14.5345</v>
      </c>
      <c r="AX589">
        <v>3.4699</v>
      </c>
      <c r="AY589">
        <v>1.93824</v>
      </c>
      <c r="AZ589">
        <v>518.76099999999997</v>
      </c>
      <c r="BA589">
        <v>581.99900000000002</v>
      </c>
      <c r="BB589">
        <v>39328.300000000003</v>
      </c>
      <c r="BC589">
        <v>3.7226099999999998E-2</v>
      </c>
      <c r="BD589">
        <v>0.42976399999999998</v>
      </c>
      <c r="BE589">
        <v>0.63703100000000001</v>
      </c>
      <c r="BF589">
        <v>2.4487999999999999</v>
      </c>
      <c r="BG589">
        <v>29.508700000000001</v>
      </c>
      <c r="BH589">
        <v>57.858600000000003</v>
      </c>
      <c r="BI589">
        <v>9.1171000000000006</v>
      </c>
      <c r="BJ589">
        <v>31.432700000000001</v>
      </c>
      <c r="BK589">
        <v>0</v>
      </c>
      <c r="BL589">
        <v>36.174999999999997</v>
      </c>
      <c r="BM589">
        <v>53.891399999999997</v>
      </c>
      <c r="BN589">
        <v>7.5695499999999996</v>
      </c>
      <c r="BO589">
        <v>1.3475699999999999</v>
      </c>
      <c r="BP589">
        <v>1.01647</v>
      </c>
      <c r="BQ589">
        <v>32.667900000000003</v>
      </c>
      <c r="BR589">
        <v>151013</v>
      </c>
    </row>
    <row r="590" spans="1:70" x14ac:dyDescent="0.25">
      <c r="A590">
        <v>47</v>
      </c>
      <c r="B590" s="7">
        <v>45988.576979166668</v>
      </c>
      <c r="C590" t="s">
        <v>179</v>
      </c>
      <c r="D590" s="6" t="s">
        <v>367</v>
      </c>
      <c r="E590" s="6" t="str">
        <f>VLOOKUP(F590,Germplasm!$A$1:$B$21,2,FALSE)</f>
        <v>Tyra</v>
      </c>
      <c r="F590" t="s">
        <v>73</v>
      </c>
      <c r="G590" s="6" t="s">
        <v>113</v>
      </c>
      <c r="H590">
        <v>49298.6</v>
      </c>
      <c r="I590">
        <v>396.79599999999999</v>
      </c>
      <c r="J590">
        <v>150977</v>
      </c>
      <c r="K590">
        <v>19.098800000000001</v>
      </c>
      <c r="L590">
        <v>85.203999999999994</v>
      </c>
      <c r="M590">
        <v>1454.47</v>
      </c>
      <c r="N590">
        <v>501.81400000000002</v>
      </c>
      <c r="O590">
        <v>23975600</v>
      </c>
      <c r="P590">
        <v>0.16736599999999999</v>
      </c>
      <c r="Q590">
        <v>0.82477900000000004</v>
      </c>
      <c r="R590">
        <v>10.7105</v>
      </c>
      <c r="S590">
        <v>31.256399999999999</v>
      </c>
      <c r="T590">
        <v>39.554400000000001</v>
      </c>
      <c r="U590">
        <v>17.328399999999998</v>
      </c>
      <c r="V590">
        <v>0.32542900000000002</v>
      </c>
      <c r="W590">
        <v>89.485100000000003</v>
      </c>
      <c r="X590">
        <v>5.3431300000000004</v>
      </c>
      <c r="Y590">
        <v>11.6258</v>
      </c>
      <c r="Z590">
        <v>12.698</v>
      </c>
      <c r="AA590">
        <v>26.878799999999998</v>
      </c>
      <c r="AB590">
        <v>25.568200000000001</v>
      </c>
      <c r="AC590">
        <v>17.886099999999999</v>
      </c>
      <c r="AD590">
        <v>1.7097</v>
      </c>
      <c r="AE590">
        <v>14.093500000000001</v>
      </c>
      <c r="AF590">
        <v>0</v>
      </c>
      <c r="AG590">
        <v>90.983900000000006</v>
      </c>
      <c r="AH590">
        <v>2.20628</v>
      </c>
      <c r="AI590">
        <v>1.6110100000000001</v>
      </c>
      <c r="AJ590">
        <v>5.1988000000000003</v>
      </c>
      <c r="AK590">
        <v>0</v>
      </c>
      <c r="AL590">
        <v>0.32383099999999998</v>
      </c>
      <c r="AM590">
        <v>9.4168299999999991</v>
      </c>
      <c r="AN590">
        <v>14.538500000000001</v>
      </c>
      <c r="AO590">
        <v>18.542300000000001</v>
      </c>
      <c r="AP590">
        <v>22.658100000000001</v>
      </c>
      <c r="AQ590">
        <v>28.473700000000001</v>
      </c>
      <c r="AR590">
        <v>6.37052</v>
      </c>
      <c r="AS590">
        <v>0.15953700000000001</v>
      </c>
      <c r="AT590">
        <v>2.1560800000000002</v>
      </c>
      <c r="AU590">
        <v>17.123999999999999</v>
      </c>
      <c r="AV590">
        <v>41.8307</v>
      </c>
      <c r="AW590">
        <v>28.339200000000002</v>
      </c>
      <c r="AX590">
        <v>8.3060600000000004</v>
      </c>
      <c r="AY590">
        <v>2.2439399999999998</v>
      </c>
      <c r="AZ590">
        <v>486.334</v>
      </c>
      <c r="BA590">
        <v>566.99900000000002</v>
      </c>
      <c r="BB590">
        <v>28834.7</v>
      </c>
      <c r="BC590">
        <v>0.12424399999999999</v>
      </c>
      <c r="BD590">
        <v>0.429423</v>
      </c>
      <c r="BE590">
        <v>0.67147800000000002</v>
      </c>
      <c r="BF590">
        <v>1.9427099999999999</v>
      </c>
      <c r="BG590">
        <v>16.235600000000002</v>
      </c>
      <c r="BH590">
        <v>51.782699999999998</v>
      </c>
      <c r="BI590">
        <v>28.938099999999999</v>
      </c>
      <c r="BJ590">
        <v>32.358600000000003</v>
      </c>
      <c r="BK590">
        <v>0</v>
      </c>
      <c r="BL590">
        <v>33.147199999999998</v>
      </c>
      <c r="BM590">
        <v>56.7224</v>
      </c>
      <c r="BN590">
        <v>7.5001100000000003</v>
      </c>
      <c r="BO590">
        <v>1.3133699999999999</v>
      </c>
      <c r="BP590">
        <v>1.3169599999999999</v>
      </c>
      <c r="BQ590">
        <v>35.838099999999997</v>
      </c>
      <c r="BR590">
        <v>111545</v>
      </c>
    </row>
    <row r="591" spans="1:70" x14ac:dyDescent="0.25">
      <c r="A591">
        <v>47</v>
      </c>
      <c r="B591" s="7">
        <v>45994.559687499997</v>
      </c>
      <c r="C591" t="s">
        <v>179</v>
      </c>
      <c r="D591" s="6" t="s">
        <v>368</v>
      </c>
      <c r="E591" s="6" t="str">
        <f>VLOOKUP(F591,Germplasm!$A$1:$B$21,2,FALSE)</f>
        <v>Tyra</v>
      </c>
      <c r="F591" t="s">
        <v>73</v>
      </c>
      <c r="G591" s="6" t="s">
        <v>113</v>
      </c>
      <c r="H591">
        <v>49315</v>
      </c>
      <c r="I591">
        <v>418.88099999999997</v>
      </c>
      <c r="J591">
        <v>163963</v>
      </c>
      <c r="K591">
        <v>17.042999999999999</v>
      </c>
      <c r="L591">
        <v>73.940799999999996</v>
      </c>
      <c r="M591">
        <v>1511.02</v>
      </c>
      <c r="N591">
        <v>548.97400000000005</v>
      </c>
      <c r="O591">
        <v>25132100</v>
      </c>
      <c r="P591">
        <v>0.13225000000000001</v>
      </c>
      <c r="Q591">
        <v>0.92972699999999997</v>
      </c>
      <c r="R591">
        <v>14.625299999999999</v>
      </c>
      <c r="S591">
        <v>40.223100000000002</v>
      </c>
      <c r="T591">
        <v>31.827100000000002</v>
      </c>
      <c r="U591">
        <v>12.1408</v>
      </c>
      <c r="V591">
        <v>0.25406400000000001</v>
      </c>
      <c r="W591">
        <v>78.342399999999998</v>
      </c>
      <c r="X591">
        <v>7.3568100000000003</v>
      </c>
      <c r="Y591">
        <v>20.479800000000001</v>
      </c>
      <c r="Z591">
        <v>13.5298</v>
      </c>
      <c r="AA591">
        <v>23.994299999999999</v>
      </c>
      <c r="AB591">
        <v>18.353400000000001</v>
      </c>
      <c r="AC591">
        <v>16.285900000000002</v>
      </c>
      <c r="AD591">
        <v>1.7647600000000001</v>
      </c>
      <c r="AE591">
        <v>15.8139</v>
      </c>
      <c r="AF591">
        <v>0</v>
      </c>
      <c r="AG591">
        <v>89.189400000000006</v>
      </c>
      <c r="AH591">
        <v>4.0005899999999999</v>
      </c>
      <c r="AI591">
        <v>1.6744300000000001</v>
      </c>
      <c r="AJ591">
        <v>5.1355899999999997</v>
      </c>
      <c r="AK591">
        <v>0</v>
      </c>
      <c r="AL591">
        <v>0.26193300000000003</v>
      </c>
      <c r="AM591">
        <v>11.5213</v>
      </c>
      <c r="AN591">
        <v>22.930199999999999</v>
      </c>
      <c r="AO591">
        <v>20.1327</v>
      </c>
      <c r="AP591">
        <v>23.764199999999999</v>
      </c>
      <c r="AQ591">
        <v>18.310099999999998</v>
      </c>
      <c r="AR591">
        <v>3.3414999999999999</v>
      </c>
      <c r="AS591">
        <v>0.19131999999999999</v>
      </c>
      <c r="AT591">
        <v>1.9809600000000001</v>
      </c>
      <c r="AU591">
        <v>14.607799999999999</v>
      </c>
      <c r="AV591">
        <v>36.284199999999998</v>
      </c>
      <c r="AW591">
        <v>32.868200000000002</v>
      </c>
      <c r="AX591">
        <v>11.310499999999999</v>
      </c>
      <c r="AY591">
        <v>2.9484300000000001</v>
      </c>
      <c r="AZ591">
        <v>509.62400000000002</v>
      </c>
      <c r="BA591">
        <v>569.99900000000002</v>
      </c>
      <c r="BB591">
        <v>27944.3</v>
      </c>
      <c r="BC591">
        <v>0.16830700000000001</v>
      </c>
      <c r="BD591">
        <v>0.51088999999999996</v>
      </c>
      <c r="BE591">
        <v>0.75298699999999996</v>
      </c>
      <c r="BF591">
        <v>1.87418</v>
      </c>
      <c r="BG591">
        <v>13.450699999999999</v>
      </c>
      <c r="BH591">
        <v>42.908299999999997</v>
      </c>
      <c r="BI591">
        <v>40.503</v>
      </c>
      <c r="BJ591">
        <v>32.159399999999998</v>
      </c>
      <c r="BK591">
        <v>0</v>
      </c>
      <c r="BL591">
        <v>35.352699999999999</v>
      </c>
      <c r="BM591">
        <v>53.672899999999998</v>
      </c>
      <c r="BN591">
        <v>8.0904699999999998</v>
      </c>
      <c r="BO591">
        <v>1.5161</v>
      </c>
      <c r="BP591">
        <v>1.3678999999999999</v>
      </c>
      <c r="BQ591">
        <v>34.556800000000003</v>
      </c>
      <c r="BR591">
        <v>108634</v>
      </c>
    </row>
    <row r="592" spans="1:70" x14ac:dyDescent="0.25">
      <c r="A592">
        <v>47</v>
      </c>
      <c r="B592" s="7">
        <v>46002.586817129632</v>
      </c>
      <c r="C592" t="s">
        <v>179</v>
      </c>
      <c r="D592" s="6" t="s">
        <v>369</v>
      </c>
      <c r="E592" s="6" t="str">
        <f>VLOOKUP(F592,Germplasm!$A$1:$B$21,2,FALSE)</f>
        <v>Tyra</v>
      </c>
      <c r="F592" t="s">
        <v>73</v>
      </c>
      <c r="G592" s="6" t="s">
        <v>113</v>
      </c>
      <c r="H592">
        <v>39367.800000000003</v>
      </c>
      <c r="I592">
        <v>396.38200000000001</v>
      </c>
      <c r="J592">
        <v>132085</v>
      </c>
      <c r="K592">
        <v>16.607600000000001</v>
      </c>
      <c r="L592">
        <v>84.885800000000003</v>
      </c>
      <c r="M592">
        <v>1406.92</v>
      </c>
      <c r="N592">
        <v>482.25700000000001</v>
      </c>
      <c r="O592">
        <v>18852400</v>
      </c>
      <c r="P592">
        <v>8.4986800000000001E-2</v>
      </c>
      <c r="Q592">
        <v>0.88310999999999995</v>
      </c>
      <c r="R592">
        <v>22.373699999999999</v>
      </c>
      <c r="S592">
        <v>48.364800000000002</v>
      </c>
      <c r="T592">
        <v>23.253299999999999</v>
      </c>
      <c r="U592">
        <v>4.9584700000000002</v>
      </c>
      <c r="V592">
        <v>0.166603</v>
      </c>
      <c r="W592">
        <v>60.981699999999996</v>
      </c>
      <c r="X592">
        <v>11.4443</v>
      </c>
      <c r="Y592">
        <v>31.5077</v>
      </c>
      <c r="Z592">
        <v>15.3309</v>
      </c>
      <c r="AA592">
        <v>19.993500000000001</v>
      </c>
      <c r="AB592">
        <v>9.6384799999999995</v>
      </c>
      <c r="AC592">
        <v>12.085100000000001</v>
      </c>
      <c r="AD592">
        <v>1.7946599999999999</v>
      </c>
      <c r="AE592">
        <v>18.225100000000001</v>
      </c>
      <c r="AF592">
        <v>0</v>
      </c>
      <c r="AG592">
        <v>86.349100000000007</v>
      </c>
      <c r="AH592">
        <v>6.0990500000000001</v>
      </c>
      <c r="AI592">
        <v>1.3852500000000001</v>
      </c>
      <c r="AJ592">
        <v>6.1666299999999996</v>
      </c>
      <c r="AK592">
        <v>0</v>
      </c>
      <c r="AL592">
        <v>0.183972</v>
      </c>
      <c r="AM592">
        <v>15.481199999999999</v>
      </c>
      <c r="AN592">
        <v>33.477800000000002</v>
      </c>
      <c r="AO592">
        <v>23.6343</v>
      </c>
      <c r="AP592">
        <v>18.529</v>
      </c>
      <c r="AQ592">
        <v>7.5833300000000001</v>
      </c>
      <c r="AR592">
        <v>1.29437</v>
      </c>
      <c r="AS592">
        <v>0.222549</v>
      </c>
      <c r="AT592">
        <v>1.5669999999999999</v>
      </c>
      <c r="AU592">
        <v>9.5744100000000003</v>
      </c>
      <c r="AV592">
        <v>32.332599999999999</v>
      </c>
      <c r="AW592">
        <v>41.923299999999998</v>
      </c>
      <c r="AX592">
        <v>11.9872</v>
      </c>
      <c r="AY592">
        <v>2.6155400000000002</v>
      </c>
      <c r="AZ592">
        <v>478.87900000000002</v>
      </c>
      <c r="BA592">
        <v>562.19899999999996</v>
      </c>
      <c r="BB592">
        <v>21936.1</v>
      </c>
      <c r="BC592">
        <v>0.227321</v>
      </c>
      <c r="BD592">
        <v>0.60349799999999998</v>
      </c>
      <c r="BE592">
        <v>0.722333</v>
      </c>
      <c r="BF592">
        <v>1.4551499999999999</v>
      </c>
      <c r="BG592">
        <v>8.3604199999999995</v>
      </c>
      <c r="BH592">
        <v>32.933700000000002</v>
      </c>
      <c r="BI592">
        <v>55.924900000000001</v>
      </c>
      <c r="BJ592">
        <v>31.228300000000001</v>
      </c>
      <c r="BK592">
        <v>0</v>
      </c>
      <c r="BL592">
        <v>37.064999999999998</v>
      </c>
      <c r="BM592">
        <v>54.162199999999999</v>
      </c>
      <c r="BN592">
        <v>5.8707000000000003</v>
      </c>
      <c r="BO592">
        <v>1.55185</v>
      </c>
      <c r="BP592">
        <v>1.3503000000000001</v>
      </c>
      <c r="BQ592">
        <v>33.893500000000003</v>
      </c>
      <c r="BR592">
        <v>85833</v>
      </c>
    </row>
    <row r="593" spans="1:70" x14ac:dyDescent="0.25">
      <c r="A593">
        <v>47</v>
      </c>
      <c r="B593" s="7">
        <v>46013.56453703704</v>
      </c>
      <c r="C593" t="s">
        <v>179</v>
      </c>
      <c r="D593" s="6" t="s">
        <v>370</v>
      </c>
      <c r="E593" s="6" t="str">
        <f>VLOOKUP(F593,Germplasm!$A$1:$B$21,2,FALSE)</f>
        <v>Tyra</v>
      </c>
      <c r="F593" t="s">
        <v>73</v>
      </c>
      <c r="G593" s="6" t="s">
        <v>113</v>
      </c>
      <c r="H593">
        <v>32445.5</v>
      </c>
      <c r="I593">
        <v>315.51400000000001</v>
      </c>
      <c r="J593">
        <v>108862</v>
      </c>
      <c r="K593">
        <v>15.8262</v>
      </c>
      <c r="L593">
        <v>83.457599999999999</v>
      </c>
      <c r="M593">
        <v>1236.19</v>
      </c>
      <c r="N593">
        <v>438.238</v>
      </c>
      <c r="O593">
        <v>12882000</v>
      </c>
      <c r="P593">
        <v>2.6280899999999999E-2</v>
      </c>
      <c r="Q593">
        <v>1.51156</v>
      </c>
      <c r="R593">
        <v>26.3432</v>
      </c>
      <c r="S593">
        <v>66.943100000000001</v>
      </c>
      <c r="T593">
        <v>4.43302</v>
      </c>
      <c r="U593">
        <v>0.72042099999999998</v>
      </c>
      <c r="V593">
        <v>4.8617399999999998E-2</v>
      </c>
      <c r="W593">
        <v>45.689</v>
      </c>
      <c r="X593">
        <v>13.686500000000001</v>
      </c>
      <c r="Y593">
        <v>49.530799999999999</v>
      </c>
      <c r="Z593">
        <v>14.2272</v>
      </c>
      <c r="AA593">
        <v>6.7327700000000004</v>
      </c>
      <c r="AB593">
        <v>4.1118499999999996</v>
      </c>
      <c r="AC593">
        <v>11.710900000000001</v>
      </c>
      <c r="AD593">
        <v>1.88323</v>
      </c>
      <c r="AE593">
        <v>23.572399999999998</v>
      </c>
      <c r="AF593">
        <v>0</v>
      </c>
      <c r="AG593">
        <v>74.178299999999993</v>
      </c>
      <c r="AH593">
        <v>16.468</v>
      </c>
      <c r="AI593">
        <v>1.3553900000000001</v>
      </c>
      <c r="AJ593">
        <v>7.9982899999999999</v>
      </c>
      <c r="AK593">
        <v>0</v>
      </c>
      <c r="AL593">
        <v>9.6236299999999997E-2</v>
      </c>
      <c r="AM593">
        <v>19.287800000000001</v>
      </c>
      <c r="AN593">
        <v>55.270600000000002</v>
      </c>
      <c r="AO593">
        <v>18.451000000000001</v>
      </c>
      <c r="AP593">
        <v>4.9486600000000003</v>
      </c>
      <c r="AQ593">
        <v>1.41727</v>
      </c>
      <c r="AR593">
        <v>0.62465899999999996</v>
      </c>
      <c r="AS593">
        <v>0.22181899999999999</v>
      </c>
      <c r="AT593">
        <v>1.29941</v>
      </c>
      <c r="AU593">
        <v>8.8012099999999993</v>
      </c>
      <c r="AV593">
        <v>32.601599999999998</v>
      </c>
      <c r="AW593">
        <v>46.341200000000001</v>
      </c>
      <c r="AX593">
        <v>8.3636599999999994</v>
      </c>
      <c r="AY593">
        <v>2.59293</v>
      </c>
      <c r="AZ593">
        <v>397.03300000000002</v>
      </c>
      <c r="BA593">
        <v>451.79899999999998</v>
      </c>
      <c r="BB593">
        <v>17228.7</v>
      </c>
      <c r="BC593">
        <v>0.26611800000000002</v>
      </c>
      <c r="BD593">
        <v>0.50827199999999995</v>
      </c>
      <c r="BE593">
        <v>0.69537499999999997</v>
      </c>
      <c r="BF593">
        <v>1.6235200000000001</v>
      </c>
      <c r="BG593">
        <v>7.2719800000000001</v>
      </c>
      <c r="BH593">
        <v>19.656099999999999</v>
      </c>
      <c r="BI593">
        <v>70.244699999999995</v>
      </c>
      <c r="BJ593">
        <v>28.2683</v>
      </c>
      <c r="BK593">
        <v>0</v>
      </c>
      <c r="BL593">
        <v>48.302100000000003</v>
      </c>
      <c r="BM593">
        <v>44.286000000000001</v>
      </c>
      <c r="BN593">
        <v>3.9586299999999999</v>
      </c>
      <c r="BO593">
        <v>1.5469200000000001</v>
      </c>
      <c r="BP593">
        <v>1.90639</v>
      </c>
      <c r="BQ593">
        <v>32.095300000000002</v>
      </c>
      <c r="BR593">
        <v>67877</v>
      </c>
    </row>
    <row r="594" spans="1:70" x14ac:dyDescent="0.25">
      <c r="A594">
        <v>47</v>
      </c>
      <c r="B594" s="7">
        <v>46024.562337962961</v>
      </c>
      <c r="C594" t="s">
        <v>179</v>
      </c>
      <c r="D594" s="6" t="s">
        <v>371</v>
      </c>
      <c r="E594" s="6" t="str">
        <f>VLOOKUP(F594,Germplasm!$A$1:$B$21,2,FALSE)</f>
        <v>Tyra</v>
      </c>
      <c r="F594" t="s">
        <v>73</v>
      </c>
      <c r="G594" s="6" t="s">
        <v>113</v>
      </c>
      <c r="H594">
        <v>31395.1</v>
      </c>
      <c r="I594">
        <v>294.72000000000003</v>
      </c>
      <c r="J594">
        <v>113481</v>
      </c>
      <c r="K594">
        <v>15.4748</v>
      </c>
      <c r="L594">
        <v>83.970399999999998</v>
      </c>
      <c r="M594">
        <v>1321.39</v>
      </c>
      <c r="N594">
        <v>486.87</v>
      </c>
      <c r="O594">
        <v>11649500</v>
      </c>
      <c r="P594">
        <v>4.2091899999999998E-3</v>
      </c>
      <c r="Q594">
        <v>1.03569</v>
      </c>
      <c r="R594">
        <v>39.130400000000002</v>
      </c>
      <c r="S594">
        <v>58.751300000000001</v>
      </c>
      <c r="T594">
        <v>0.92860200000000004</v>
      </c>
      <c r="U594">
        <v>0.12762799999999999</v>
      </c>
      <c r="V594">
        <v>2.6405700000000001E-2</v>
      </c>
      <c r="W594">
        <v>36.335000000000001</v>
      </c>
      <c r="X594">
        <v>20.633199999999999</v>
      </c>
      <c r="Y594">
        <v>55.909799999999997</v>
      </c>
      <c r="Z594">
        <v>8.6757500000000007</v>
      </c>
      <c r="AA594">
        <v>3.5941100000000001</v>
      </c>
      <c r="AB594">
        <v>1.74718</v>
      </c>
      <c r="AC594">
        <v>9.4400499999999994</v>
      </c>
      <c r="AD594">
        <v>1.7877799999999999</v>
      </c>
      <c r="AE594">
        <v>26.725300000000001</v>
      </c>
      <c r="AF594">
        <v>0</v>
      </c>
      <c r="AG594">
        <v>62.470100000000002</v>
      </c>
      <c r="AH594">
        <v>27.589600000000001</v>
      </c>
      <c r="AI594">
        <v>1.77505</v>
      </c>
      <c r="AJ594">
        <v>8.1652400000000007</v>
      </c>
      <c r="AK594">
        <v>0</v>
      </c>
      <c r="AL594">
        <v>5.9676800000000002E-2</v>
      </c>
      <c r="AM594">
        <v>28.739699999999999</v>
      </c>
      <c r="AN594">
        <v>54.985500000000002</v>
      </c>
      <c r="AO594">
        <v>11.887</v>
      </c>
      <c r="AP594">
        <v>2.8708900000000002</v>
      </c>
      <c r="AQ594">
        <v>1.1325099999999999</v>
      </c>
      <c r="AR594">
        <v>0.38435000000000002</v>
      </c>
      <c r="AS594">
        <v>0.22494800000000001</v>
      </c>
      <c r="AT594">
        <v>1.3393600000000001</v>
      </c>
      <c r="AU594">
        <v>6.0293099999999997</v>
      </c>
      <c r="AV594">
        <v>36.052599999999998</v>
      </c>
      <c r="AW594">
        <v>45.516199999999998</v>
      </c>
      <c r="AX594">
        <v>8.3310099999999991</v>
      </c>
      <c r="AY594">
        <v>2.7315299999999998</v>
      </c>
      <c r="AZ594">
        <v>371.06</v>
      </c>
      <c r="BA594">
        <v>410.99900000000002</v>
      </c>
      <c r="BB594">
        <v>17560.900000000001</v>
      </c>
      <c r="BC594">
        <v>0.28316000000000002</v>
      </c>
      <c r="BD594">
        <v>0.83764899999999998</v>
      </c>
      <c r="BE594">
        <v>0.69094999999999995</v>
      </c>
      <c r="BF594">
        <v>1.25427</v>
      </c>
      <c r="BG594">
        <v>4.5857999999999999</v>
      </c>
      <c r="BH594">
        <v>18.151</v>
      </c>
      <c r="BI594">
        <v>74.4803</v>
      </c>
      <c r="BJ594">
        <v>27.398800000000001</v>
      </c>
      <c r="BK594">
        <v>0</v>
      </c>
      <c r="BL594">
        <v>51.360599999999998</v>
      </c>
      <c r="BM594">
        <v>41.671199999999999</v>
      </c>
      <c r="BN594">
        <v>3.7613500000000002</v>
      </c>
      <c r="BO594">
        <v>1.5946100000000001</v>
      </c>
      <c r="BP594">
        <v>1.61222</v>
      </c>
      <c r="BQ594">
        <v>34.035400000000003</v>
      </c>
      <c r="BR594">
        <v>68167</v>
      </c>
    </row>
    <row r="595" spans="1:70" x14ac:dyDescent="0.25">
      <c r="A595">
        <v>47</v>
      </c>
      <c r="B595" s="7">
        <v>45952.576064814813</v>
      </c>
      <c r="C595" t="s">
        <v>178</v>
      </c>
      <c r="D595" s="6" t="s">
        <v>363</v>
      </c>
      <c r="E595" s="6" t="str">
        <f>VLOOKUP(F595,Germplasm!$A$1:$B$21,2,FALSE)</f>
        <v>Brage</v>
      </c>
      <c r="F595" t="s">
        <v>81</v>
      </c>
      <c r="G595" s="6" t="s">
        <v>113</v>
      </c>
      <c r="H595">
        <v>31864.400000000001</v>
      </c>
      <c r="I595">
        <v>301.61099999999999</v>
      </c>
      <c r="J595">
        <v>94061.6</v>
      </c>
      <c r="K595">
        <v>19.0273</v>
      </c>
      <c r="L595">
        <v>69.075100000000006</v>
      </c>
      <c r="M595">
        <v>1160.8599999999999</v>
      </c>
      <c r="N595">
        <v>444.334</v>
      </c>
      <c r="O595">
        <v>10272100</v>
      </c>
      <c r="P595">
        <v>0.25800299999999998</v>
      </c>
      <c r="Q595">
        <v>0.60049799999999998</v>
      </c>
      <c r="R595">
        <v>3.0122499999999999</v>
      </c>
      <c r="S595">
        <v>14.978300000000001</v>
      </c>
      <c r="T595">
        <v>42.410800000000002</v>
      </c>
      <c r="U595">
        <v>38.405799999999999</v>
      </c>
      <c r="V595">
        <v>0.59236100000000003</v>
      </c>
      <c r="W595">
        <v>115.02500000000001</v>
      </c>
      <c r="X595">
        <v>0.80880099999999999</v>
      </c>
      <c r="Y595">
        <v>1.5931900000000001</v>
      </c>
      <c r="Z595">
        <v>3.4077000000000002</v>
      </c>
      <c r="AA595">
        <v>19.3673</v>
      </c>
      <c r="AB595">
        <v>41.577599999999997</v>
      </c>
      <c r="AC595">
        <v>33.2455</v>
      </c>
      <c r="AD595">
        <v>1.7803899999999999</v>
      </c>
      <c r="AE595">
        <v>6.8006799999999998</v>
      </c>
      <c r="AF595">
        <v>0</v>
      </c>
      <c r="AG595">
        <v>99.986999999999995</v>
      </c>
      <c r="AH595">
        <v>1.30189E-2</v>
      </c>
      <c r="AI595">
        <v>0</v>
      </c>
      <c r="AJ595">
        <v>0</v>
      </c>
      <c r="AK595">
        <v>0</v>
      </c>
      <c r="AL595">
        <v>0.539605</v>
      </c>
      <c r="AM595">
        <v>0.27990700000000002</v>
      </c>
      <c r="AN595">
        <v>1.41744</v>
      </c>
      <c r="AO595">
        <v>3.55254</v>
      </c>
      <c r="AP595">
        <v>14.9034</v>
      </c>
      <c r="AQ595">
        <v>45.185400000000001</v>
      </c>
      <c r="AR595">
        <v>34.661299999999997</v>
      </c>
      <c r="AS595">
        <v>5.27976E-2</v>
      </c>
      <c r="AT595">
        <v>6.8137800000000004</v>
      </c>
      <c r="AU595">
        <v>32.268999999999998</v>
      </c>
      <c r="AV595">
        <v>42.7102</v>
      </c>
      <c r="AW595">
        <v>14.205299999999999</v>
      </c>
      <c r="AX595">
        <v>2.5679799999999999</v>
      </c>
      <c r="AY595">
        <v>1.43371</v>
      </c>
      <c r="AZ595">
        <v>322.37</v>
      </c>
      <c r="BA595">
        <v>330.59899999999999</v>
      </c>
      <c r="BB595">
        <v>17897.400000000001</v>
      </c>
      <c r="BC595">
        <v>1.9998999999999999E-2</v>
      </c>
      <c r="BD595">
        <v>8.1368299999999994E-3</v>
      </c>
      <c r="BE595">
        <v>0.29455300000000001</v>
      </c>
      <c r="BF595">
        <v>2.59077</v>
      </c>
      <c r="BG595">
        <v>36.189399999999999</v>
      </c>
      <c r="BH595">
        <v>56.8504</v>
      </c>
      <c r="BI595">
        <v>4.0667900000000001</v>
      </c>
      <c r="BJ595">
        <v>34.342700000000001</v>
      </c>
      <c r="BK595">
        <v>0</v>
      </c>
      <c r="BL595">
        <v>26.6432</v>
      </c>
      <c r="BM595">
        <v>60.962699999999998</v>
      </c>
      <c r="BN595">
        <v>10.9213</v>
      </c>
      <c r="BO595">
        <v>1.0138499999999999</v>
      </c>
      <c r="BP595">
        <v>0.45891700000000002</v>
      </c>
      <c r="BQ595">
        <v>34.197200000000002</v>
      </c>
      <c r="BR595">
        <v>61449</v>
      </c>
    </row>
    <row r="596" spans="1:70" x14ac:dyDescent="0.25">
      <c r="A596">
        <v>47</v>
      </c>
      <c r="B596" s="7">
        <v>45959.542500000003</v>
      </c>
      <c r="C596" t="s">
        <v>178</v>
      </c>
      <c r="D596" s="6" t="s">
        <v>364</v>
      </c>
      <c r="E596" s="6" t="str">
        <f>VLOOKUP(F596,Germplasm!$A$1:$B$21,2,FALSE)</f>
        <v>Brage</v>
      </c>
      <c r="F596" t="s">
        <v>81</v>
      </c>
      <c r="G596" s="6" t="s">
        <v>113</v>
      </c>
      <c r="H596">
        <v>51365.9</v>
      </c>
      <c r="I596">
        <v>406.87</v>
      </c>
      <c r="J596">
        <v>130438</v>
      </c>
      <c r="K596">
        <v>21.989100000000001</v>
      </c>
      <c r="L596">
        <v>79.241399999999999</v>
      </c>
      <c r="M596">
        <v>1392.34</v>
      </c>
      <c r="N596">
        <v>510.09199999999998</v>
      </c>
      <c r="O596">
        <v>22870600</v>
      </c>
      <c r="P596">
        <v>0.24730099999999999</v>
      </c>
      <c r="Q596">
        <v>0.55964999999999998</v>
      </c>
      <c r="R596">
        <v>2.7587100000000002</v>
      </c>
      <c r="S596">
        <v>17.6188</v>
      </c>
      <c r="T596">
        <v>45.182600000000001</v>
      </c>
      <c r="U596">
        <v>32.902799999999999</v>
      </c>
      <c r="V596">
        <v>0.97736100000000004</v>
      </c>
      <c r="W596">
        <v>121.63500000000001</v>
      </c>
      <c r="X596">
        <v>0.77357500000000001</v>
      </c>
      <c r="Y596">
        <v>1.28355</v>
      </c>
      <c r="Z596">
        <v>2.41805</v>
      </c>
      <c r="AA596">
        <v>13.929399999999999</v>
      </c>
      <c r="AB596">
        <v>38.197200000000002</v>
      </c>
      <c r="AC596">
        <v>43.398299999999999</v>
      </c>
      <c r="AD596">
        <v>1.79087</v>
      </c>
      <c r="AE596">
        <v>6.3771800000000001</v>
      </c>
      <c r="AF596">
        <v>0</v>
      </c>
      <c r="AG596">
        <v>99.828699999999998</v>
      </c>
      <c r="AH596">
        <v>0.162218</v>
      </c>
      <c r="AI596">
        <v>8.1108800000000009E-3</v>
      </c>
      <c r="AJ596">
        <v>1.0138600000000001E-3</v>
      </c>
      <c r="AK596">
        <v>0</v>
      </c>
      <c r="AL596">
        <v>0.54332499999999995</v>
      </c>
      <c r="AM596">
        <v>0.47651399999999999</v>
      </c>
      <c r="AN596">
        <v>2.0297499999999999</v>
      </c>
      <c r="AO596">
        <v>4.3038299999999996</v>
      </c>
      <c r="AP596">
        <v>13.674899999999999</v>
      </c>
      <c r="AQ596">
        <v>40.6233</v>
      </c>
      <c r="AR596">
        <v>38.891599999999997</v>
      </c>
      <c r="AS596">
        <v>2.0235699999999999E-2</v>
      </c>
      <c r="AT596">
        <v>8.3166899999999995</v>
      </c>
      <c r="AU596">
        <v>41.745699999999999</v>
      </c>
      <c r="AV596">
        <v>36.247500000000002</v>
      </c>
      <c r="AW596">
        <v>9.6083499999999997</v>
      </c>
      <c r="AX596">
        <v>2.32884</v>
      </c>
      <c r="AY596">
        <v>1.7529600000000001</v>
      </c>
      <c r="AZ596">
        <v>445.24799999999999</v>
      </c>
      <c r="BA596">
        <v>450.37200000000001</v>
      </c>
      <c r="BB596">
        <v>28682.1</v>
      </c>
      <c r="BC596">
        <v>-3.13627E-3</v>
      </c>
      <c r="BD596">
        <v>0.12876000000000001</v>
      </c>
      <c r="BE596">
        <v>0.56978899999999999</v>
      </c>
      <c r="BF596">
        <v>3.1966999999999999</v>
      </c>
      <c r="BG596">
        <v>46.167099999999998</v>
      </c>
      <c r="BH596">
        <v>46.507800000000003</v>
      </c>
      <c r="BI596">
        <v>3.4298899999999999</v>
      </c>
      <c r="BJ596">
        <v>33.046199999999999</v>
      </c>
      <c r="BK596">
        <v>0</v>
      </c>
      <c r="BL596">
        <v>31.303899999999999</v>
      </c>
      <c r="BM596">
        <v>57.348999999999997</v>
      </c>
      <c r="BN596">
        <v>9.1571800000000003</v>
      </c>
      <c r="BO596">
        <v>1.27746</v>
      </c>
      <c r="BP596">
        <v>0.91247299999999998</v>
      </c>
      <c r="BQ596">
        <v>33.984099999999998</v>
      </c>
      <c r="BR596">
        <v>98633</v>
      </c>
    </row>
    <row r="597" spans="1:70" x14ac:dyDescent="0.25">
      <c r="A597">
        <v>47</v>
      </c>
      <c r="B597" s="7">
        <v>45966.537199074075</v>
      </c>
      <c r="C597" t="s">
        <v>178</v>
      </c>
      <c r="D597" s="6" t="s">
        <v>365</v>
      </c>
      <c r="E597" s="6" t="str">
        <f>VLOOKUP(F597,Germplasm!$A$1:$B$21,2,FALSE)</f>
        <v>Brage</v>
      </c>
      <c r="F597" t="s">
        <v>81</v>
      </c>
      <c r="G597" s="6" t="s">
        <v>113</v>
      </c>
      <c r="H597">
        <v>79587.199999999997</v>
      </c>
      <c r="I597">
        <v>482.875</v>
      </c>
      <c r="J597">
        <v>202093</v>
      </c>
      <c r="K597">
        <v>23.049499999999998</v>
      </c>
      <c r="L597">
        <v>86.962400000000002</v>
      </c>
      <c r="M597">
        <v>1673.21</v>
      </c>
      <c r="N597">
        <v>570.92700000000002</v>
      </c>
      <c r="O597">
        <v>46749300</v>
      </c>
      <c r="P597">
        <v>0.25874599999999998</v>
      </c>
      <c r="Q597">
        <v>0.45435999999999999</v>
      </c>
      <c r="R597">
        <v>2.2128000000000001</v>
      </c>
      <c r="S597">
        <v>15.166600000000001</v>
      </c>
      <c r="T597">
        <v>45.780900000000003</v>
      </c>
      <c r="U597">
        <v>35.162100000000002</v>
      </c>
      <c r="V597">
        <v>1.2231799999999999</v>
      </c>
      <c r="W597">
        <v>120.28100000000001</v>
      </c>
      <c r="X597">
        <v>0.62588600000000005</v>
      </c>
      <c r="Y597">
        <v>1.1337699999999999</v>
      </c>
      <c r="Z597">
        <v>2.4573200000000002</v>
      </c>
      <c r="AA597">
        <v>14.1983</v>
      </c>
      <c r="AB597">
        <v>40.501899999999999</v>
      </c>
      <c r="AC597">
        <v>41.082799999999999</v>
      </c>
      <c r="AD597">
        <v>1.7085600000000001</v>
      </c>
      <c r="AE597">
        <v>6.1347100000000001</v>
      </c>
      <c r="AF597">
        <v>0</v>
      </c>
      <c r="AG597">
        <v>99.912999999999997</v>
      </c>
      <c r="AH597">
        <v>8.2721500000000003E-2</v>
      </c>
      <c r="AI597">
        <v>3.6494800000000001E-3</v>
      </c>
      <c r="AJ597">
        <v>6.0824700000000002E-4</v>
      </c>
      <c r="AK597">
        <v>0</v>
      </c>
      <c r="AL597">
        <v>0.54395800000000005</v>
      </c>
      <c r="AM597">
        <v>0.34548400000000001</v>
      </c>
      <c r="AN597">
        <v>1.55711</v>
      </c>
      <c r="AO597">
        <v>3.7486199999999998</v>
      </c>
      <c r="AP597">
        <v>14.291399999999999</v>
      </c>
      <c r="AQ597">
        <v>42.305999999999997</v>
      </c>
      <c r="AR597">
        <v>37.751399999999997</v>
      </c>
      <c r="AS597">
        <v>3.0502100000000001E-2</v>
      </c>
      <c r="AT597">
        <v>6.6456999999999997</v>
      </c>
      <c r="AU597">
        <v>41.48</v>
      </c>
      <c r="AV597">
        <v>37.319000000000003</v>
      </c>
      <c r="AW597">
        <v>10.216100000000001</v>
      </c>
      <c r="AX597">
        <v>2.4974599999999998</v>
      </c>
      <c r="AY597">
        <v>1.8417699999999999</v>
      </c>
      <c r="AZ597">
        <v>587.39800000000002</v>
      </c>
      <c r="BA597">
        <v>598.19899999999996</v>
      </c>
      <c r="BB597">
        <v>46581.5</v>
      </c>
      <c r="BC597">
        <v>4.47351E-3</v>
      </c>
      <c r="BD597">
        <v>4.0752499999999997E-2</v>
      </c>
      <c r="BE597">
        <v>0.26276300000000002</v>
      </c>
      <c r="BF597">
        <v>2.6762899999999998</v>
      </c>
      <c r="BG597">
        <v>45.1447</v>
      </c>
      <c r="BH597">
        <v>48.042400000000001</v>
      </c>
      <c r="BI597">
        <v>3.83317</v>
      </c>
      <c r="BJ597">
        <v>33.671199999999999</v>
      </c>
      <c r="BK597">
        <v>0</v>
      </c>
      <c r="BL597">
        <v>28.903300000000002</v>
      </c>
      <c r="BM597">
        <v>59.465800000000002</v>
      </c>
      <c r="BN597">
        <v>9.3736899999999999</v>
      </c>
      <c r="BO597">
        <v>1.38924</v>
      </c>
      <c r="BP597">
        <v>0.86796799999999996</v>
      </c>
      <c r="BQ597">
        <v>35.877499999999998</v>
      </c>
      <c r="BR597">
        <v>164407</v>
      </c>
    </row>
    <row r="598" spans="1:70" x14ac:dyDescent="0.25">
      <c r="A598">
        <v>47</v>
      </c>
      <c r="B598" s="7">
        <v>45973.568958333337</v>
      </c>
      <c r="C598" t="s">
        <v>178</v>
      </c>
      <c r="D598" s="6" t="s">
        <v>366</v>
      </c>
      <c r="E598" s="6" t="str">
        <f>VLOOKUP(F598,Germplasm!$A$1:$B$21,2,FALSE)</f>
        <v>Brage</v>
      </c>
      <c r="F598" t="s">
        <v>81</v>
      </c>
      <c r="G598" s="6" t="s">
        <v>113</v>
      </c>
      <c r="H598">
        <v>68140.2</v>
      </c>
      <c r="I598">
        <v>486.89299999999997</v>
      </c>
      <c r="J598">
        <v>178000</v>
      </c>
      <c r="K598">
        <v>21.6052</v>
      </c>
      <c r="L598">
        <v>65.012500000000003</v>
      </c>
      <c r="M598">
        <v>1647.49</v>
      </c>
      <c r="N598">
        <v>602.89200000000005</v>
      </c>
      <c r="O598">
        <v>40690100</v>
      </c>
      <c r="P598">
        <v>0.237535</v>
      </c>
      <c r="Q598">
        <v>0.49054700000000001</v>
      </c>
      <c r="R598">
        <v>3.6122700000000001</v>
      </c>
      <c r="S598">
        <v>17.4755</v>
      </c>
      <c r="T598">
        <v>47.2348</v>
      </c>
      <c r="U598">
        <v>30.5671</v>
      </c>
      <c r="V598">
        <v>0.61986600000000003</v>
      </c>
      <c r="W598">
        <v>107.82</v>
      </c>
      <c r="X598">
        <v>1.7288300000000001</v>
      </c>
      <c r="Y598">
        <v>5.6503199999999998</v>
      </c>
      <c r="Z598">
        <v>6.1625399999999999</v>
      </c>
      <c r="AA598">
        <v>19.764900000000001</v>
      </c>
      <c r="AB598">
        <v>38.808100000000003</v>
      </c>
      <c r="AC598">
        <v>27.885300000000001</v>
      </c>
      <c r="AD598">
        <v>1.7718499999999999</v>
      </c>
      <c r="AE598">
        <v>7.5591499999999998</v>
      </c>
      <c r="AF598">
        <v>0</v>
      </c>
      <c r="AG598">
        <v>99.501499999999993</v>
      </c>
      <c r="AH598">
        <v>0.49271399999999999</v>
      </c>
      <c r="AI598">
        <v>4.3347300000000002E-3</v>
      </c>
      <c r="AJ598">
        <v>1.44491E-3</v>
      </c>
      <c r="AK598">
        <v>0</v>
      </c>
      <c r="AL598">
        <v>0.48438199999999998</v>
      </c>
      <c r="AM598">
        <v>0.94930499999999995</v>
      </c>
      <c r="AN598">
        <v>6.5136500000000002</v>
      </c>
      <c r="AO598">
        <v>8.0560899999999993</v>
      </c>
      <c r="AP598">
        <v>18.2622</v>
      </c>
      <c r="AQ598">
        <v>37.154400000000003</v>
      </c>
      <c r="AR598">
        <v>29.064299999999999</v>
      </c>
      <c r="AS598">
        <v>9.8892999999999995E-2</v>
      </c>
      <c r="AT598">
        <v>3.23298</v>
      </c>
      <c r="AU598">
        <v>30.672499999999999</v>
      </c>
      <c r="AV598">
        <v>40.466099999999997</v>
      </c>
      <c r="AW598">
        <v>16.996500000000001</v>
      </c>
      <c r="AX598">
        <v>6.5309900000000001</v>
      </c>
      <c r="AY598">
        <v>2.1009000000000002</v>
      </c>
      <c r="AZ598">
        <v>597.15300000000002</v>
      </c>
      <c r="BA598">
        <v>632.399</v>
      </c>
      <c r="BB598">
        <v>38457.1</v>
      </c>
      <c r="BC598">
        <v>6.8783999999999998E-2</v>
      </c>
      <c r="BD598">
        <v>3.5400300000000003E-2</v>
      </c>
      <c r="BE598">
        <v>0.187116</v>
      </c>
      <c r="BF598">
        <v>1.4131199999999999</v>
      </c>
      <c r="BG598">
        <v>32.266300000000001</v>
      </c>
      <c r="BH598">
        <v>51.170699999999997</v>
      </c>
      <c r="BI598">
        <v>14.9274</v>
      </c>
      <c r="BJ598">
        <v>33.927199999999999</v>
      </c>
      <c r="BK598">
        <v>0</v>
      </c>
      <c r="BL598">
        <v>26.075600000000001</v>
      </c>
      <c r="BM598">
        <v>63.237200000000001</v>
      </c>
      <c r="BN598">
        <v>8.9360400000000002</v>
      </c>
      <c r="BO598">
        <v>1.1696500000000001</v>
      </c>
      <c r="BP598">
        <v>0.58157599999999998</v>
      </c>
      <c r="BQ598">
        <v>34.405200000000001</v>
      </c>
      <c r="BR598">
        <v>138417</v>
      </c>
    </row>
    <row r="599" spans="1:70" x14ac:dyDescent="0.25">
      <c r="A599">
        <v>47</v>
      </c>
      <c r="B599" s="7">
        <v>45988.576979166668</v>
      </c>
      <c r="C599" t="s">
        <v>178</v>
      </c>
      <c r="D599" s="6" t="s">
        <v>367</v>
      </c>
      <c r="E599" s="6" t="str">
        <f>VLOOKUP(F599,Germplasm!$A$1:$B$21,2,FALSE)</f>
        <v>Brage</v>
      </c>
      <c r="F599" t="s">
        <v>81</v>
      </c>
      <c r="G599" s="6" t="s">
        <v>113</v>
      </c>
      <c r="H599">
        <v>58565.1</v>
      </c>
      <c r="I599">
        <v>497.29599999999999</v>
      </c>
      <c r="J599">
        <v>124540</v>
      </c>
      <c r="K599">
        <v>26.858499999999999</v>
      </c>
      <c r="L599">
        <v>82.653599999999997</v>
      </c>
      <c r="M599">
        <v>1327.27</v>
      </c>
      <c r="N599">
        <v>470.947</v>
      </c>
      <c r="O599">
        <v>37014900</v>
      </c>
      <c r="P599">
        <v>0.17452100000000001</v>
      </c>
      <c r="Q599">
        <v>0.70958900000000003</v>
      </c>
      <c r="R599">
        <v>11.927099999999999</v>
      </c>
      <c r="S599">
        <v>26.559100000000001</v>
      </c>
      <c r="T599">
        <v>43.920699999999997</v>
      </c>
      <c r="U599">
        <v>16.438500000000001</v>
      </c>
      <c r="V599">
        <v>0.44485200000000003</v>
      </c>
      <c r="W599">
        <v>84.361900000000006</v>
      </c>
      <c r="X599">
        <v>7.0702699999999998</v>
      </c>
      <c r="Y599">
        <v>14.095499999999999</v>
      </c>
      <c r="Z599">
        <v>10.180300000000001</v>
      </c>
      <c r="AA599">
        <v>30.222000000000001</v>
      </c>
      <c r="AB599">
        <v>26.906099999999999</v>
      </c>
      <c r="AC599">
        <v>11.5258</v>
      </c>
      <c r="AD599">
        <v>1.75085</v>
      </c>
      <c r="AE599">
        <v>8.9838799999999992</v>
      </c>
      <c r="AF599">
        <v>0</v>
      </c>
      <c r="AG599">
        <v>98.302099999999996</v>
      </c>
      <c r="AH599">
        <v>1.6978899999999999</v>
      </c>
      <c r="AI599">
        <v>0</v>
      </c>
      <c r="AJ599">
        <v>0</v>
      </c>
      <c r="AK599">
        <v>0</v>
      </c>
      <c r="AL599">
        <v>0.35904000000000003</v>
      </c>
      <c r="AM599">
        <v>3.0037199999999999</v>
      </c>
      <c r="AN599">
        <v>17.9392</v>
      </c>
      <c r="AO599">
        <v>14.8796</v>
      </c>
      <c r="AP599">
        <v>23.993300000000001</v>
      </c>
      <c r="AQ599">
        <v>31.668299999999999</v>
      </c>
      <c r="AR599">
        <v>8.5158400000000007</v>
      </c>
      <c r="AS599">
        <v>0.191862</v>
      </c>
      <c r="AT599">
        <v>0.72278699999999996</v>
      </c>
      <c r="AU599">
        <v>12.004</v>
      </c>
      <c r="AV599">
        <v>41.791200000000003</v>
      </c>
      <c r="AW599">
        <v>34.0595</v>
      </c>
      <c r="AX599">
        <v>9.3085000000000004</v>
      </c>
      <c r="AY599">
        <v>2.11402</v>
      </c>
      <c r="AZ599">
        <v>632.03</v>
      </c>
      <c r="BA599">
        <v>666.59900000000005</v>
      </c>
      <c r="BB599">
        <v>33449.599999999999</v>
      </c>
      <c r="BC599">
        <v>0.162492</v>
      </c>
      <c r="BD599">
        <v>2.3290700000000001E-2</v>
      </c>
      <c r="BE599">
        <v>9.8597099999999993E-2</v>
      </c>
      <c r="BF599">
        <v>0.57217399999999996</v>
      </c>
      <c r="BG599">
        <v>12.0327</v>
      </c>
      <c r="BH599">
        <v>54.2789</v>
      </c>
      <c r="BI599">
        <v>32.994300000000003</v>
      </c>
      <c r="BJ599">
        <v>32.645499999999998</v>
      </c>
      <c r="BK599">
        <v>0</v>
      </c>
      <c r="BL599">
        <v>29.508500000000002</v>
      </c>
      <c r="BM599">
        <v>60.705599999999997</v>
      </c>
      <c r="BN599">
        <v>8.2386800000000004</v>
      </c>
      <c r="BO599">
        <v>1.1707399999999999</v>
      </c>
      <c r="BP599">
        <v>0.37653199999999998</v>
      </c>
      <c r="BQ599">
        <v>34.874699999999997</v>
      </c>
      <c r="BR599">
        <v>128807</v>
      </c>
    </row>
    <row r="600" spans="1:70" x14ac:dyDescent="0.25">
      <c r="A600">
        <v>47</v>
      </c>
      <c r="B600" s="7">
        <v>45994.559687499997</v>
      </c>
      <c r="C600" t="s">
        <v>178</v>
      </c>
      <c r="D600" s="6" t="s">
        <v>368</v>
      </c>
      <c r="E600" s="6" t="str">
        <f>VLOOKUP(F600,Germplasm!$A$1:$B$21,2,FALSE)</f>
        <v>Brage</v>
      </c>
      <c r="F600" t="s">
        <v>81</v>
      </c>
      <c r="G600" s="6" t="s">
        <v>113</v>
      </c>
      <c r="H600">
        <v>50243.4</v>
      </c>
      <c r="I600">
        <v>494.61500000000001</v>
      </c>
      <c r="J600">
        <v>99637.8</v>
      </c>
      <c r="K600">
        <v>28.918299999999999</v>
      </c>
      <c r="L600">
        <v>82.017799999999994</v>
      </c>
      <c r="M600">
        <v>1160.02</v>
      </c>
      <c r="N600">
        <v>398.72</v>
      </c>
      <c r="O600">
        <v>32147500</v>
      </c>
      <c r="P600">
        <v>0.141453</v>
      </c>
      <c r="Q600">
        <v>0.87345499999999998</v>
      </c>
      <c r="R600">
        <v>16.4421</v>
      </c>
      <c r="S600">
        <v>33.342199999999998</v>
      </c>
      <c r="T600">
        <v>36.438899999999997</v>
      </c>
      <c r="U600">
        <v>12.5848</v>
      </c>
      <c r="V600">
        <v>0.31850200000000001</v>
      </c>
      <c r="W600">
        <v>72.775700000000001</v>
      </c>
      <c r="X600">
        <v>9.4086099999999995</v>
      </c>
      <c r="Y600">
        <v>23.218</v>
      </c>
      <c r="Z600">
        <v>11.320499999999999</v>
      </c>
      <c r="AA600">
        <v>26.419799999999999</v>
      </c>
      <c r="AB600">
        <v>20.823499999999999</v>
      </c>
      <c r="AC600">
        <v>8.8095400000000001</v>
      </c>
      <c r="AD600">
        <v>1.7437400000000001</v>
      </c>
      <c r="AE600">
        <v>10.1486</v>
      </c>
      <c r="AF600">
        <v>0</v>
      </c>
      <c r="AG600">
        <v>96.271500000000003</v>
      </c>
      <c r="AH600">
        <v>3.7276199999999999</v>
      </c>
      <c r="AI600">
        <v>8.8227800000000001E-4</v>
      </c>
      <c r="AJ600">
        <v>0</v>
      </c>
      <c r="AK600">
        <v>0</v>
      </c>
      <c r="AL600">
        <v>0.30198399999999997</v>
      </c>
      <c r="AM600">
        <v>4.0381900000000002</v>
      </c>
      <c r="AN600">
        <v>27.729099999999999</v>
      </c>
      <c r="AO600">
        <v>17.410900000000002</v>
      </c>
      <c r="AP600">
        <v>19.9483</v>
      </c>
      <c r="AQ600">
        <v>25.589600000000001</v>
      </c>
      <c r="AR600">
        <v>5.2839600000000004</v>
      </c>
      <c r="AS600">
        <v>0.22095300000000001</v>
      </c>
      <c r="AT600">
        <v>0.80904900000000002</v>
      </c>
      <c r="AU600">
        <v>7.8822700000000001</v>
      </c>
      <c r="AV600">
        <v>37.9176</v>
      </c>
      <c r="AW600">
        <v>39.321399999999997</v>
      </c>
      <c r="AX600">
        <v>11.901899999999999</v>
      </c>
      <c r="AY600">
        <v>2.1677599999999999</v>
      </c>
      <c r="AZ600">
        <v>639.83500000000004</v>
      </c>
      <c r="BA600">
        <v>680.399</v>
      </c>
      <c r="BB600">
        <v>28813.599999999999</v>
      </c>
      <c r="BC600">
        <v>0.20924599999999999</v>
      </c>
      <c r="BD600">
        <v>9.79328E-2</v>
      </c>
      <c r="BE600">
        <v>0.20380599999999999</v>
      </c>
      <c r="BF600">
        <v>0.59553699999999998</v>
      </c>
      <c r="BG600">
        <v>7.7931600000000003</v>
      </c>
      <c r="BH600">
        <v>47.5212</v>
      </c>
      <c r="BI600">
        <v>43.7883</v>
      </c>
      <c r="BJ600">
        <v>32.758099999999999</v>
      </c>
      <c r="BK600">
        <v>0</v>
      </c>
      <c r="BL600">
        <v>27.925000000000001</v>
      </c>
      <c r="BM600">
        <v>63.630699999999997</v>
      </c>
      <c r="BN600">
        <v>6.9497</v>
      </c>
      <c r="BO600">
        <v>1.0499099999999999</v>
      </c>
      <c r="BP600">
        <v>0.44466800000000001</v>
      </c>
      <c r="BQ600">
        <v>35.034300000000002</v>
      </c>
      <c r="BR600">
        <v>113343</v>
      </c>
    </row>
    <row r="601" spans="1:70" x14ac:dyDescent="0.25">
      <c r="A601">
        <v>47</v>
      </c>
      <c r="B601" s="7">
        <v>46002.586817129632</v>
      </c>
      <c r="C601" t="s">
        <v>178</v>
      </c>
      <c r="D601" s="6" t="s">
        <v>369</v>
      </c>
      <c r="E601" s="6" t="str">
        <f>VLOOKUP(F601,Germplasm!$A$1:$B$21,2,FALSE)</f>
        <v>Brage</v>
      </c>
      <c r="F601" t="s">
        <v>81</v>
      </c>
      <c r="G601" s="6" t="s">
        <v>113</v>
      </c>
      <c r="H601">
        <v>37272.1</v>
      </c>
      <c r="I601">
        <v>541.01499999999999</v>
      </c>
      <c r="J601">
        <v>86481.2</v>
      </c>
      <c r="K601">
        <v>23.4603</v>
      </c>
      <c r="L601">
        <v>72.582800000000006</v>
      </c>
      <c r="M601">
        <v>1096.98</v>
      </c>
      <c r="N601">
        <v>402.47300000000001</v>
      </c>
      <c r="O601">
        <v>23772300</v>
      </c>
      <c r="P601">
        <v>6.4370200000000002E-2</v>
      </c>
      <c r="Q601">
        <v>1.05369</v>
      </c>
      <c r="R601">
        <v>29.618400000000001</v>
      </c>
      <c r="S601">
        <v>47.919600000000003</v>
      </c>
      <c r="T601">
        <v>16.152699999999999</v>
      </c>
      <c r="U601">
        <v>5.1311799999999996</v>
      </c>
      <c r="V601">
        <v>0.124378</v>
      </c>
      <c r="W601">
        <v>46.283499999999997</v>
      </c>
      <c r="X601">
        <v>16.995200000000001</v>
      </c>
      <c r="Y601">
        <v>43.223700000000001</v>
      </c>
      <c r="Z601">
        <v>16.6373</v>
      </c>
      <c r="AA601">
        <v>12.7746</v>
      </c>
      <c r="AB601">
        <v>4.5480099999999997</v>
      </c>
      <c r="AC601">
        <v>5.8211300000000001</v>
      </c>
      <c r="AD601">
        <v>1.83708</v>
      </c>
      <c r="AE601">
        <v>12.381600000000001</v>
      </c>
      <c r="AF601">
        <v>0</v>
      </c>
      <c r="AG601">
        <v>95.034300000000002</v>
      </c>
      <c r="AH601">
        <v>4.9551800000000004</v>
      </c>
      <c r="AI601">
        <v>1.0560399999999999E-2</v>
      </c>
      <c r="AJ601">
        <v>0</v>
      </c>
      <c r="AK601">
        <v>0</v>
      </c>
      <c r="AL601">
        <v>0.159964</v>
      </c>
      <c r="AM601">
        <v>8.9399700000000006</v>
      </c>
      <c r="AN601">
        <v>50.384900000000002</v>
      </c>
      <c r="AO601">
        <v>23.021699999999999</v>
      </c>
      <c r="AP601">
        <v>11.252700000000001</v>
      </c>
      <c r="AQ601">
        <v>5.0220599999999997</v>
      </c>
      <c r="AR601">
        <v>1.3787199999999999</v>
      </c>
      <c r="AS601">
        <v>0.29185299999999997</v>
      </c>
      <c r="AT601">
        <v>0.36726700000000001</v>
      </c>
      <c r="AU601">
        <v>3.39106</v>
      </c>
      <c r="AV601">
        <v>20.906099999999999</v>
      </c>
      <c r="AW601">
        <v>54.418900000000001</v>
      </c>
      <c r="AX601">
        <v>18.2789</v>
      </c>
      <c r="AY601">
        <v>2.63775</v>
      </c>
      <c r="AZ601">
        <v>637.80399999999997</v>
      </c>
      <c r="BA601">
        <v>675.59900000000005</v>
      </c>
      <c r="BB601">
        <v>20288.7</v>
      </c>
      <c r="BC601">
        <v>0.32829599999999998</v>
      </c>
      <c r="BD601">
        <v>3.4028000000000003E-2</v>
      </c>
      <c r="BE601">
        <v>0.126725</v>
      </c>
      <c r="BF601">
        <v>0.44001699999999999</v>
      </c>
      <c r="BG601">
        <v>3.1575600000000001</v>
      </c>
      <c r="BH601">
        <v>18.9876</v>
      </c>
      <c r="BI601">
        <v>77.254099999999994</v>
      </c>
      <c r="BJ601">
        <v>32.926000000000002</v>
      </c>
      <c r="BK601">
        <v>0</v>
      </c>
      <c r="BL601">
        <v>28.2514</v>
      </c>
      <c r="BM601">
        <v>62.205500000000001</v>
      </c>
      <c r="BN601">
        <v>8.2171699999999994</v>
      </c>
      <c r="BO601">
        <v>0.92814200000000002</v>
      </c>
      <c r="BP601">
        <v>0.39777499999999999</v>
      </c>
      <c r="BQ601">
        <v>33.008699999999997</v>
      </c>
      <c r="BR601">
        <v>85224</v>
      </c>
    </row>
    <row r="602" spans="1:70" x14ac:dyDescent="0.25">
      <c r="A602">
        <v>47</v>
      </c>
      <c r="B602" s="7">
        <v>46013.56453703704</v>
      </c>
      <c r="C602" t="s">
        <v>178</v>
      </c>
      <c r="D602" s="6" t="s">
        <v>370</v>
      </c>
      <c r="E602" s="6" t="str">
        <f>VLOOKUP(F602,Germplasm!$A$1:$B$21,2,FALSE)</f>
        <v>Brage</v>
      </c>
      <c r="F602" t="s">
        <v>81</v>
      </c>
      <c r="G602" s="6" t="s">
        <v>113</v>
      </c>
      <c r="H602">
        <v>34178.800000000003</v>
      </c>
      <c r="I602">
        <v>514.62800000000004</v>
      </c>
      <c r="J602">
        <v>80127</v>
      </c>
      <c r="K602">
        <v>23.009899999999998</v>
      </c>
      <c r="L602">
        <v>83.278899999999993</v>
      </c>
      <c r="M602">
        <v>1112.18</v>
      </c>
      <c r="N602">
        <v>378.71800000000002</v>
      </c>
      <c r="O602">
        <v>20375100</v>
      </c>
      <c r="P602">
        <v>2.1477599999999999E-2</v>
      </c>
      <c r="Q602">
        <v>1.1705099999999999</v>
      </c>
      <c r="R602">
        <v>29.239699999999999</v>
      </c>
      <c r="S602">
        <v>66.471400000000003</v>
      </c>
      <c r="T602">
        <v>2.8286199999999999</v>
      </c>
      <c r="U602">
        <v>0.26677899999999999</v>
      </c>
      <c r="V602">
        <v>2.2976199999999999E-2</v>
      </c>
      <c r="W602">
        <v>37.790100000000002</v>
      </c>
      <c r="X602">
        <v>15.353199999999999</v>
      </c>
      <c r="Y602">
        <v>62.002499999999998</v>
      </c>
      <c r="Z602">
        <v>13.119400000000001</v>
      </c>
      <c r="AA602">
        <v>3.3621799999999999</v>
      </c>
      <c r="AB602">
        <v>0.970105</v>
      </c>
      <c r="AC602">
        <v>5.1926199999999998</v>
      </c>
      <c r="AD602">
        <v>1.8537999999999999</v>
      </c>
      <c r="AE602">
        <v>14.864800000000001</v>
      </c>
      <c r="AF602">
        <v>0</v>
      </c>
      <c r="AG602">
        <v>88.247699999999995</v>
      </c>
      <c r="AH602">
        <v>11.6668</v>
      </c>
      <c r="AI602">
        <v>8.5522500000000001E-2</v>
      </c>
      <c r="AJ602">
        <v>0</v>
      </c>
      <c r="AK602">
        <v>0</v>
      </c>
      <c r="AL602">
        <v>9.8666000000000004E-2</v>
      </c>
      <c r="AM602">
        <v>12.7186</v>
      </c>
      <c r="AN602">
        <v>63.6785</v>
      </c>
      <c r="AO602">
        <v>18.526499999999999</v>
      </c>
      <c r="AP602">
        <v>3.9123299999999999</v>
      </c>
      <c r="AQ602">
        <v>0.79140200000000005</v>
      </c>
      <c r="AR602">
        <v>0.37272499999999997</v>
      </c>
      <c r="AS602">
        <v>0.26858300000000002</v>
      </c>
      <c r="AT602">
        <v>0.42633599999999999</v>
      </c>
      <c r="AU602">
        <v>2.6371600000000002</v>
      </c>
      <c r="AV602">
        <v>23.985900000000001</v>
      </c>
      <c r="AW602">
        <v>62.2029</v>
      </c>
      <c r="AX602">
        <v>9.0411300000000008</v>
      </c>
      <c r="AY602">
        <v>1.70662</v>
      </c>
      <c r="AZ602">
        <v>596.13400000000001</v>
      </c>
      <c r="BA602">
        <v>630.59900000000005</v>
      </c>
      <c r="BB602">
        <v>18437.2</v>
      </c>
      <c r="BC602">
        <v>0.337391</v>
      </c>
      <c r="BD602">
        <v>9.5734100000000003E-2</v>
      </c>
      <c r="BE602">
        <v>0.195298</v>
      </c>
      <c r="BF602">
        <v>0.46845900000000001</v>
      </c>
      <c r="BG602">
        <v>2.3039999999999998</v>
      </c>
      <c r="BH602">
        <v>11.696199999999999</v>
      </c>
      <c r="BI602">
        <v>85.240399999999994</v>
      </c>
      <c r="BJ602">
        <v>28.283100000000001</v>
      </c>
      <c r="BK602">
        <v>0</v>
      </c>
      <c r="BL602">
        <v>39.011000000000003</v>
      </c>
      <c r="BM602">
        <v>57.414900000000003</v>
      </c>
      <c r="BN602">
        <v>2.5401400000000001</v>
      </c>
      <c r="BO602">
        <v>0.61142200000000002</v>
      </c>
      <c r="BP602">
        <v>0.42250599999999999</v>
      </c>
      <c r="BQ602">
        <v>32.670299999999997</v>
      </c>
      <c r="BR602">
        <v>78342</v>
      </c>
    </row>
    <row r="603" spans="1:70" x14ac:dyDescent="0.25">
      <c r="A603">
        <v>47</v>
      </c>
      <c r="B603" s="7">
        <v>46024.562337962961</v>
      </c>
      <c r="C603" t="s">
        <v>178</v>
      </c>
      <c r="D603" s="6" t="s">
        <v>371</v>
      </c>
      <c r="E603" s="6" t="str">
        <f>VLOOKUP(F603,Germplasm!$A$1:$B$21,2,FALSE)</f>
        <v>Brage</v>
      </c>
      <c r="F603" t="s">
        <v>81</v>
      </c>
      <c r="G603" s="6" t="s">
        <v>113</v>
      </c>
      <c r="H603">
        <v>40194.6</v>
      </c>
      <c r="I603">
        <v>421.38900000000001</v>
      </c>
      <c r="J603">
        <v>89205.1</v>
      </c>
      <c r="K603">
        <v>23.8977</v>
      </c>
      <c r="L603">
        <v>68.869600000000005</v>
      </c>
      <c r="M603">
        <v>1264.21</v>
      </c>
      <c r="N603">
        <v>464.74700000000001</v>
      </c>
      <c r="O603">
        <v>20711300</v>
      </c>
      <c r="P603">
        <v>6.6477100000000003E-3</v>
      </c>
      <c r="Q603">
        <v>0.98994700000000002</v>
      </c>
      <c r="R603">
        <v>38.132399999999997</v>
      </c>
      <c r="S603">
        <v>59.574599999999997</v>
      </c>
      <c r="T603">
        <v>1.1735800000000001</v>
      </c>
      <c r="U603">
        <v>0.114179</v>
      </c>
      <c r="V603">
        <v>1.5302400000000001E-2</v>
      </c>
      <c r="W603">
        <v>33.915500000000002</v>
      </c>
      <c r="X603">
        <v>20.158000000000001</v>
      </c>
      <c r="Y603">
        <v>62.040599999999998</v>
      </c>
      <c r="Z603">
        <v>8.5316799999999997</v>
      </c>
      <c r="AA603">
        <v>2.1199699999999999</v>
      </c>
      <c r="AB603">
        <v>0.76276600000000006</v>
      </c>
      <c r="AC603">
        <v>6.3869899999999999</v>
      </c>
      <c r="AD603">
        <v>1.88548</v>
      </c>
      <c r="AE603">
        <v>19.037500000000001</v>
      </c>
      <c r="AF603">
        <v>0</v>
      </c>
      <c r="AG603">
        <v>75.277199999999993</v>
      </c>
      <c r="AH603">
        <v>24.515599999999999</v>
      </c>
      <c r="AI603">
        <v>0.20717099999999999</v>
      </c>
      <c r="AJ603">
        <v>0</v>
      </c>
      <c r="AK603">
        <v>0</v>
      </c>
      <c r="AL603">
        <v>6.3151799999999994E-2</v>
      </c>
      <c r="AM603">
        <v>22.0366</v>
      </c>
      <c r="AN603">
        <v>63.180100000000003</v>
      </c>
      <c r="AO603">
        <v>11.151899999999999</v>
      </c>
      <c r="AP603">
        <v>2.7320700000000002</v>
      </c>
      <c r="AQ603">
        <v>0.68036799999999997</v>
      </c>
      <c r="AR603">
        <v>0.218942</v>
      </c>
      <c r="AS603">
        <v>0.24868299999999999</v>
      </c>
      <c r="AT603">
        <v>0.48849999999999999</v>
      </c>
      <c r="AU603">
        <v>3.0934400000000002</v>
      </c>
      <c r="AV603">
        <v>31.134499999999999</v>
      </c>
      <c r="AW603">
        <v>55.860799999999998</v>
      </c>
      <c r="AX603">
        <v>7.7253600000000002</v>
      </c>
      <c r="AY603">
        <v>1.69739</v>
      </c>
      <c r="AZ603">
        <v>515.27599999999995</v>
      </c>
      <c r="BA603">
        <v>539.399</v>
      </c>
      <c r="BB603">
        <v>21318</v>
      </c>
      <c r="BC603">
        <v>0.338617</v>
      </c>
      <c r="BD603">
        <v>8.0043299999999998E-2</v>
      </c>
      <c r="BE603">
        <v>0.30134</v>
      </c>
      <c r="BF603">
        <v>0.69449300000000003</v>
      </c>
      <c r="BG603">
        <v>2.5060600000000002</v>
      </c>
      <c r="BH603">
        <v>11.7911</v>
      </c>
      <c r="BI603">
        <v>84.626999999999995</v>
      </c>
      <c r="BJ603">
        <v>26.1601</v>
      </c>
      <c r="BK603">
        <v>0</v>
      </c>
      <c r="BL603">
        <v>49.717500000000001</v>
      </c>
      <c r="BM603">
        <v>46.618200000000002</v>
      </c>
      <c r="BN603">
        <v>2.7897500000000002</v>
      </c>
      <c r="BO603">
        <v>0.56147999999999998</v>
      </c>
      <c r="BP603">
        <v>0.31311099999999997</v>
      </c>
      <c r="BQ603">
        <v>32.059800000000003</v>
      </c>
      <c r="BR603">
        <v>84954</v>
      </c>
    </row>
    <row r="604" spans="1:70" x14ac:dyDescent="0.25">
      <c r="A604">
        <v>47</v>
      </c>
      <c r="B604" s="7">
        <v>45952.576064814813</v>
      </c>
      <c r="C604" t="s">
        <v>180</v>
      </c>
      <c r="D604" s="6" t="s">
        <v>363</v>
      </c>
      <c r="E604" s="6" t="str">
        <f>VLOOKUP(F604,Germplasm!$A$1:$B$21,2,FALSE)</f>
        <v>Kinnan</v>
      </c>
      <c r="F604" t="s">
        <v>71</v>
      </c>
      <c r="G604" s="6" t="s">
        <v>113</v>
      </c>
      <c r="H604">
        <v>31255.5</v>
      </c>
      <c r="I604">
        <v>270.14699999999999</v>
      </c>
      <c r="J604">
        <v>127257</v>
      </c>
      <c r="K604">
        <v>13.5524</v>
      </c>
      <c r="L604">
        <v>83.688500000000005</v>
      </c>
      <c r="M604">
        <v>1357.67</v>
      </c>
      <c r="N604">
        <v>494.69299999999998</v>
      </c>
      <c r="O604">
        <v>10830500</v>
      </c>
      <c r="P604">
        <v>0.23911299999999999</v>
      </c>
      <c r="Q604">
        <v>0.74992300000000001</v>
      </c>
      <c r="R604">
        <v>4.3238500000000002</v>
      </c>
      <c r="S604">
        <v>18.6814</v>
      </c>
      <c r="T604">
        <v>42.119300000000003</v>
      </c>
      <c r="U604">
        <v>33.546399999999998</v>
      </c>
      <c r="V604">
        <v>0.57911599999999996</v>
      </c>
      <c r="W604">
        <v>118.551</v>
      </c>
      <c r="X604">
        <v>0.99067899999999998</v>
      </c>
      <c r="Y604">
        <v>1.8918900000000001</v>
      </c>
      <c r="Z604">
        <v>3.5023499999999999</v>
      </c>
      <c r="AA604">
        <v>15.628</v>
      </c>
      <c r="AB604">
        <v>38.488399999999999</v>
      </c>
      <c r="AC604">
        <v>39.498600000000003</v>
      </c>
      <c r="AD604">
        <v>1.8123</v>
      </c>
      <c r="AE604">
        <v>6.2201300000000002</v>
      </c>
      <c r="AF604">
        <v>0</v>
      </c>
      <c r="AG604">
        <v>99.964200000000005</v>
      </c>
      <c r="AH604">
        <v>3.5788100000000003E-2</v>
      </c>
      <c r="AI604">
        <v>0</v>
      </c>
      <c r="AJ604">
        <v>0</v>
      </c>
      <c r="AK604">
        <v>0</v>
      </c>
      <c r="AL604">
        <v>0.53313299999999997</v>
      </c>
      <c r="AM604">
        <v>0.624664</v>
      </c>
      <c r="AN604">
        <v>2.5539700000000001</v>
      </c>
      <c r="AO604">
        <v>5.3226599999999999</v>
      </c>
      <c r="AP604">
        <v>14.1623</v>
      </c>
      <c r="AQ604">
        <v>39.9818</v>
      </c>
      <c r="AR604">
        <v>37.354599999999998</v>
      </c>
      <c r="AS604">
        <v>2.8809000000000001E-2</v>
      </c>
      <c r="AT604">
        <v>8.3630200000000006</v>
      </c>
      <c r="AU604">
        <v>36.762500000000003</v>
      </c>
      <c r="AV604">
        <v>40.341299999999997</v>
      </c>
      <c r="AW604">
        <v>10.912100000000001</v>
      </c>
      <c r="AX604">
        <v>2.1554199999999999</v>
      </c>
      <c r="AY604">
        <v>1.4656800000000001</v>
      </c>
      <c r="AZ604">
        <v>346.51499999999999</v>
      </c>
      <c r="BA604">
        <v>363.74900000000002</v>
      </c>
      <c r="BB604">
        <v>17246.3</v>
      </c>
      <c r="BC604">
        <v>5.8452799999999996E-3</v>
      </c>
      <c r="BD604">
        <v>4.5548499999999999E-2</v>
      </c>
      <c r="BE604">
        <v>0.43921700000000002</v>
      </c>
      <c r="BF604">
        <v>3.5657899999999998</v>
      </c>
      <c r="BG604">
        <v>41.0749</v>
      </c>
      <c r="BH604">
        <v>51.006100000000004</v>
      </c>
      <c r="BI604">
        <v>3.8683700000000001</v>
      </c>
      <c r="BJ604">
        <v>32.639400000000002</v>
      </c>
      <c r="BK604">
        <v>0</v>
      </c>
      <c r="BL604">
        <v>31.5748</v>
      </c>
      <c r="BM604">
        <v>57.622</v>
      </c>
      <c r="BN604">
        <v>9.1991599999999991</v>
      </c>
      <c r="BO604">
        <v>1.07202</v>
      </c>
      <c r="BP604">
        <v>0.531941</v>
      </c>
      <c r="BQ604">
        <v>33.513800000000003</v>
      </c>
      <c r="BR604">
        <v>61473</v>
      </c>
    </row>
    <row r="605" spans="1:70" x14ac:dyDescent="0.25">
      <c r="A605">
        <v>47</v>
      </c>
      <c r="B605" s="7">
        <v>45959.542500000003</v>
      </c>
      <c r="C605" t="s">
        <v>180</v>
      </c>
      <c r="D605" s="6" t="s">
        <v>364</v>
      </c>
      <c r="E605" s="6" t="str">
        <f>VLOOKUP(F605,Germplasm!$A$1:$B$21,2,FALSE)</f>
        <v>Kinnan</v>
      </c>
      <c r="F605" t="s">
        <v>71</v>
      </c>
      <c r="G605" s="6" t="s">
        <v>113</v>
      </c>
      <c r="H605">
        <v>51353.5</v>
      </c>
      <c r="I605">
        <v>302.245</v>
      </c>
      <c r="J605">
        <v>226734</v>
      </c>
      <c r="K605">
        <v>13.636100000000001</v>
      </c>
      <c r="L605">
        <v>78.0809</v>
      </c>
      <c r="M605">
        <v>1827.93</v>
      </c>
      <c r="N605">
        <v>640.93100000000004</v>
      </c>
      <c r="O605">
        <v>19282800</v>
      </c>
      <c r="P605">
        <v>0.23069200000000001</v>
      </c>
      <c r="Q605">
        <v>0.608626</v>
      </c>
      <c r="R605">
        <v>3.7240199999999999</v>
      </c>
      <c r="S605">
        <v>19.718800000000002</v>
      </c>
      <c r="T605">
        <v>46.458500000000001</v>
      </c>
      <c r="U605">
        <v>28.8111</v>
      </c>
      <c r="V605">
        <v>0.67903100000000005</v>
      </c>
      <c r="W605">
        <v>119.496</v>
      </c>
      <c r="X605">
        <v>1.0051099999999999</v>
      </c>
      <c r="Y605">
        <v>1.7360199999999999</v>
      </c>
      <c r="Z605">
        <v>3.2673100000000002</v>
      </c>
      <c r="AA605">
        <v>14.9377</v>
      </c>
      <c r="AB605">
        <v>37.744999999999997</v>
      </c>
      <c r="AC605">
        <v>41.308799999999998</v>
      </c>
      <c r="AD605">
        <v>1.6609799999999999</v>
      </c>
      <c r="AE605">
        <v>6.8091799999999996</v>
      </c>
      <c r="AF605">
        <v>0</v>
      </c>
      <c r="AG605">
        <v>99.623000000000005</v>
      </c>
      <c r="AH605">
        <v>0.36035899999999998</v>
      </c>
      <c r="AI605">
        <v>1.4822E-2</v>
      </c>
      <c r="AJ605">
        <v>1.8527400000000001E-3</v>
      </c>
      <c r="AK605">
        <v>0</v>
      </c>
      <c r="AL605">
        <v>0.52606200000000003</v>
      </c>
      <c r="AM605">
        <v>0.908771</v>
      </c>
      <c r="AN605">
        <v>3.2339600000000002</v>
      </c>
      <c r="AO605">
        <v>5.8287300000000002</v>
      </c>
      <c r="AP605">
        <v>14.3949</v>
      </c>
      <c r="AQ605">
        <v>38.654699999999998</v>
      </c>
      <c r="AR605">
        <v>36.978900000000003</v>
      </c>
      <c r="AS605">
        <v>2.21271E-2</v>
      </c>
      <c r="AT605">
        <v>7.0830399999999996</v>
      </c>
      <c r="AU605">
        <v>40.537999999999997</v>
      </c>
      <c r="AV605">
        <v>40.114699999999999</v>
      </c>
      <c r="AW605">
        <v>8.9802499999999998</v>
      </c>
      <c r="AX605">
        <v>1.8397699999999999</v>
      </c>
      <c r="AY605">
        <v>1.44421</v>
      </c>
      <c r="AZ605">
        <v>375.49</v>
      </c>
      <c r="BA605">
        <v>397.19900000000001</v>
      </c>
      <c r="BB605">
        <v>30917.599999999999</v>
      </c>
      <c r="BC605">
        <v>4.6420599999999999E-3</v>
      </c>
      <c r="BD605">
        <v>9.0784500000000004E-2</v>
      </c>
      <c r="BE605">
        <v>0.483566</v>
      </c>
      <c r="BF605">
        <v>2.6494200000000001</v>
      </c>
      <c r="BG605">
        <v>44.394500000000001</v>
      </c>
      <c r="BH605">
        <v>48.374200000000002</v>
      </c>
      <c r="BI605">
        <v>4.0074800000000002</v>
      </c>
      <c r="BJ605">
        <v>31.124600000000001</v>
      </c>
      <c r="BK605">
        <v>0</v>
      </c>
      <c r="BL605">
        <v>35.638500000000001</v>
      </c>
      <c r="BM605">
        <v>55.667499999999997</v>
      </c>
      <c r="BN605">
        <v>6.9450099999999999</v>
      </c>
      <c r="BO605">
        <v>0.90506500000000001</v>
      </c>
      <c r="BP605">
        <v>0.84392500000000004</v>
      </c>
      <c r="BQ605">
        <v>37.064700000000002</v>
      </c>
      <c r="BR605">
        <v>107948</v>
      </c>
    </row>
    <row r="606" spans="1:70" x14ac:dyDescent="0.25">
      <c r="A606">
        <v>47</v>
      </c>
      <c r="B606" s="7">
        <v>45966.537199074075</v>
      </c>
      <c r="C606" t="s">
        <v>180</v>
      </c>
      <c r="D606" s="6" t="s">
        <v>365</v>
      </c>
      <c r="E606" s="6" t="str">
        <f>VLOOKUP(F606,Germplasm!$A$1:$B$21,2,FALSE)</f>
        <v>Kinnan</v>
      </c>
      <c r="F606" t="s">
        <v>71</v>
      </c>
      <c r="G606" s="6" t="s">
        <v>113</v>
      </c>
      <c r="H606">
        <v>84079.3</v>
      </c>
      <c r="I606">
        <v>477.17099999999999</v>
      </c>
      <c r="J606">
        <v>256850</v>
      </c>
      <c r="K606">
        <v>20.651900000000001</v>
      </c>
      <c r="L606">
        <v>89.5505</v>
      </c>
      <c r="M606">
        <v>1860.35</v>
      </c>
      <c r="N606">
        <v>631.32600000000002</v>
      </c>
      <c r="O606">
        <v>49644800</v>
      </c>
      <c r="P606">
        <v>0.25641999999999998</v>
      </c>
      <c r="Q606">
        <v>0.60138000000000003</v>
      </c>
      <c r="R606">
        <v>2.9946199999999998</v>
      </c>
      <c r="S606">
        <v>15.517300000000001</v>
      </c>
      <c r="T606">
        <v>42.938299999999998</v>
      </c>
      <c r="U606">
        <v>37.107199999999999</v>
      </c>
      <c r="V606">
        <v>0.84118400000000004</v>
      </c>
      <c r="W606">
        <v>116.804</v>
      </c>
      <c r="X606">
        <v>0.79738900000000001</v>
      </c>
      <c r="Y606">
        <v>1.7491300000000001</v>
      </c>
      <c r="Z606">
        <v>3.27074</v>
      </c>
      <c r="AA606">
        <v>15.141299999999999</v>
      </c>
      <c r="AB606">
        <v>43.775799999999997</v>
      </c>
      <c r="AC606">
        <v>35.265700000000002</v>
      </c>
      <c r="AD606">
        <v>1.58508</v>
      </c>
      <c r="AE606">
        <v>6.2815599999999998</v>
      </c>
      <c r="AF606">
        <v>0</v>
      </c>
      <c r="AG606">
        <v>99.719099999999997</v>
      </c>
      <c r="AH606">
        <v>0.27879300000000001</v>
      </c>
      <c r="AI606">
        <v>2.13634E-3</v>
      </c>
      <c r="AJ606">
        <v>0</v>
      </c>
      <c r="AK606">
        <v>0</v>
      </c>
      <c r="AL606">
        <v>0.54567600000000005</v>
      </c>
      <c r="AM606">
        <v>0.67134499999999997</v>
      </c>
      <c r="AN606">
        <v>2.9203800000000002</v>
      </c>
      <c r="AO606">
        <v>5.1881000000000004</v>
      </c>
      <c r="AP606">
        <v>12.0655</v>
      </c>
      <c r="AQ606">
        <v>35.847299999999997</v>
      </c>
      <c r="AR606">
        <v>43.307400000000001</v>
      </c>
      <c r="AS606">
        <v>4.46948E-2</v>
      </c>
      <c r="AT606">
        <v>5.5448700000000004</v>
      </c>
      <c r="AU606">
        <v>36.609400000000001</v>
      </c>
      <c r="AV606">
        <v>42.244</v>
      </c>
      <c r="AW606">
        <v>11.3012</v>
      </c>
      <c r="AX606">
        <v>2.8082199999999999</v>
      </c>
      <c r="AY606">
        <v>1.4922299999999999</v>
      </c>
      <c r="AZ606">
        <v>590.452</v>
      </c>
      <c r="BA606">
        <v>658.79899999999998</v>
      </c>
      <c r="BB606">
        <v>53044.3</v>
      </c>
      <c r="BC606">
        <v>1.6110200000000002E-2</v>
      </c>
      <c r="BD606">
        <v>9.5067200000000004E-2</v>
      </c>
      <c r="BE606">
        <v>0.43154100000000001</v>
      </c>
      <c r="BF606">
        <v>2.0749200000000001</v>
      </c>
      <c r="BG606">
        <v>39.552799999999998</v>
      </c>
      <c r="BH606">
        <v>52.9161</v>
      </c>
      <c r="BI606">
        <v>4.9296100000000003</v>
      </c>
      <c r="BJ606">
        <v>33.666699999999999</v>
      </c>
      <c r="BK606">
        <v>0</v>
      </c>
      <c r="BL606">
        <v>28.409600000000001</v>
      </c>
      <c r="BM606">
        <v>59.859699999999997</v>
      </c>
      <c r="BN606">
        <v>9.9227699999999999</v>
      </c>
      <c r="BO606">
        <v>1.00996</v>
      </c>
      <c r="BP606">
        <v>0.79792399999999997</v>
      </c>
      <c r="BQ606">
        <v>39.179099999999998</v>
      </c>
      <c r="BR606">
        <v>187236</v>
      </c>
    </row>
    <row r="607" spans="1:70" x14ac:dyDescent="0.25">
      <c r="A607">
        <v>47</v>
      </c>
      <c r="B607" s="7">
        <v>45973.568958333337</v>
      </c>
      <c r="C607" t="s">
        <v>180</v>
      </c>
      <c r="D607" s="6" t="s">
        <v>366</v>
      </c>
      <c r="E607" s="6" t="str">
        <f>VLOOKUP(F607,Germplasm!$A$1:$B$21,2,FALSE)</f>
        <v>Kinnan</v>
      </c>
      <c r="F607" t="s">
        <v>71</v>
      </c>
      <c r="G607" s="6" t="s">
        <v>113</v>
      </c>
      <c r="H607">
        <v>95742.2</v>
      </c>
      <c r="I607">
        <v>479.59399999999999</v>
      </c>
      <c r="J607">
        <v>279224</v>
      </c>
      <c r="K607">
        <v>19.4237</v>
      </c>
      <c r="L607">
        <v>77.220100000000002</v>
      </c>
      <c r="M607">
        <v>1965.62</v>
      </c>
      <c r="N607">
        <v>684.20500000000004</v>
      </c>
      <c r="O607">
        <v>59189500</v>
      </c>
      <c r="P607">
        <v>0.22936899999999999</v>
      </c>
      <c r="Q607">
        <v>0.566658</v>
      </c>
      <c r="R607">
        <v>5.2360199999999999</v>
      </c>
      <c r="S607">
        <v>21.0381</v>
      </c>
      <c r="T607">
        <v>41.492199999999997</v>
      </c>
      <c r="U607">
        <v>31.014199999999999</v>
      </c>
      <c r="V607">
        <v>0.65276999999999996</v>
      </c>
      <c r="W607">
        <v>108.85599999999999</v>
      </c>
      <c r="X607">
        <v>2.1627000000000001</v>
      </c>
      <c r="Y607">
        <v>5.7987200000000003</v>
      </c>
      <c r="Z607">
        <v>5.5888799999999996</v>
      </c>
      <c r="AA607">
        <v>17.7911</v>
      </c>
      <c r="AB607">
        <v>39.477499999999999</v>
      </c>
      <c r="AC607">
        <v>29.181100000000001</v>
      </c>
      <c r="AD607">
        <v>1.76529</v>
      </c>
      <c r="AE607">
        <v>7.2473599999999996</v>
      </c>
      <c r="AF607">
        <v>0</v>
      </c>
      <c r="AG607">
        <v>99.6511</v>
      </c>
      <c r="AH607">
        <v>0.34593299999999999</v>
      </c>
      <c r="AI607">
        <v>2.9693900000000001E-3</v>
      </c>
      <c r="AJ607">
        <v>0</v>
      </c>
      <c r="AK607">
        <v>0</v>
      </c>
      <c r="AL607">
        <v>0.48627500000000001</v>
      </c>
      <c r="AM607">
        <v>1.36988</v>
      </c>
      <c r="AN607">
        <v>6.5593700000000004</v>
      </c>
      <c r="AO607">
        <v>9.2461699999999993</v>
      </c>
      <c r="AP607">
        <v>15.9619</v>
      </c>
      <c r="AQ607">
        <v>35.353999999999999</v>
      </c>
      <c r="AR607">
        <v>31.508600000000001</v>
      </c>
      <c r="AS607">
        <v>8.51523E-2</v>
      </c>
      <c r="AT607">
        <v>4.0180699999999998</v>
      </c>
      <c r="AU607">
        <v>30.504999999999999</v>
      </c>
      <c r="AV607">
        <v>42.603299999999997</v>
      </c>
      <c r="AW607">
        <v>15.952999999999999</v>
      </c>
      <c r="AX607">
        <v>5.1993900000000002</v>
      </c>
      <c r="AY607">
        <v>1.7212499999999999</v>
      </c>
      <c r="AZ607">
        <v>618.21799999999996</v>
      </c>
      <c r="BA607">
        <v>703.19899999999996</v>
      </c>
      <c r="BB607">
        <v>54235.8</v>
      </c>
      <c r="BC607">
        <v>5.3555699999999998E-2</v>
      </c>
      <c r="BD607">
        <v>5.7408099999999997E-2</v>
      </c>
      <c r="BE607">
        <v>0.442438</v>
      </c>
      <c r="BF607">
        <v>1.97316</v>
      </c>
      <c r="BG607">
        <v>32.045099999999998</v>
      </c>
      <c r="BH607">
        <v>53.4405</v>
      </c>
      <c r="BI607">
        <v>12.041399999999999</v>
      </c>
      <c r="BJ607">
        <v>32.924199999999999</v>
      </c>
      <c r="BK607">
        <v>0</v>
      </c>
      <c r="BL607">
        <v>30.626200000000001</v>
      </c>
      <c r="BM607">
        <v>58.302399999999999</v>
      </c>
      <c r="BN607">
        <v>9.4862000000000002</v>
      </c>
      <c r="BO607">
        <v>0.90318799999999999</v>
      </c>
      <c r="BP607">
        <v>0.68196900000000005</v>
      </c>
      <c r="BQ607">
        <v>34.566200000000002</v>
      </c>
      <c r="BR607">
        <v>202062</v>
      </c>
    </row>
    <row r="608" spans="1:70" x14ac:dyDescent="0.25">
      <c r="A608">
        <v>47</v>
      </c>
      <c r="B608" s="7">
        <v>45988.576979166668</v>
      </c>
      <c r="C608" t="s">
        <v>180</v>
      </c>
      <c r="D608" s="6" t="s">
        <v>367</v>
      </c>
      <c r="E608" s="6" t="str">
        <f>VLOOKUP(F608,Germplasm!$A$1:$B$21,2,FALSE)</f>
        <v>Kinnan</v>
      </c>
      <c r="F608" t="s">
        <v>71</v>
      </c>
      <c r="G608" s="6" t="s">
        <v>113</v>
      </c>
      <c r="H608">
        <v>68866.7</v>
      </c>
      <c r="I608">
        <v>451.77</v>
      </c>
      <c r="J608">
        <v>175337</v>
      </c>
      <c r="K608">
        <v>23.7394</v>
      </c>
      <c r="L608">
        <v>82.924899999999994</v>
      </c>
      <c r="M608">
        <v>1548.45</v>
      </c>
      <c r="N608">
        <v>544.24</v>
      </c>
      <c r="O608">
        <v>43683200</v>
      </c>
      <c r="P608">
        <v>0.20144999999999999</v>
      </c>
      <c r="Q608">
        <v>1.22052</v>
      </c>
      <c r="R608">
        <v>8.9101300000000005</v>
      </c>
      <c r="S608">
        <v>21.497699999999998</v>
      </c>
      <c r="T608">
        <v>41.032600000000002</v>
      </c>
      <c r="U608">
        <v>26.8812</v>
      </c>
      <c r="V608">
        <v>0.45777800000000002</v>
      </c>
      <c r="W608">
        <v>99.838099999999997</v>
      </c>
      <c r="X608">
        <v>5.2187999999999999</v>
      </c>
      <c r="Y608">
        <v>9.4281100000000002</v>
      </c>
      <c r="Z608">
        <v>6.0351299999999997</v>
      </c>
      <c r="AA608">
        <v>19.284199999999998</v>
      </c>
      <c r="AB608">
        <v>37.818899999999999</v>
      </c>
      <c r="AC608">
        <v>22.2148</v>
      </c>
      <c r="AD608">
        <v>1.65449</v>
      </c>
      <c r="AE608">
        <v>7.5236900000000002</v>
      </c>
      <c r="AF608">
        <v>0</v>
      </c>
      <c r="AG608">
        <v>99.235299999999995</v>
      </c>
      <c r="AH608">
        <v>0.75612699999999999</v>
      </c>
      <c r="AI608">
        <v>5.9537599999999998E-3</v>
      </c>
      <c r="AJ608">
        <v>2.6461200000000001E-3</v>
      </c>
      <c r="AK608">
        <v>0</v>
      </c>
      <c r="AL608">
        <v>0.44245200000000001</v>
      </c>
      <c r="AM608">
        <v>2.2154600000000002</v>
      </c>
      <c r="AN608">
        <v>10.3714</v>
      </c>
      <c r="AO608">
        <v>11.578099999999999</v>
      </c>
      <c r="AP608">
        <v>15.825100000000001</v>
      </c>
      <c r="AQ608">
        <v>36.4694</v>
      </c>
      <c r="AR608">
        <v>23.540500000000002</v>
      </c>
      <c r="AS608">
        <v>0.126528</v>
      </c>
      <c r="AT608">
        <v>1.9276899999999999</v>
      </c>
      <c r="AU608">
        <v>24.559899999999999</v>
      </c>
      <c r="AV608">
        <v>43.218299999999999</v>
      </c>
      <c r="AW608">
        <v>21.739799999999999</v>
      </c>
      <c r="AX608">
        <v>6.2229999999999999</v>
      </c>
      <c r="AY608">
        <v>2.3312300000000001</v>
      </c>
      <c r="AZ608">
        <v>634.31500000000005</v>
      </c>
      <c r="BA608">
        <v>653.99900000000002</v>
      </c>
      <c r="BB608">
        <v>41624.1</v>
      </c>
      <c r="BC608">
        <v>9.3188400000000005E-2</v>
      </c>
      <c r="BD608">
        <v>7.6075799999999999E-2</v>
      </c>
      <c r="BE608">
        <v>0.18324299999999999</v>
      </c>
      <c r="BF608">
        <v>1.17818</v>
      </c>
      <c r="BG608">
        <v>25.0322</v>
      </c>
      <c r="BH608">
        <v>53.785600000000002</v>
      </c>
      <c r="BI608">
        <v>19.744599999999998</v>
      </c>
      <c r="BJ608">
        <v>32.924700000000001</v>
      </c>
      <c r="BK608">
        <v>0</v>
      </c>
      <c r="BL608">
        <v>28.639600000000002</v>
      </c>
      <c r="BM608">
        <v>61.385899999999999</v>
      </c>
      <c r="BN608">
        <v>7.8642500000000002</v>
      </c>
      <c r="BO608">
        <v>0.92151000000000005</v>
      </c>
      <c r="BP608">
        <v>1.1887700000000001</v>
      </c>
      <c r="BQ608">
        <v>37.239400000000003</v>
      </c>
      <c r="BR608">
        <v>151165</v>
      </c>
    </row>
    <row r="609" spans="1:70" x14ac:dyDescent="0.25">
      <c r="A609">
        <v>47</v>
      </c>
      <c r="B609" s="7">
        <v>45994.559687499997</v>
      </c>
      <c r="C609" t="s">
        <v>180</v>
      </c>
      <c r="D609" s="6" t="s">
        <v>368</v>
      </c>
      <c r="E609" s="6" t="str">
        <f>VLOOKUP(F609,Germplasm!$A$1:$B$21,2,FALSE)</f>
        <v>Kinnan</v>
      </c>
      <c r="F609" t="s">
        <v>71</v>
      </c>
      <c r="G609" s="6" t="s">
        <v>113</v>
      </c>
      <c r="H609">
        <v>58572</v>
      </c>
      <c r="I609">
        <v>486.45100000000002</v>
      </c>
      <c r="J609">
        <v>130303</v>
      </c>
      <c r="K609">
        <v>25.512</v>
      </c>
      <c r="L609">
        <v>60.2866</v>
      </c>
      <c r="M609">
        <v>1461.16</v>
      </c>
      <c r="N609">
        <v>567.827</v>
      </c>
      <c r="O609">
        <v>38858200</v>
      </c>
      <c r="P609">
        <v>0.17801</v>
      </c>
      <c r="Q609">
        <v>1.0711999999999999</v>
      </c>
      <c r="R609">
        <v>10.5062</v>
      </c>
      <c r="S609">
        <v>27.709800000000001</v>
      </c>
      <c r="T609">
        <v>40.3735</v>
      </c>
      <c r="U609">
        <v>19.8355</v>
      </c>
      <c r="V609">
        <v>0.50381399999999998</v>
      </c>
      <c r="W609">
        <v>98.292900000000003</v>
      </c>
      <c r="X609">
        <v>5.7779699999999998</v>
      </c>
      <c r="Y609">
        <v>11.614000000000001</v>
      </c>
      <c r="Z609">
        <v>7.0391000000000004</v>
      </c>
      <c r="AA609">
        <v>18.645900000000001</v>
      </c>
      <c r="AB609">
        <v>31.6751</v>
      </c>
      <c r="AC609">
        <v>25.247900000000001</v>
      </c>
      <c r="AD609">
        <v>1.76193</v>
      </c>
      <c r="AE609">
        <v>8.0102899999999995</v>
      </c>
      <c r="AF609">
        <v>0</v>
      </c>
      <c r="AG609">
        <v>99.16</v>
      </c>
      <c r="AH609">
        <v>0.835982</v>
      </c>
      <c r="AI609">
        <v>3.9732999999999999E-3</v>
      </c>
      <c r="AJ609">
        <v>0</v>
      </c>
      <c r="AK609">
        <v>0</v>
      </c>
      <c r="AL609">
        <v>0.409997</v>
      </c>
      <c r="AM609">
        <v>2.76065</v>
      </c>
      <c r="AN609">
        <v>12.9132</v>
      </c>
      <c r="AO609">
        <v>14.1052</v>
      </c>
      <c r="AP609">
        <v>17.8353</v>
      </c>
      <c r="AQ609">
        <v>33.503700000000002</v>
      </c>
      <c r="AR609">
        <v>18.881900000000002</v>
      </c>
      <c r="AS609">
        <v>0.12807499999999999</v>
      </c>
      <c r="AT609">
        <v>2.1694200000000001</v>
      </c>
      <c r="AU609">
        <v>26.581399999999999</v>
      </c>
      <c r="AV609">
        <v>39.159199999999998</v>
      </c>
      <c r="AW609">
        <v>22.802</v>
      </c>
      <c r="AX609">
        <v>6.6894499999999999</v>
      </c>
      <c r="AY609">
        <v>2.5985399999999998</v>
      </c>
      <c r="AZ609">
        <v>663.42700000000002</v>
      </c>
      <c r="BA609">
        <v>752.399</v>
      </c>
      <c r="BB609">
        <v>33243</v>
      </c>
      <c r="BC609">
        <v>0.100366</v>
      </c>
      <c r="BD609">
        <v>8.2644599999999999E-2</v>
      </c>
      <c r="BE609">
        <v>0.34806100000000001</v>
      </c>
      <c r="BF609">
        <v>1.6322300000000001</v>
      </c>
      <c r="BG609">
        <v>26.6815</v>
      </c>
      <c r="BH609">
        <v>48.180999999999997</v>
      </c>
      <c r="BI609">
        <v>23.0745</v>
      </c>
      <c r="BJ609">
        <v>31.293299999999999</v>
      </c>
      <c r="BK609">
        <v>0</v>
      </c>
      <c r="BL609">
        <v>34.862499999999997</v>
      </c>
      <c r="BM609">
        <v>56.227699999999999</v>
      </c>
      <c r="BN609">
        <v>6.8022900000000002</v>
      </c>
      <c r="BO609">
        <v>1.0831200000000001</v>
      </c>
      <c r="BP609">
        <v>1.0243199999999999</v>
      </c>
      <c r="BQ609">
        <v>34.624499999999998</v>
      </c>
      <c r="BR609">
        <v>125840</v>
      </c>
    </row>
    <row r="610" spans="1:70" x14ac:dyDescent="0.25">
      <c r="A610">
        <v>47</v>
      </c>
      <c r="B610" s="7">
        <v>46002.586817129632</v>
      </c>
      <c r="C610" t="s">
        <v>180</v>
      </c>
      <c r="D610" s="6" t="s">
        <v>369</v>
      </c>
      <c r="E610" s="6" t="str">
        <f>VLOOKUP(F610,Germplasm!$A$1:$B$21,2,FALSE)</f>
        <v>Kinnan</v>
      </c>
      <c r="F610" t="s">
        <v>71</v>
      </c>
      <c r="G610" s="6" t="s">
        <v>113</v>
      </c>
      <c r="H610">
        <v>41462.9</v>
      </c>
      <c r="I610">
        <v>580.66600000000005</v>
      </c>
      <c r="J610">
        <v>146628</v>
      </c>
      <c r="K610">
        <v>14.614000000000001</v>
      </c>
      <c r="L610">
        <v>63.597299999999997</v>
      </c>
      <c r="M610">
        <v>1472.4</v>
      </c>
      <c r="N610">
        <v>572.726</v>
      </c>
      <c r="O610">
        <v>28825700</v>
      </c>
      <c r="P610">
        <v>0.15556900000000001</v>
      </c>
      <c r="Q610">
        <v>1.04993</v>
      </c>
      <c r="R610">
        <v>12.3506</v>
      </c>
      <c r="S610">
        <v>33.562600000000003</v>
      </c>
      <c r="T610">
        <v>37.989400000000003</v>
      </c>
      <c r="U610">
        <v>14.569599999999999</v>
      </c>
      <c r="V610">
        <v>0.47786099999999998</v>
      </c>
      <c r="W610">
        <v>88.351600000000005</v>
      </c>
      <c r="X610">
        <v>6.7241</v>
      </c>
      <c r="Y610">
        <v>17.2166</v>
      </c>
      <c r="Z610">
        <v>10.7468</v>
      </c>
      <c r="AA610">
        <v>18.5458</v>
      </c>
      <c r="AB610">
        <v>24.045100000000001</v>
      </c>
      <c r="AC610">
        <v>22.721599999999999</v>
      </c>
      <c r="AD610">
        <v>1.93496</v>
      </c>
      <c r="AE610">
        <v>8.1363299999999992</v>
      </c>
      <c r="AF610">
        <v>0</v>
      </c>
      <c r="AG610">
        <v>99.288300000000007</v>
      </c>
      <c r="AH610">
        <v>0.71168299999999995</v>
      </c>
      <c r="AI610">
        <v>0</v>
      </c>
      <c r="AJ610">
        <v>0</v>
      </c>
      <c r="AK610">
        <v>0</v>
      </c>
      <c r="AL610">
        <v>0.35740499999999997</v>
      </c>
      <c r="AM610">
        <v>3.1497899999999999</v>
      </c>
      <c r="AN610">
        <v>17.006599999999999</v>
      </c>
      <c r="AO610">
        <v>19.330100000000002</v>
      </c>
      <c r="AP610">
        <v>20.553699999999999</v>
      </c>
      <c r="AQ610">
        <v>30.1052</v>
      </c>
      <c r="AR610">
        <v>9.8545999999999996</v>
      </c>
      <c r="AS610">
        <v>0.16609199999999999</v>
      </c>
      <c r="AT610">
        <v>2.4142700000000001</v>
      </c>
      <c r="AU610">
        <v>22.138200000000001</v>
      </c>
      <c r="AV610">
        <v>34.7102</v>
      </c>
      <c r="AW610">
        <v>25.637599999999999</v>
      </c>
      <c r="AX610">
        <v>11.867100000000001</v>
      </c>
      <c r="AY610">
        <v>3.23265</v>
      </c>
      <c r="AZ610">
        <v>695.21799999999996</v>
      </c>
      <c r="BA610">
        <v>745.79899999999998</v>
      </c>
      <c r="BB610">
        <v>21428.3</v>
      </c>
      <c r="BC610">
        <v>0.142287</v>
      </c>
      <c r="BD610">
        <v>7.3778999999999997E-2</v>
      </c>
      <c r="BE610">
        <v>0.38932600000000001</v>
      </c>
      <c r="BF610">
        <v>1.70827</v>
      </c>
      <c r="BG610">
        <v>22.3811</v>
      </c>
      <c r="BH610">
        <v>41.484200000000001</v>
      </c>
      <c r="BI610">
        <v>33.963299999999997</v>
      </c>
      <c r="BJ610">
        <v>32.032400000000003</v>
      </c>
      <c r="BK610">
        <v>0</v>
      </c>
      <c r="BL610">
        <v>35.354900000000001</v>
      </c>
      <c r="BM610">
        <v>53.671399999999998</v>
      </c>
      <c r="BN610">
        <v>8.70932</v>
      </c>
      <c r="BO610">
        <v>1.46309</v>
      </c>
      <c r="BP610">
        <v>0.80135299999999998</v>
      </c>
      <c r="BQ610">
        <v>31.147600000000001</v>
      </c>
      <c r="BR610">
        <v>88101</v>
      </c>
    </row>
    <row r="611" spans="1:70" x14ac:dyDescent="0.25">
      <c r="A611">
        <v>47</v>
      </c>
      <c r="B611" s="7">
        <v>46013.56453703704</v>
      </c>
      <c r="C611" t="s">
        <v>180</v>
      </c>
      <c r="D611" s="6" t="s">
        <v>370</v>
      </c>
      <c r="E611" s="6" t="str">
        <f>VLOOKUP(F611,Germplasm!$A$1:$B$21,2,FALSE)</f>
        <v>Kinnan</v>
      </c>
      <c r="F611" t="s">
        <v>71</v>
      </c>
      <c r="G611" s="6" t="s">
        <v>113</v>
      </c>
      <c r="H611">
        <v>31687.3</v>
      </c>
      <c r="I611">
        <v>585.702</v>
      </c>
      <c r="J611">
        <v>103732</v>
      </c>
      <c r="K611">
        <v>15.061500000000001</v>
      </c>
      <c r="L611">
        <v>61.473799999999997</v>
      </c>
      <c r="M611">
        <v>1276.29</v>
      </c>
      <c r="N611">
        <v>517.39099999999996</v>
      </c>
      <c r="O611">
        <v>22478600</v>
      </c>
      <c r="P611">
        <v>0.13084799999999999</v>
      </c>
      <c r="Q611">
        <v>1.0541700000000001</v>
      </c>
      <c r="R611">
        <v>13.111700000000001</v>
      </c>
      <c r="S611">
        <v>44.828400000000002</v>
      </c>
      <c r="T611">
        <v>29.311299999999999</v>
      </c>
      <c r="U611">
        <v>11.131399999999999</v>
      </c>
      <c r="V611">
        <v>0.56297600000000003</v>
      </c>
      <c r="W611">
        <v>71.570499999999996</v>
      </c>
      <c r="X611">
        <v>6.6698599999999999</v>
      </c>
      <c r="Y611">
        <v>27.219899999999999</v>
      </c>
      <c r="Z611">
        <v>16.275600000000001</v>
      </c>
      <c r="AA611">
        <v>21.6464</v>
      </c>
      <c r="AB611">
        <v>14.167299999999999</v>
      </c>
      <c r="AC611">
        <v>14.020899999999999</v>
      </c>
      <c r="AD611">
        <v>2.0281699999999998</v>
      </c>
      <c r="AE611">
        <v>9.6232699999999998</v>
      </c>
      <c r="AF611">
        <v>0</v>
      </c>
      <c r="AG611">
        <v>98.230900000000005</v>
      </c>
      <c r="AH611">
        <v>1.76915</v>
      </c>
      <c r="AI611">
        <v>0</v>
      </c>
      <c r="AJ611">
        <v>0</v>
      </c>
      <c r="AK611">
        <v>0</v>
      </c>
      <c r="AL611">
        <v>0.25303799999999999</v>
      </c>
      <c r="AM611">
        <v>4.7332200000000002</v>
      </c>
      <c r="AN611">
        <v>31.895399999999999</v>
      </c>
      <c r="AO611">
        <v>25.452100000000002</v>
      </c>
      <c r="AP611">
        <v>20.8034</v>
      </c>
      <c r="AQ611">
        <v>12.645799999999999</v>
      </c>
      <c r="AR611">
        <v>4.4700300000000004</v>
      </c>
      <c r="AS611">
        <v>0.223381</v>
      </c>
      <c r="AT611">
        <v>1.46374</v>
      </c>
      <c r="AU611">
        <v>12.4741</v>
      </c>
      <c r="AV611">
        <v>29.2044</v>
      </c>
      <c r="AW611">
        <v>39.6982</v>
      </c>
      <c r="AX611">
        <v>14.551500000000001</v>
      </c>
      <c r="AY611">
        <v>2.60799</v>
      </c>
      <c r="AZ611">
        <v>709.39</v>
      </c>
      <c r="BA611">
        <v>757.79899999999998</v>
      </c>
      <c r="BB611">
        <v>15623.6</v>
      </c>
      <c r="BC611">
        <v>0.22246099999999999</v>
      </c>
      <c r="BD611">
        <v>3.09637E-2</v>
      </c>
      <c r="BE611">
        <v>0.23785700000000001</v>
      </c>
      <c r="BF611">
        <v>1.4243300000000001</v>
      </c>
      <c r="BG611">
        <v>12.2433</v>
      </c>
      <c r="BH611">
        <v>32.877800000000001</v>
      </c>
      <c r="BI611">
        <v>53.185699999999997</v>
      </c>
      <c r="BJ611">
        <v>32.520800000000001</v>
      </c>
      <c r="BK611">
        <v>0</v>
      </c>
      <c r="BL611">
        <v>33.017099999999999</v>
      </c>
      <c r="BM611">
        <v>56.5411</v>
      </c>
      <c r="BN611">
        <v>8.4784199999999998</v>
      </c>
      <c r="BO611">
        <v>1.3680300000000001</v>
      </c>
      <c r="BP611">
        <v>0.59534699999999996</v>
      </c>
      <c r="BQ611">
        <v>29.558900000000001</v>
      </c>
      <c r="BR611">
        <v>71051</v>
      </c>
    </row>
    <row r="612" spans="1:70" x14ac:dyDescent="0.25">
      <c r="A612">
        <v>47</v>
      </c>
      <c r="B612" s="7">
        <v>46024.562337962961</v>
      </c>
      <c r="C612" t="s">
        <v>180</v>
      </c>
      <c r="D612" s="6" t="s">
        <v>371</v>
      </c>
      <c r="E612" s="6" t="str">
        <f>VLOOKUP(F612,Germplasm!$A$1:$B$21,2,FALSE)</f>
        <v>Kinnan</v>
      </c>
      <c r="F612" t="s">
        <v>71</v>
      </c>
      <c r="G612" s="6" t="s">
        <v>113</v>
      </c>
      <c r="H612">
        <v>34981.199999999997</v>
      </c>
      <c r="I612">
        <v>543.202</v>
      </c>
      <c r="J612">
        <v>136240</v>
      </c>
      <c r="K612">
        <v>13.0488</v>
      </c>
      <c r="L612">
        <v>56.171300000000002</v>
      </c>
      <c r="M612">
        <v>1428.64</v>
      </c>
      <c r="N612">
        <v>581.67899999999997</v>
      </c>
      <c r="O612">
        <v>23288400</v>
      </c>
      <c r="P612">
        <v>4.8720100000000002E-2</v>
      </c>
      <c r="Q612">
        <v>1.2929299999999999</v>
      </c>
      <c r="R612">
        <v>26.0885</v>
      </c>
      <c r="S612">
        <v>59.1828</v>
      </c>
      <c r="T612">
        <v>10.6463</v>
      </c>
      <c r="U612">
        <v>2.6217800000000002</v>
      </c>
      <c r="V612">
        <v>0.167602</v>
      </c>
      <c r="W612">
        <v>46.810400000000001</v>
      </c>
      <c r="X612">
        <v>13.5519</v>
      </c>
      <c r="Y612">
        <v>47.485399999999998</v>
      </c>
      <c r="Z612">
        <v>14.7933</v>
      </c>
      <c r="AA612">
        <v>8.2687899999999992</v>
      </c>
      <c r="AB612">
        <v>4.1062599999999998</v>
      </c>
      <c r="AC612">
        <v>11.7944</v>
      </c>
      <c r="AD612">
        <v>1.9677</v>
      </c>
      <c r="AE612">
        <v>13.085100000000001</v>
      </c>
      <c r="AF612">
        <v>0</v>
      </c>
      <c r="AG612">
        <v>91.131399999999999</v>
      </c>
      <c r="AH612">
        <v>8.8194800000000004</v>
      </c>
      <c r="AI612">
        <v>4.7886400000000003E-2</v>
      </c>
      <c r="AJ612">
        <v>1.1971600000000001E-3</v>
      </c>
      <c r="AK612">
        <v>0</v>
      </c>
      <c r="AL612">
        <v>0.126002</v>
      </c>
      <c r="AM612">
        <v>18.4985</v>
      </c>
      <c r="AN612">
        <v>46.895200000000003</v>
      </c>
      <c r="AO612">
        <v>20.3613</v>
      </c>
      <c r="AP612">
        <v>8.6375100000000007</v>
      </c>
      <c r="AQ612">
        <v>4.2319599999999999</v>
      </c>
      <c r="AR612">
        <v>1.37554</v>
      </c>
      <c r="AS612">
        <v>0.24457100000000001</v>
      </c>
      <c r="AT612">
        <v>0.79252</v>
      </c>
      <c r="AU612">
        <v>8.6243400000000001</v>
      </c>
      <c r="AV612">
        <v>26.921700000000001</v>
      </c>
      <c r="AW612">
        <v>49.277500000000003</v>
      </c>
      <c r="AX612">
        <v>11.4269</v>
      </c>
      <c r="AY612">
        <v>2.9569899999999998</v>
      </c>
      <c r="AZ612">
        <v>665.74199999999996</v>
      </c>
      <c r="BA612">
        <v>706.79899999999998</v>
      </c>
      <c r="BB612">
        <v>17777.7</v>
      </c>
      <c r="BC612">
        <v>0.30037000000000003</v>
      </c>
      <c r="BD612">
        <v>6.4646700000000001E-2</v>
      </c>
      <c r="BE612">
        <v>0.29689599999999999</v>
      </c>
      <c r="BF612">
        <v>1.0044200000000001</v>
      </c>
      <c r="BG612">
        <v>8.0509000000000004</v>
      </c>
      <c r="BH612">
        <v>17.982500000000002</v>
      </c>
      <c r="BI612">
        <v>72.6006</v>
      </c>
      <c r="BJ612">
        <v>28.724</v>
      </c>
      <c r="BK612">
        <v>0</v>
      </c>
      <c r="BL612">
        <v>43.492800000000003</v>
      </c>
      <c r="BM612">
        <v>49.229599999999998</v>
      </c>
      <c r="BN612">
        <v>5.4506699999999997</v>
      </c>
      <c r="BO612">
        <v>1.18279</v>
      </c>
      <c r="BP612">
        <v>0.64407199999999998</v>
      </c>
      <c r="BQ612">
        <v>30.566500000000001</v>
      </c>
      <c r="BR612">
        <v>83531</v>
      </c>
    </row>
    <row r="613" spans="1:70" x14ac:dyDescent="0.25">
      <c r="A613">
        <v>47</v>
      </c>
      <c r="B613" s="7">
        <v>45952.576064814813</v>
      </c>
      <c r="C613" t="s">
        <v>181</v>
      </c>
      <c r="D613" s="6" t="s">
        <v>363</v>
      </c>
      <c r="E613" s="6" t="str">
        <f>VLOOKUP(F613,Germplasm!$A$1:$B$21,2,FALSE)</f>
        <v>Thermus</v>
      </c>
      <c r="F613" t="s">
        <v>75</v>
      </c>
      <c r="G613" s="6" t="s">
        <v>113</v>
      </c>
      <c r="H613">
        <v>32498</v>
      </c>
      <c r="I613">
        <v>241.74299999999999</v>
      </c>
      <c r="J613">
        <v>131989</v>
      </c>
      <c r="K613">
        <v>14.0381</v>
      </c>
      <c r="L613">
        <v>72.717600000000004</v>
      </c>
      <c r="M613">
        <v>1470.56</v>
      </c>
      <c r="N613">
        <v>507.887</v>
      </c>
      <c r="O613">
        <v>10060200</v>
      </c>
      <c r="P613">
        <v>0.225518</v>
      </c>
      <c r="Q613">
        <v>0.63603699999999996</v>
      </c>
      <c r="R613">
        <v>4.6898</v>
      </c>
      <c r="S613">
        <v>20.7517</v>
      </c>
      <c r="T613">
        <v>44.264699999999998</v>
      </c>
      <c r="U613">
        <v>29.459299999999999</v>
      </c>
      <c r="V613">
        <v>0.19846900000000001</v>
      </c>
      <c r="W613">
        <v>119.39700000000001</v>
      </c>
      <c r="X613">
        <v>1.0861099999999999</v>
      </c>
      <c r="Y613">
        <v>1.9581200000000001</v>
      </c>
      <c r="Z613">
        <v>3.6302500000000002</v>
      </c>
      <c r="AA613">
        <v>14.8195</v>
      </c>
      <c r="AB613">
        <v>37.1496</v>
      </c>
      <c r="AC613">
        <v>41.356499999999997</v>
      </c>
      <c r="AD613">
        <v>1.7539199999999999</v>
      </c>
      <c r="AE613">
        <v>6.8557300000000003</v>
      </c>
      <c r="AF613">
        <v>0</v>
      </c>
      <c r="AG613">
        <v>99.853099999999998</v>
      </c>
      <c r="AH613">
        <v>0.146898</v>
      </c>
      <c r="AI613">
        <v>0</v>
      </c>
      <c r="AJ613">
        <v>0</v>
      </c>
      <c r="AK613">
        <v>0</v>
      </c>
      <c r="AL613">
        <v>0.51183800000000002</v>
      </c>
      <c r="AM613">
        <v>0.72511300000000001</v>
      </c>
      <c r="AN613">
        <v>2.94577</v>
      </c>
      <c r="AO613">
        <v>6.0274999999999999</v>
      </c>
      <c r="AP613">
        <v>17.3371</v>
      </c>
      <c r="AQ613">
        <v>42.005000000000003</v>
      </c>
      <c r="AR613">
        <v>30.959499999999998</v>
      </c>
      <c r="AS613">
        <v>1.6526099999999998E-2</v>
      </c>
      <c r="AT613">
        <v>8.6201000000000008</v>
      </c>
      <c r="AU613">
        <v>38.393500000000003</v>
      </c>
      <c r="AV613">
        <v>40.957999999999998</v>
      </c>
      <c r="AW613">
        <v>9.4827300000000001</v>
      </c>
      <c r="AX613">
        <v>1.70964</v>
      </c>
      <c r="AY613">
        <v>0.83606800000000003</v>
      </c>
      <c r="AZ613">
        <v>309.56200000000001</v>
      </c>
      <c r="BA613">
        <v>328.79899999999998</v>
      </c>
      <c r="BB613">
        <v>18528.8</v>
      </c>
      <c r="BC613">
        <v>1.8639500000000001E-3</v>
      </c>
      <c r="BD613">
        <v>5.0007799999999998E-2</v>
      </c>
      <c r="BE613">
        <v>0.55633699999999997</v>
      </c>
      <c r="BF613">
        <v>3.96468</v>
      </c>
      <c r="BG613">
        <v>42.442599999999999</v>
      </c>
      <c r="BH613">
        <v>48.680999999999997</v>
      </c>
      <c r="BI613">
        <v>4.3053600000000003</v>
      </c>
      <c r="BJ613">
        <v>30.6769</v>
      </c>
      <c r="BK613">
        <v>0</v>
      </c>
      <c r="BL613">
        <v>35.2727</v>
      </c>
      <c r="BM613">
        <v>57.222999999999999</v>
      </c>
      <c r="BN613">
        <v>6.7557400000000003</v>
      </c>
      <c r="BO613">
        <v>0.53758399999999995</v>
      </c>
      <c r="BP613">
        <v>0.21096999999999999</v>
      </c>
      <c r="BQ613">
        <v>34.789200000000001</v>
      </c>
      <c r="BR613">
        <v>63990</v>
      </c>
    </row>
    <row r="614" spans="1:70" x14ac:dyDescent="0.25">
      <c r="A614">
        <v>47</v>
      </c>
      <c r="B614" s="7">
        <v>45959.542500000003</v>
      </c>
      <c r="C614" t="s">
        <v>181</v>
      </c>
      <c r="D614" s="6" t="s">
        <v>364</v>
      </c>
      <c r="E614" s="6" t="str">
        <f>VLOOKUP(F614,Germplasm!$A$1:$B$21,2,FALSE)</f>
        <v>Thermus</v>
      </c>
      <c r="F614" t="s">
        <v>75</v>
      </c>
      <c r="G614" s="6" t="s">
        <v>113</v>
      </c>
      <c r="H614">
        <v>47061.4</v>
      </c>
      <c r="I614">
        <v>356.411</v>
      </c>
      <c r="J614">
        <v>167165</v>
      </c>
      <c r="K614">
        <v>16.220600000000001</v>
      </c>
      <c r="L614">
        <v>76.246799999999993</v>
      </c>
      <c r="M614">
        <v>1527.59</v>
      </c>
      <c r="N614">
        <v>550.86199999999997</v>
      </c>
      <c r="O614">
        <v>21353600</v>
      </c>
      <c r="P614">
        <v>0.22325200000000001</v>
      </c>
      <c r="Q614">
        <v>0.75518399999999997</v>
      </c>
      <c r="R614">
        <v>3.53166</v>
      </c>
      <c r="S614">
        <v>21.492899999999999</v>
      </c>
      <c r="T614">
        <v>47.3078</v>
      </c>
      <c r="U614">
        <v>26.273599999999998</v>
      </c>
      <c r="V614">
        <v>0.63892000000000004</v>
      </c>
      <c r="W614">
        <v>123.554</v>
      </c>
      <c r="X614">
        <v>1.02504</v>
      </c>
      <c r="Y614">
        <v>1.51037</v>
      </c>
      <c r="Z614">
        <v>2.5418099999999999</v>
      </c>
      <c r="AA614">
        <v>12.0083</v>
      </c>
      <c r="AB614">
        <v>35.938400000000001</v>
      </c>
      <c r="AC614">
        <v>46.976100000000002</v>
      </c>
      <c r="AD614">
        <v>1.7356100000000001</v>
      </c>
      <c r="AE614">
        <v>6.4206500000000002</v>
      </c>
      <c r="AF614">
        <v>0</v>
      </c>
      <c r="AG614">
        <v>99.805899999999994</v>
      </c>
      <c r="AH614">
        <v>0.18772900000000001</v>
      </c>
      <c r="AI614">
        <v>6.3998600000000003E-3</v>
      </c>
      <c r="AJ614">
        <v>0</v>
      </c>
      <c r="AK614">
        <v>0</v>
      </c>
      <c r="AL614">
        <v>0.523644</v>
      </c>
      <c r="AM614">
        <v>0.605854</v>
      </c>
      <c r="AN614">
        <v>2.5908799999999998</v>
      </c>
      <c r="AO614">
        <v>5.3268199999999997</v>
      </c>
      <c r="AP614">
        <v>16.143699999999999</v>
      </c>
      <c r="AQ614">
        <v>42.2316</v>
      </c>
      <c r="AR614">
        <v>33.101199999999999</v>
      </c>
      <c r="AS614">
        <v>3.1159999999999998E-3</v>
      </c>
      <c r="AT614">
        <v>8.0499600000000004</v>
      </c>
      <c r="AU614">
        <v>45.092399999999998</v>
      </c>
      <c r="AV614">
        <v>36.858899999999998</v>
      </c>
      <c r="AW614">
        <v>7.2510500000000002</v>
      </c>
      <c r="AX614">
        <v>1.4100999999999999</v>
      </c>
      <c r="AY614">
        <v>1.3375699999999999</v>
      </c>
      <c r="AZ614">
        <v>453.73899999999998</v>
      </c>
      <c r="BA614">
        <v>511.19900000000001</v>
      </c>
      <c r="BB614">
        <v>27115.200000000001</v>
      </c>
      <c r="BC614">
        <v>-1.05594E-2</v>
      </c>
      <c r="BD614">
        <v>9.3864699999999995E-2</v>
      </c>
      <c r="BE614">
        <v>0.52158899999999997</v>
      </c>
      <c r="BF614">
        <v>3.6372599999999999</v>
      </c>
      <c r="BG614">
        <v>48.888599999999997</v>
      </c>
      <c r="BH614">
        <v>43.532899999999998</v>
      </c>
      <c r="BI614">
        <v>3.3258000000000001</v>
      </c>
      <c r="BJ614">
        <v>30.354299999999999</v>
      </c>
      <c r="BK614">
        <v>0</v>
      </c>
      <c r="BL614">
        <v>38.115499999999997</v>
      </c>
      <c r="BM614">
        <v>54.241999999999997</v>
      </c>
      <c r="BN614">
        <v>5.9518700000000004</v>
      </c>
      <c r="BO614">
        <v>0.728518</v>
      </c>
      <c r="BP614">
        <v>0.962113</v>
      </c>
      <c r="BQ614">
        <v>35.2224</v>
      </c>
      <c r="BR614">
        <v>93752</v>
      </c>
    </row>
    <row r="615" spans="1:70" x14ac:dyDescent="0.25">
      <c r="A615">
        <v>47</v>
      </c>
      <c r="B615" s="7">
        <v>45966.537199074075</v>
      </c>
      <c r="C615" t="s">
        <v>181</v>
      </c>
      <c r="D615" s="6" t="s">
        <v>365</v>
      </c>
      <c r="E615" s="6" t="str">
        <f>VLOOKUP(F615,Germplasm!$A$1:$B$21,2,FALSE)</f>
        <v>Thermus</v>
      </c>
      <c r="F615" t="s">
        <v>75</v>
      </c>
      <c r="G615" s="6" t="s">
        <v>113</v>
      </c>
      <c r="H615">
        <v>83115.8</v>
      </c>
      <c r="I615">
        <v>564.00800000000004</v>
      </c>
      <c r="J615">
        <v>192730</v>
      </c>
      <c r="K615">
        <v>25.546700000000001</v>
      </c>
      <c r="L615">
        <v>76.757400000000004</v>
      </c>
      <c r="M615">
        <v>1640.83</v>
      </c>
      <c r="N615">
        <v>589.72900000000004</v>
      </c>
      <c r="O615">
        <v>57321500</v>
      </c>
      <c r="P615">
        <v>0.23665600000000001</v>
      </c>
      <c r="Q615">
        <v>0.63134299999999999</v>
      </c>
      <c r="R615">
        <v>3.58249</v>
      </c>
      <c r="S615">
        <v>18.418800000000001</v>
      </c>
      <c r="T615">
        <v>46.1387</v>
      </c>
      <c r="U615">
        <v>30.7285</v>
      </c>
      <c r="V615">
        <v>0.50011799999999995</v>
      </c>
      <c r="W615">
        <v>118.47499999999999</v>
      </c>
      <c r="X615">
        <v>1.1449800000000001</v>
      </c>
      <c r="Y615">
        <v>2.0567899999999999</v>
      </c>
      <c r="Z615">
        <v>3.0660400000000001</v>
      </c>
      <c r="AA615">
        <v>13.9887</v>
      </c>
      <c r="AB615">
        <v>40.085500000000003</v>
      </c>
      <c r="AC615">
        <v>39.658000000000001</v>
      </c>
      <c r="AD615">
        <v>1.6880999999999999</v>
      </c>
      <c r="AE615">
        <v>6.4781199999999997</v>
      </c>
      <c r="AF615">
        <v>0</v>
      </c>
      <c r="AG615">
        <v>99.837199999999996</v>
      </c>
      <c r="AH615">
        <v>0.15882099999999999</v>
      </c>
      <c r="AI615">
        <v>3.3791799999999999E-3</v>
      </c>
      <c r="AJ615">
        <v>5.6319599999999997E-4</v>
      </c>
      <c r="AK615">
        <v>0</v>
      </c>
      <c r="AL615">
        <v>0.52786599999999995</v>
      </c>
      <c r="AM615">
        <v>0.745672</v>
      </c>
      <c r="AN615">
        <v>2.7619099999999999</v>
      </c>
      <c r="AO615">
        <v>5.3351600000000001</v>
      </c>
      <c r="AP615">
        <v>14.8278</v>
      </c>
      <c r="AQ615">
        <v>39.916499999999999</v>
      </c>
      <c r="AR615">
        <v>36.4129</v>
      </c>
      <c r="AS615">
        <v>2.8756400000000001E-2</v>
      </c>
      <c r="AT615">
        <v>6.0121200000000004</v>
      </c>
      <c r="AU615">
        <v>40.2117</v>
      </c>
      <c r="AV615">
        <v>40.395800000000001</v>
      </c>
      <c r="AW615">
        <v>10.0756</v>
      </c>
      <c r="AX615">
        <v>2.2291300000000001</v>
      </c>
      <c r="AY615">
        <v>1.0757000000000001</v>
      </c>
      <c r="AZ615">
        <v>689.65800000000002</v>
      </c>
      <c r="BA615">
        <v>776.99900000000002</v>
      </c>
      <c r="BB615">
        <v>49236.2</v>
      </c>
      <c r="BC615">
        <v>9.0444500000000008E-3</v>
      </c>
      <c r="BD615">
        <v>6.5893999999999994E-2</v>
      </c>
      <c r="BE615">
        <v>0.42070800000000003</v>
      </c>
      <c r="BF615">
        <v>2.5158</v>
      </c>
      <c r="BG615">
        <v>43.219700000000003</v>
      </c>
      <c r="BH615">
        <v>49.118000000000002</v>
      </c>
      <c r="BI615">
        <v>4.6598899999999999</v>
      </c>
      <c r="BJ615">
        <v>31.451599999999999</v>
      </c>
      <c r="BK615">
        <v>0</v>
      </c>
      <c r="BL615">
        <v>34.0379</v>
      </c>
      <c r="BM615">
        <v>56.745399999999997</v>
      </c>
      <c r="BN615">
        <v>8.0215999999999994</v>
      </c>
      <c r="BO615">
        <v>0.72765000000000002</v>
      </c>
      <c r="BP615">
        <v>0.46745300000000001</v>
      </c>
      <c r="BQ615">
        <v>36.383400000000002</v>
      </c>
      <c r="BR615">
        <v>177558</v>
      </c>
    </row>
    <row r="616" spans="1:70" x14ac:dyDescent="0.25">
      <c r="A616">
        <v>47</v>
      </c>
      <c r="B616" s="7">
        <v>45973.568958333337</v>
      </c>
      <c r="C616" t="s">
        <v>181</v>
      </c>
      <c r="D616" s="6" t="s">
        <v>366</v>
      </c>
      <c r="E616" s="6" t="str">
        <f>VLOOKUP(F616,Germplasm!$A$1:$B$21,2,FALSE)</f>
        <v>Thermus</v>
      </c>
      <c r="F616" t="s">
        <v>75</v>
      </c>
      <c r="G616" s="6" t="s">
        <v>113</v>
      </c>
      <c r="H616">
        <v>76039.600000000006</v>
      </c>
      <c r="I616">
        <v>649.37199999999996</v>
      </c>
      <c r="J616">
        <v>201421</v>
      </c>
      <c r="K616">
        <v>21.352699999999999</v>
      </c>
      <c r="L616">
        <v>72.757800000000003</v>
      </c>
      <c r="M616">
        <v>1686.39</v>
      </c>
      <c r="N616">
        <v>619.16</v>
      </c>
      <c r="O616">
        <v>58268900</v>
      </c>
      <c r="P616">
        <v>0.22866</v>
      </c>
      <c r="Q616">
        <v>0.56424300000000005</v>
      </c>
      <c r="R616">
        <v>3.47763</v>
      </c>
      <c r="S616">
        <v>19.021699999999999</v>
      </c>
      <c r="T616">
        <v>49.3476</v>
      </c>
      <c r="U616">
        <v>27.1709</v>
      </c>
      <c r="V616">
        <v>0.41788900000000001</v>
      </c>
      <c r="W616">
        <v>110.94</v>
      </c>
      <c r="X616">
        <v>1.3308899999999999</v>
      </c>
      <c r="Y616">
        <v>2.9009299999999998</v>
      </c>
      <c r="Z616">
        <v>5.2619100000000003</v>
      </c>
      <c r="AA616">
        <v>20.532</v>
      </c>
      <c r="AB616">
        <v>40.008299999999998</v>
      </c>
      <c r="AC616">
        <v>29.965900000000001</v>
      </c>
      <c r="AD616">
        <v>1.768</v>
      </c>
      <c r="AE616">
        <v>7.1314399999999996</v>
      </c>
      <c r="AF616">
        <v>0</v>
      </c>
      <c r="AG616">
        <v>99.881699999999995</v>
      </c>
      <c r="AH616">
        <v>0.116461</v>
      </c>
      <c r="AI616">
        <v>1.8683599999999999E-3</v>
      </c>
      <c r="AJ616">
        <v>0</v>
      </c>
      <c r="AK616">
        <v>0</v>
      </c>
      <c r="AL616">
        <v>0.49417699999999998</v>
      </c>
      <c r="AM616">
        <v>0.69627399999999995</v>
      </c>
      <c r="AN616">
        <v>3.5218500000000001</v>
      </c>
      <c r="AO616">
        <v>8.4262800000000002</v>
      </c>
      <c r="AP616">
        <v>18.6312</v>
      </c>
      <c r="AQ616">
        <v>41.262599999999999</v>
      </c>
      <c r="AR616">
        <v>27.4617</v>
      </c>
      <c r="AS616">
        <v>7.27275E-2</v>
      </c>
      <c r="AT616">
        <v>3.6133999999999999</v>
      </c>
      <c r="AU616">
        <v>32.179900000000004</v>
      </c>
      <c r="AV616">
        <v>45.092100000000002</v>
      </c>
      <c r="AW616">
        <v>13.5381</v>
      </c>
      <c r="AX616">
        <v>3.8488099999999998</v>
      </c>
      <c r="AY616">
        <v>1.7276100000000001</v>
      </c>
      <c r="AZ616">
        <v>766.29700000000003</v>
      </c>
      <c r="BA616">
        <v>830.399</v>
      </c>
      <c r="BB616">
        <v>43008.9</v>
      </c>
      <c r="BC616">
        <v>4.1293799999999999E-2</v>
      </c>
      <c r="BD616">
        <v>3.4253199999999998E-2</v>
      </c>
      <c r="BE616">
        <v>0.284613</v>
      </c>
      <c r="BF616">
        <v>1.8210200000000001</v>
      </c>
      <c r="BG616">
        <v>33.652799999999999</v>
      </c>
      <c r="BH616">
        <v>55.337000000000003</v>
      </c>
      <c r="BI616">
        <v>8.8703299999999992</v>
      </c>
      <c r="BJ616">
        <v>31.422899999999998</v>
      </c>
      <c r="BK616">
        <v>0</v>
      </c>
      <c r="BL616">
        <v>33.794199999999996</v>
      </c>
      <c r="BM616">
        <v>57.412700000000001</v>
      </c>
      <c r="BN616">
        <v>7.3712900000000001</v>
      </c>
      <c r="BO616">
        <v>1.0213699999999999</v>
      </c>
      <c r="BP616">
        <v>0.400451</v>
      </c>
      <c r="BQ616">
        <v>34.494700000000002</v>
      </c>
      <c r="BR616">
        <v>160569</v>
      </c>
    </row>
    <row r="617" spans="1:70" x14ac:dyDescent="0.25">
      <c r="A617">
        <v>47</v>
      </c>
      <c r="B617" s="7">
        <v>45988.576979166668</v>
      </c>
      <c r="C617" t="s">
        <v>181</v>
      </c>
      <c r="D617" s="6" t="s">
        <v>367</v>
      </c>
      <c r="E617" s="6" t="str">
        <f>VLOOKUP(F617,Germplasm!$A$1:$B$21,2,FALSE)</f>
        <v>Thermus</v>
      </c>
      <c r="F617" t="s">
        <v>75</v>
      </c>
      <c r="G617" s="6" t="s">
        <v>113</v>
      </c>
      <c r="H617">
        <v>76841.2</v>
      </c>
      <c r="I617">
        <v>595.47799999999995</v>
      </c>
      <c r="J617">
        <v>200822</v>
      </c>
      <c r="K617">
        <v>20.702000000000002</v>
      </c>
      <c r="L617">
        <v>63.111499999999999</v>
      </c>
      <c r="M617">
        <v>1707.4</v>
      </c>
      <c r="N617">
        <v>630.55700000000002</v>
      </c>
      <c r="O617">
        <v>60908200</v>
      </c>
      <c r="P617">
        <v>0.180418</v>
      </c>
      <c r="Q617">
        <v>1.00169</v>
      </c>
      <c r="R617">
        <v>8.3234700000000004</v>
      </c>
      <c r="S617">
        <v>28.357900000000001</v>
      </c>
      <c r="T617">
        <v>44.764400000000002</v>
      </c>
      <c r="U617">
        <v>17.092600000000001</v>
      </c>
      <c r="V617">
        <v>0.45993499999999998</v>
      </c>
      <c r="W617">
        <v>89.136300000000006</v>
      </c>
      <c r="X617">
        <v>4.9247800000000002</v>
      </c>
      <c r="Y617">
        <v>9.0821699999999996</v>
      </c>
      <c r="Z617">
        <v>11.6174</v>
      </c>
      <c r="AA617">
        <v>34.157299999999999</v>
      </c>
      <c r="AB617">
        <v>28.2606</v>
      </c>
      <c r="AC617">
        <v>11.957700000000001</v>
      </c>
      <c r="AD617">
        <v>1.8483000000000001</v>
      </c>
      <c r="AE617">
        <v>8.7502600000000008</v>
      </c>
      <c r="AF617">
        <v>0</v>
      </c>
      <c r="AG617">
        <v>98.661699999999996</v>
      </c>
      <c r="AH617">
        <v>1.33518</v>
      </c>
      <c r="AI617">
        <v>1.85958E-3</v>
      </c>
      <c r="AJ617">
        <v>1.2397199999999999E-3</v>
      </c>
      <c r="AK617">
        <v>0</v>
      </c>
      <c r="AL617">
        <v>0.38945299999999999</v>
      </c>
      <c r="AM617">
        <v>1.9847900000000001</v>
      </c>
      <c r="AN617">
        <v>10.401899999999999</v>
      </c>
      <c r="AO617">
        <v>16.4498</v>
      </c>
      <c r="AP617">
        <v>28.385200000000001</v>
      </c>
      <c r="AQ617">
        <v>33.5747</v>
      </c>
      <c r="AR617">
        <v>9.2036700000000007</v>
      </c>
      <c r="AS617">
        <v>0.176177</v>
      </c>
      <c r="AT617">
        <v>1.37175</v>
      </c>
      <c r="AU617">
        <v>12.0197</v>
      </c>
      <c r="AV617">
        <v>46.464599999999997</v>
      </c>
      <c r="AW617">
        <v>29.476199999999999</v>
      </c>
      <c r="AX617">
        <v>8.3321500000000004</v>
      </c>
      <c r="AY617">
        <v>2.3356300000000001</v>
      </c>
      <c r="AZ617">
        <v>792.65</v>
      </c>
      <c r="BA617">
        <v>869.99900000000002</v>
      </c>
      <c r="BB617">
        <v>41574.1</v>
      </c>
      <c r="BC617">
        <v>0.13090499999999999</v>
      </c>
      <c r="BD617">
        <v>0.119633</v>
      </c>
      <c r="BE617">
        <v>0.23616599999999999</v>
      </c>
      <c r="BF617">
        <v>0.78226200000000001</v>
      </c>
      <c r="BG617">
        <v>12.2484</v>
      </c>
      <c r="BH617">
        <v>62.323099999999997</v>
      </c>
      <c r="BI617">
        <v>24.290400000000002</v>
      </c>
      <c r="BJ617">
        <v>31.971499999999999</v>
      </c>
      <c r="BK617">
        <v>0</v>
      </c>
      <c r="BL617">
        <v>34.213700000000003</v>
      </c>
      <c r="BM617">
        <v>55.6646</v>
      </c>
      <c r="BN617">
        <v>8.0680899999999998</v>
      </c>
      <c r="BO617">
        <v>1.18207</v>
      </c>
      <c r="BP617">
        <v>0.87152200000000002</v>
      </c>
      <c r="BQ617">
        <v>32.800400000000003</v>
      </c>
      <c r="BR617">
        <v>161327</v>
      </c>
    </row>
    <row r="618" spans="1:70" x14ac:dyDescent="0.25">
      <c r="A618">
        <v>47</v>
      </c>
      <c r="B618" s="7">
        <v>45994.559687499997</v>
      </c>
      <c r="C618" t="s">
        <v>181</v>
      </c>
      <c r="D618" s="6" t="s">
        <v>368</v>
      </c>
      <c r="E618" s="6" t="str">
        <f>VLOOKUP(F618,Germplasm!$A$1:$B$21,2,FALSE)</f>
        <v>Thermus</v>
      </c>
      <c r="F618" t="s">
        <v>75</v>
      </c>
      <c r="G618" s="6" t="s">
        <v>113</v>
      </c>
      <c r="H618">
        <v>63782.3</v>
      </c>
      <c r="I618">
        <v>614.80799999999999</v>
      </c>
      <c r="J618">
        <v>149686</v>
      </c>
      <c r="K618">
        <v>23.080100000000002</v>
      </c>
      <c r="L618">
        <v>87.1648</v>
      </c>
      <c r="M618">
        <v>1445.45</v>
      </c>
      <c r="N618">
        <v>476.11799999999999</v>
      </c>
      <c r="O618">
        <v>50243200</v>
      </c>
      <c r="P618">
        <v>0.16206300000000001</v>
      </c>
      <c r="Q618">
        <v>1.1954800000000001</v>
      </c>
      <c r="R618">
        <v>11.9848</v>
      </c>
      <c r="S618">
        <v>30.709700000000002</v>
      </c>
      <c r="T618">
        <v>41.293700000000001</v>
      </c>
      <c r="U618">
        <v>13.9887</v>
      </c>
      <c r="V618">
        <v>0.82764199999999999</v>
      </c>
      <c r="W618">
        <v>79.580699999999993</v>
      </c>
      <c r="X618">
        <v>6.9184099999999997</v>
      </c>
      <c r="Y618">
        <v>15.152100000000001</v>
      </c>
      <c r="Z618">
        <v>14.4613</v>
      </c>
      <c r="AA618">
        <v>32.545400000000001</v>
      </c>
      <c r="AB618">
        <v>20.855699999999999</v>
      </c>
      <c r="AC618">
        <v>10.0672</v>
      </c>
      <c r="AD618">
        <v>1.8462099999999999</v>
      </c>
      <c r="AE618">
        <v>8.2588799999999996</v>
      </c>
      <c r="AF618">
        <v>0</v>
      </c>
      <c r="AG618">
        <v>98.636300000000006</v>
      </c>
      <c r="AH618">
        <v>1.36372</v>
      </c>
      <c r="AI618">
        <v>0</v>
      </c>
      <c r="AJ618">
        <v>0</v>
      </c>
      <c r="AK618">
        <v>0</v>
      </c>
      <c r="AL618">
        <v>0.35423500000000002</v>
      </c>
      <c r="AM618">
        <v>2.7416999999999998</v>
      </c>
      <c r="AN618">
        <v>15.977600000000001</v>
      </c>
      <c r="AO618">
        <v>18.643699999999999</v>
      </c>
      <c r="AP618">
        <v>28.4221</v>
      </c>
      <c r="AQ618">
        <v>25.038900000000002</v>
      </c>
      <c r="AR618">
        <v>9.1760599999999997</v>
      </c>
      <c r="AS618">
        <v>0.213115</v>
      </c>
      <c r="AT618">
        <v>1.42645</v>
      </c>
      <c r="AU618">
        <v>8.7469199999999994</v>
      </c>
      <c r="AV618">
        <v>39.802399999999999</v>
      </c>
      <c r="AW618">
        <v>36.111899999999999</v>
      </c>
      <c r="AX618">
        <v>10.5626</v>
      </c>
      <c r="AY618">
        <v>3.34978</v>
      </c>
      <c r="AZ618">
        <v>787.73</v>
      </c>
      <c r="BA618">
        <v>864.59900000000005</v>
      </c>
      <c r="BB618">
        <v>34547.599999999999</v>
      </c>
      <c r="BC618">
        <v>0.16980400000000001</v>
      </c>
      <c r="BD618">
        <v>0.116911</v>
      </c>
      <c r="BE618">
        <v>0.25092999999999999</v>
      </c>
      <c r="BF618">
        <v>0.89892899999999998</v>
      </c>
      <c r="BG618">
        <v>8.9030400000000007</v>
      </c>
      <c r="BH618">
        <v>55.0015</v>
      </c>
      <c r="BI618">
        <v>34.828699999999998</v>
      </c>
      <c r="BJ618">
        <v>33.5032</v>
      </c>
      <c r="BK618">
        <v>0</v>
      </c>
      <c r="BL618">
        <v>29.899899999999999</v>
      </c>
      <c r="BM618">
        <v>58.697699999999998</v>
      </c>
      <c r="BN618">
        <v>8.55016</v>
      </c>
      <c r="BO618">
        <v>1.6538600000000001</v>
      </c>
      <c r="BP618">
        <v>1.1983299999999999</v>
      </c>
      <c r="BQ618">
        <v>32.838200000000001</v>
      </c>
      <c r="BR618">
        <v>140278</v>
      </c>
    </row>
    <row r="619" spans="1:70" x14ac:dyDescent="0.25">
      <c r="A619">
        <v>47</v>
      </c>
      <c r="B619" s="7">
        <v>46002.586817129632</v>
      </c>
      <c r="C619" t="s">
        <v>181</v>
      </c>
      <c r="D619" s="6" t="s">
        <v>369</v>
      </c>
      <c r="E619" s="6" t="str">
        <f>VLOOKUP(F619,Germplasm!$A$1:$B$21,2,FALSE)</f>
        <v>Thermus</v>
      </c>
      <c r="F619" t="s">
        <v>75</v>
      </c>
      <c r="G619" s="6" t="s">
        <v>113</v>
      </c>
      <c r="H619">
        <v>45031.5</v>
      </c>
      <c r="I619">
        <v>749.46500000000003</v>
      </c>
      <c r="J619">
        <v>181580</v>
      </c>
      <c r="K619">
        <v>13.3256</v>
      </c>
      <c r="L619">
        <v>60.498800000000003</v>
      </c>
      <c r="M619">
        <v>1677.94</v>
      </c>
      <c r="N619">
        <v>647.10199999999998</v>
      </c>
      <c r="O619">
        <v>35991100</v>
      </c>
      <c r="P619">
        <v>9.3665499999999999E-2</v>
      </c>
      <c r="Q619">
        <v>1.37592</v>
      </c>
      <c r="R619">
        <v>21.911000000000001</v>
      </c>
      <c r="S619">
        <v>45.704599999999999</v>
      </c>
      <c r="T619">
        <v>24.088200000000001</v>
      </c>
      <c r="U619">
        <v>6.3447199999999997</v>
      </c>
      <c r="V619">
        <v>0.57555900000000004</v>
      </c>
      <c r="W619">
        <v>55.232300000000002</v>
      </c>
      <c r="X619">
        <v>12.4026</v>
      </c>
      <c r="Y619">
        <v>35.122700000000002</v>
      </c>
      <c r="Z619">
        <v>19.207599999999999</v>
      </c>
      <c r="AA619">
        <v>17.936299999999999</v>
      </c>
      <c r="AB619">
        <v>6.7865599999999997</v>
      </c>
      <c r="AC619">
        <v>8.5442400000000003</v>
      </c>
      <c r="AD619">
        <v>1.8610800000000001</v>
      </c>
      <c r="AE619">
        <v>11.282</v>
      </c>
      <c r="AF619">
        <v>0</v>
      </c>
      <c r="AG619">
        <v>93.953699999999998</v>
      </c>
      <c r="AH619">
        <v>5.8350499999999998</v>
      </c>
      <c r="AI619">
        <v>0.18216299999999999</v>
      </c>
      <c r="AJ619">
        <v>2.90686E-2</v>
      </c>
      <c r="AK619">
        <v>0</v>
      </c>
      <c r="AL619">
        <v>0.23492499999999999</v>
      </c>
      <c r="AM619">
        <v>5.3234399999999997</v>
      </c>
      <c r="AN619">
        <v>32.835000000000001</v>
      </c>
      <c r="AO619">
        <v>30.049199999999999</v>
      </c>
      <c r="AP619">
        <v>19.171700000000001</v>
      </c>
      <c r="AQ619">
        <v>7.8146199999999997</v>
      </c>
      <c r="AR619">
        <v>4.8060200000000002</v>
      </c>
      <c r="AS619">
        <v>0.29011900000000002</v>
      </c>
      <c r="AT619">
        <v>1.15306</v>
      </c>
      <c r="AU619">
        <v>5.7429899999999998</v>
      </c>
      <c r="AV619">
        <v>22.270499999999998</v>
      </c>
      <c r="AW619">
        <v>44.3277</v>
      </c>
      <c r="AX619">
        <v>22.2956</v>
      </c>
      <c r="AY619">
        <v>4.2101100000000002</v>
      </c>
      <c r="AZ619">
        <v>799.24199999999996</v>
      </c>
      <c r="BA619">
        <v>862.79899999999998</v>
      </c>
      <c r="BB619">
        <v>24196.5</v>
      </c>
      <c r="BC619">
        <v>0.27563399999999999</v>
      </c>
      <c r="BD619">
        <v>8.1392199999999998E-2</v>
      </c>
      <c r="BE619">
        <v>0.39145799999999997</v>
      </c>
      <c r="BF619">
        <v>0.98736500000000005</v>
      </c>
      <c r="BG619">
        <v>5.4290500000000002</v>
      </c>
      <c r="BH619">
        <v>27.304200000000002</v>
      </c>
      <c r="BI619">
        <v>65.806600000000003</v>
      </c>
      <c r="BJ619">
        <v>35.148299999999999</v>
      </c>
      <c r="BK619">
        <v>0</v>
      </c>
      <c r="BL619">
        <v>26.84</v>
      </c>
      <c r="BM619">
        <v>59.135300000000001</v>
      </c>
      <c r="BN619">
        <v>11.1556</v>
      </c>
      <c r="BO619">
        <v>1.88171</v>
      </c>
      <c r="BP619">
        <v>0.98736500000000005</v>
      </c>
      <c r="BQ619">
        <v>32.535499999999999</v>
      </c>
      <c r="BR619">
        <v>103204</v>
      </c>
    </row>
    <row r="620" spans="1:70" x14ac:dyDescent="0.25">
      <c r="A620">
        <v>47</v>
      </c>
      <c r="B620" s="7">
        <v>46013.56453703704</v>
      </c>
      <c r="C620" t="s">
        <v>181</v>
      </c>
      <c r="D620" s="6" t="s">
        <v>370</v>
      </c>
      <c r="E620" s="6" t="str">
        <f>VLOOKUP(F620,Germplasm!$A$1:$B$21,2,FALSE)</f>
        <v>Thermus</v>
      </c>
      <c r="F620" t="s">
        <v>75</v>
      </c>
      <c r="G620" s="6" t="s">
        <v>113</v>
      </c>
      <c r="H620">
        <v>46447.1</v>
      </c>
      <c r="I620">
        <v>663.09699999999998</v>
      </c>
      <c r="J620">
        <v>114482</v>
      </c>
      <c r="K620">
        <v>21.261199999999999</v>
      </c>
      <c r="L620">
        <v>57.895299999999999</v>
      </c>
      <c r="M620">
        <v>1363.4</v>
      </c>
      <c r="N620">
        <v>537.85699999999997</v>
      </c>
      <c r="O620">
        <v>36114500</v>
      </c>
      <c r="P620">
        <v>4.9487700000000003E-2</v>
      </c>
      <c r="Q620">
        <v>1.2310700000000001</v>
      </c>
      <c r="R620">
        <v>25.446000000000002</v>
      </c>
      <c r="S620">
        <v>60.602800000000002</v>
      </c>
      <c r="T620">
        <v>9.9892299999999992</v>
      </c>
      <c r="U620">
        <v>2.5620599999999998</v>
      </c>
      <c r="V620">
        <v>0.168799</v>
      </c>
      <c r="W620">
        <v>44.355899999999998</v>
      </c>
      <c r="X620">
        <v>13.049899999999999</v>
      </c>
      <c r="Y620">
        <v>52.591700000000003</v>
      </c>
      <c r="Z620">
        <v>14.7864</v>
      </c>
      <c r="AA620">
        <v>9.3256800000000002</v>
      </c>
      <c r="AB620">
        <v>3.6204499999999999</v>
      </c>
      <c r="AC620">
        <v>6.6258600000000003</v>
      </c>
      <c r="AD620">
        <v>1.9082399999999999</v>
      </c>
      <c r="AE620">
        <v>13.657500000000001</v>
      </c>
      <c r="AF620">
        <v>0</v>
      </c>
      <c r="AG620">
        <v>90.119399999999999</v>
      </c>
      <c r="AH620">
        <v>9.7505799999999994</v>
      </c>
      <c r="AI620">
        <v>0.129995</v>
      </c>
      <c r="AJ620">
        <v>0</v>
      </c>
      <c r="AK620">
        <v>0</v>
      </c>
      <c r="AL620">
        <v>0.162249</v>
      </c>
      <c r="AM620">
        <v>7.97431</v>
      </c>
      <c r="AN620">
        <v>47.788600000000002</v>
      </c>
      <c r="AO620">
        <v>29.173200000000001</v>
      </c>
      <c r="AP620">
        <v>10.0436</v>
      </c>
      <c r="AQ620">
        <v>3.2178599999999999</v>
      </c>
      <c r="AR620">
        <v>1.80247</v>
      </c>
      <c r="AS620">
        <v>0.274785</v>
      </c>
      <c r="AT620">
        <v>0.91772500000000001</v>
      </c>
      <c r="AU620">
        <v>3.63015</v>
      </c>
      <c r="AV620">
        <v>22.6434</v>
      </c>
      <c r="AW620">
        <v>54.907299999999999</v>
      </c>
      <c r="AX620">
        <v>15.611000000000001</v>
      </c>
      <c r="AY620">
        <v>2.2904300000000002</v>
      </c>
      <c r="AZ620">
        <v>777.54200000000003</v>
      </c>
      <c r="BA620">
        <v>827.399</v>
      </c>
      <c r="BB620">
        <v>24340.2</v>
      </c>
      <c r="BC620">
        <v>0.30413099999999998</v>
      </c>
      <c r="BD620">
        <v>0.25901999999999997</v>
      </c>
      <c r="BE620">
        <v>0.31140600000000002</v>
      </c>
      <c r="BF620">
        <v>0.60243899999999995</v>
      </c>
      <c r="BG620">
        <v>3.3730799999999999</v>
      </c>
      <c r="BH620">
        <v>18.419499999999999</v>
      </c>
      <c r="BI620">
        <v>77.034599999999998</v>
      </c>
      <c r="BJ620">
        <v>30.943899999999999</v>
      </c>
      <c r="BK620">
        <v>0</v>
      </c>
      <c r="BL620">
        <v>34.2973</v>
      </c>
      <c r="BM620">
        <v>58.756700000000002</v>
      </c>
      <c r="BN620">
        <v>5.6334299999999997</v>
      </c>
      <c r="BO620">
        <v>0.93809699999999996</v>
      </c>
      <c r="BP620">
        <v>0.37446299999999999</v>
      </c>
      <c r="BQ620">
        <v>31.635899999999999</v>
      </c>
      <c r="BR620">
        <v>103081</v>
      </c>
    </row>
    <row r="621" spans="1:70" x14ac:dyDescent="0.25">
      <c r="A621">
        <v>47</v>
      </c>
      <c r="B621" s="7">
        <v>46024.562337962961</v>
      </c>
      <c r="C621" t="s">
        <v>181</v>
      </c>
      <c r="D621" s="6" t="s">
        <v>371</v>
      </c>
      <c r="E621" s="6" t="str">
        <f>VLOOKUP(F621,Germplasm!$A$1:$B$21,2,FALSE)</f>
        <v>Thermus</v>
      </c>
      <c r="F621" t="s">
        <v>75</v>
      </c>
      <c r="G621" s="6" t="s">
        <v>113</v>
      </c>
      <c r="H621">
        <v>48399.4</v>
      </c>
      <c r="I621">
        <v>590.10599999999999</v>
      </c>
      <c r="J621">
        <v>140468</v>
      </c>
      <c r="K621">
        <v>18.824300000000001</v>
      </c>
      <c r="L621">
        <v>52.435000000000002</v>
      </c>
      <c r="M621">
        <v>1499.78</v>
      </c>
      <c r="N621">
        <v>601.923</v>
      </c>
      <c r="O621">
        <v>33494300</v>
      </c>
      <c r="P621">
        <v>1.1247699999999999E-2</v>
      </c>
      <c r="Q621">
        <v>0.98107299999999997</v>
      </c>
      <c r="R621">
        <v>36.887999999999998</v>
      </c>
      <c r="S621">
        <v>59.5379</v>
      </c>
      <c r="T621">
        <v>2.3401200000000002</v>
      </c>
      <c r="U621">
        <v>0.236236</v>
      </c>
      <c r="V621">
        <v>1.6675499999999999E-2</v>
      </c>
      <c r="W621">
        <v>35.024299999999997</v>
      </c>
      <c r="X621">
        <v>18.927600000000002</v>
      </c>
      <c r="Y621">
        <v>62.731299999999997</v>
      </c>
      <c r="Z621">
        <v>8.8898799999999998</v>
      </c>
      <c r="AA621">
        <v>2.6699299999999999</v>
      </c>
      <c r="AB621">
        <v>0.87082999999999999</v>
      </c>
      <c r="AC621">
        <v>5.9105299999999996</v>
      </c>
      <c r="AD621">
        <v>1.83039</v>
      </c>
      <c r="AE621">
        <v>18.955200000000001</v>
      </c>
      <c r="AF621">
        <v>0</v>
      </c>
      <c r="AG621">
        <v>75.5167</v>
      </c>
      <c r="AH621">
        <v>23.492000000000001</v>
      </c>
      <c r="AI621">
        <v>0.91900400000000004</v>
      </c>
      <c r="AJ621">
        <v>7.2260400000000002E-2</v>
      </c>
      <c r="AK621">
        <v>0</v>
      </c>
      <c r="AL621">
        <v>8.4930400000000003E-2</v>
      </c>
      <c r="AM621">
        <v>19.1555</v>
      </c>
      <c r="AN621">
        <v>58.212200000000003</v>
      </c>
      <c r="AO621">
        <v>16.995100000000001</v>
      </c>
      <c r="AP621">
        <v>4.2151899999999998</v>
      </c>
      <c r="AQ621">
        <v>1.1367100000000001</v>
      </c>
      <c r="AR621">
        <v>0.28533599999999998</v>
      </c>
      <c r="AS621">
        <v>0.27385500000000002</v>
      </c>
      <c r="AT621">
        <v>0.55028999999999995</v>
      </c>
      <c r="AU621">
        <v>3.03586</v>
      </c>
      <c r="AV621">
        <v>22.348800000000001</v>
      </c>
      <c r="AW621">
        <v>59.166400000000003</v>
      </c>
      <c r="AX621">
        <v>12.771599999999999</v>
      </c>
      <c r="AY621">
        <v>2.1270500000000001</v>
      </c>
      <c r="AZ621">
        <v>692.03899999999999</v>
      </c>
      <c r="BA621">
        <v>748.19899999999996</v>
      </c>
      <c r="BB621">
        <v>26442.1</v>
      </c>
      <c r="BC621">
        <v>0.347306</v>
      </c>
      <c r="BD621">
        <v>0.167681</v>
      </c>
      <c r="BE621">
        <v>0.316834</v>
      </c>
      <c r="BF621">
        <v>0.60587500000000005</v>
      </c>
      <c r="BG621">
        <v>2.4939100000000001</v>
      </c>
      <c r="BH621">
        <v>10.3508</v>
      </c>
      <c r="BI621">
        <v>86.064899999999994</v>
      </c>
      <c r="BJ621">
        <v>28.888300000000001</v>
      </c>
      <c r="BK621">
        <v>0</v>
      </c>
      <c r="BL621">
        <v>40.435200000000002</v>
      </c>
      <c r="BM621">
        <v>54.428699999999999</v>
      </c>
      <c r="BN621">
        <v>3.9604200000000001</v>
      </c>
      <c r="BO621">
        <v>0.77355600000000002</v>
      </c>
      <c r="BP621">
        <v>0.40206399999999998</v>
      </c>
      <c r="BQ621">
        <v>33.1524</v>
      </c>
      <c r="BR621">
        <v>107943</v>
      </c>
    </row>
    <row r="622" spans="1:70" x14ac:dyDescent="0.25">
      <c r="A622">
        <v>48</v>
      </c>
      <c r="B622" s="7">
        <v>45952.577488425923</v>
      </c>
      <c r="C622" t="s">
        <v>182</v>
      </c>
      <c r="D622" s="6" t="s">
        <v>372</v>
      </c>
      <c r="E622" s="6" t="str">
        <f>VLOOKUP(F622,Germplasm!$A$1:$B$21,2,FALSE)</f>
        <v>Ismena</v>
      </c>
      <c r="F622" t="s">
        <v>63</v>
      </c>
      <c r="G622" s="6" t="s">
        <v>113</v>
      </c>
      <c r="H622">
        <v>28772.1</v>
      </c>
      <c r="I622">
        <v>229.749</v>
      </c>
      <c r="J622">
        <v>126304</v>
      </c>
      <c r="K622">
        <v>13.2613</v>
      </c>
      <c r="L622">
        <v>72.476500000000001</v>
      </c>
      <c r="M622">
        <v>1386.42</v>
      </c>
      <c r="N622">
        <v>489.11200000000002</v>
      </c>
      <c r="O622">
        <v>7730140</v>
      </c>
      <c r="P622">
        <v>0.20449000000000001</v>
      </c>
      <c r="Q622">
        <v>0.426151</v>
      </c>
      <c r="R622">
        <v>7.7417499999999997</v>
      </c>
      <c r="S622">
        <v>25.91</v>
      </c>
      <c r="T622">
        <v>38.708799999999997</v>
      </c>
      <c r="U622">
        <v>26.9878</v>
      </c>
      <c r="V622">
        <v>0.22550500000000001</v>
      </c>
      <c r="W622">
        <v>114.771</v>
      </c>
      <c r="X622">
        <v>2.5373800000000002</v>
      </c>
      <c r="Y622">
        <v>3.7892000000000001</v>
      </c>
      <c r="Z622">
        <v>5.0410199999999996</v>
      </c>
      <c r="AA622">
        <v>16.834800000000001</v>
      </c>
      <c r="AB622">
        <v>34.333599999999997</v>
      </c>
      <c r="AC622">
        <v>37.463999999999999</v>
      </c>
      <c r="AD622">
        <v>1.71777</v>
      </c>
      <c r="AE622">
        <v>16.147600000000001</v>
      </c>
      <c r="AF622">
        <v>0</v>
      </c>
      <c r="AG622">
        <v>87.485399999999998</v>
      </c>
      <c r="AH622">
        <v>1.36191</v>
      </c>
      <c r="AI622">
        <v>2.0526300000000002</v>
      </c>
      <c r="AJ622">
        <v>9.1001100000000008</v>
      </c>
      <c r="AK622">
        <v>0</v>
      </c>
      <c r="AL622">
        <v>0.44872699999999999</v>
      </c>
      <c r="AM622">
        <v>10.9468</v>
      </c>
      <c r="AN622">
        <v>4.9149500000000002</v>
      </c>
      <c r="AO622">
        <v>5.1919500000000003</v>
      </c>
      <c r="AP622">
        <v>12.612299999999999</v>
      </c>
      <c r="AQ622">
        <v>37.474699999999999</v>
      </c>
      <c r="AR622">
        <v>28.859300000000001</v>
      </c>
      <c r="AS622">
        <v>3.4968399999999997E-2</v>
      </c>
      <c r="AT622">
        <v>7.0155200000000004</v>
      </c>
      <c r="AU622">
        <v>35.365200000000002</v>
      </c>
      <c r="AV622">
        <v>42.835299999999997</v>
      </c>
      <c r="AW622">
        <v>11.135</v>
      </c>
      <c r="AX622">
        <v>2.53383</v>
      </c>
      <c r="AY622">
        <v>1.1151</v>
      </c>
      <c r="AZ622">
        <v>268.66800000000001</v>
      </c>
      <c r="BA622">
        <v>287.399</v>
      </c>
      <c r="BB622">
        <v>16749.599999999999</v>
      </c>
      <c r="BC622">
        <v>2.7677499999999998E-3</v>
      </c>
      <c r="BD622">
        <v>0.80791199999999996</v>
      </c>
      <c r="BE622">
        <v>0.97482199999999997</v>
      </c>
      <c r="BF622">
        <v>3.41276</v>
      </c>
      <c r="BG622">
        <v>37.185299999999998</v>
      </c>
      <c r="BH622">
        <v>51.866199999999999</v>
      </c>
      <c r="BI622">
        <v>5.75305</v>
      </c>
      <c r="BJ622">
        <v>32.233199999999997</v>
      </c>
      <c r="BK622">
        <v>0</v>
      </c>
      <c r="BL622">
        <v>34.987000000000002</v>
      </c>
      <c r="BM622">
        <v>54.108800000000002</v>
      </c>
      <c r="BN622">
        <v>8.1110799999999994</v>
      </c>
      <c r="BO622">
        <v>1.4063000000000001</v>
      </c>
      <c r="BP622">
        <v>1.3867700000000001</v>
      </c>
      <c r="BQ622">
        <v>35.626800000000003</v>
      </c>
      <c r="BR622">
        <v>56318</v>
      </c>
    </row>
    <row r="623" spans="1:70" x14ac:dyDescent="0.25">
      <c r="A623">
        <v>48</v>
      </c>
      <c r="B623" s="7">
        <v>45959.54414351852</v>
      </c>
      <c r="C623" t="s">
        <v>182</v>
      </c>
      <c r="D623" s="6" t="s">
        <v>373</v>
      </c>
      <c r="E623" s="6" t="str">
        <f>VLOOKUP(F623,Germplasm!$A$1:$B$21,2,FALSE)</f>
        <v>Ismena</v>
      </c>
      <c r="F623" t="s">
        <v>63</v>
      </c>
      <c r="G623" s="6" t="s">
        <v>113</v>
      </c>
      <c r="H623">
        <v>52593.7</v>
      </c>
      <c r="I623">
        <v>293.30700000000002</v>
      </c>
      <c r="J623">
        <v>205581</v>
      </c>
      <c r="K623">
        <v>15.5649</v>
      </c>
      <c r="L623">
        <v>80.868099999999998</v>
      </c>
      <c r="M623">
        <v>1694.51</v>
      </c>
      <c r="N623">
        <v>591.10799999999995</v>
      </c>
      <c r="O623">
        <v>19110200</v>
      </c>
      <c r="P623">
        <v>0.199934</v>
      </c>
      <c r="Q623">
        <v>0.67830599999999996</v>
      </c>
      <c r="R623">
        <v>7.0461999999999998</v>
      </c>
      <c r="S623">
        <v>27.3386</v>
      </c>
      <c r="T623">
        <v>39.471200000000003</v>
      </c>
      <c r="U623">
        <v>24.8734</v>
      </c>
      <c r="V623">
        <v>0.59226500000000004</v>
      </c>
      <c r="W623">
        <v>121.53</v>
      </c>
      <c r="X623">
        <v>2.27216</v>
      </c>
      <c r="Y623">
        <v>3.5510799999999998</v>
      </c>
      <c r="Z623">
        <v>4.0389299999999997</v>
      </c>
      <c r="AA623">
        <v>12.857699999999999</v>
      </c>
      <c r="AB623">
        <v>30.465299999999999</v>
      </c>
      <c r="AC623">
        <v>46.814799999999998</v>
      </c>
      <c r="AD623">
        <v>1.6436299999999999</v>
      </c>
      <c r="AE623">
        <v>13.8314</v>
      </c>
      <c r="AF623">
        <v>0</v>
      </c>
      <c r="AG623">
        <v>89.425299999999993</v>
      </c>
      <c r="AH623">
        <v>1.30315</v>
      </c>
      <c r="AI623">
        <v>2.1343200000000002</v>
      </c>
      <c r="AJ623">
        <v>7.1372499999999999</v>
      </c>
      <c r="AK623">
        <v>0</v>
      </c>
      <c r="AL623">
        <v>0.46034999999999998</v>
      </c>
      <c r="AM623">
        <v>9.5589300000000001</v>
      </c>
      <c r="AN623">
        <v>4.4925199999999998</v>
      </c>
      <c r="AO623">
        <v>5.9811199999999998</v>
      </c>
      <c r="AP623">
        <v>13.703099999999999</v>
      </c>
      <c r="AQ623">
        <v>35.199199999999998</v>
      </c>
      <c r="AR623">
        <v>31.065100000000001</v>
      </c>
      <c r="AS623">
        <v>9.0900900000000003E-3</v>
      </c>
      <c r="AT623">
        <v>9.3592899999999997</v>
      </c>
      <c r="AU623">
        <v>42.1736</v>
      </c>
      <c r="AV623">
        <v>36.600099999999998</v>
      </c>
      <c r="AW623">
        <v>8.0795300000000001</v>
      </c>
      <c r="AX623">
        <v>2.0858699999999999</v>
      </c>
      <c r="AY623">
        <v>1.7016100000000001</v>
      </c>
      <c r="AZ623">
        <v>363.35599999999999</v>
      </c>
      <c r="BA623">
        <v>493.8</v>
      </c>
      <c r="BB623">
        <v>31998.5</v>
      </c>
      <c r="BC623">
        <v>-1.29932E-2</v>
      </c>
      <c r="BD623">
        <v>0.67997700000000005</v>
      </c>
      <c r="BE623">
        <v>0.93559400000000004</v>
      </c>
      <c r="BF623">
        <v>4.4474099999999996</v>
      </c>
      <c r="BG623">
        <v>45.469099999999997</v>
      </c>
      <c r="BH623">
        <v>43.186900000000001</v>
      </c>
      <c r="BI623">
        <v>5.2811000000000003</v>
      </c>
      <c r="BJ623">
        <v>30.952000000000002</v>
      </c>
      <c r="BK623">
        <v>0</v>
      </c>
      <c r="BL623">
        <v>38.539000000000001</v>
      </c>
      <c r="BM623">
        <v>51.948900000000002</v>
      </c>
      <c r="BN623">
        <v>6.8248300000000004</v>
      </c>
      <c r="BO623">
        <v>1.2622199999999999</v>
      </c>
      <c r="BP623">
        <v>1.4251100000000001</v>
      </c>
      <c r="BQ623">
        <v>37.521799999999999</v>
      </c>
      <c r="BR623">
        <v>119710</v>
      </c>
    </row>
    <row r="624" spans="1:70" x14ac:dyDescent="0.25">
      <c r="A624">
        <v>48</v>
      </c>
      <c r="B624" s="7">
        <v>45966.535497685189</v>
      </c>
      <c r="C624" t="s">
        <v>182</v>
      </c>
      <c r="D624" s="6" t="s">
        <v>374</v>
      </c>
      <c r="E624" s="6" t="str">
        <f>VLOOKUP(F624,Germplasm!$A$1:$B$21,2,FALSE)</f>
        <v>Ismena</v>
      </c>
      <c r="F624" t="s">
        <v>63</v>
      </c>
      <c r="G624" s="6" t="s">
        <v>113</v>
      </c>
      <c r="H624">
        <v>43770.1</v>
      </c>
      <c r="I624">
        <v>421.99599999999998</v>
      </c>
      <c r="J624">
        <v>223500</v>
      </c>
      <c r="K624">
        <v>12.2996</v>
      </c>
      <c r="L624">
        <v>88.951300000000003</v>
      </c>
      <c r="M624">
        <v>1758.12</v>
      </c>
      <c r="N624">
        <v>604.22400000000005</v>
      </c>
      <c r="O624">
        <v>22066700</v>
      </c>
      <c r="P624">
        <v>0.22791600000000001</v>
      </c>
      <c r="Q624">
        <v>0.23776</v>
      </c>
      <c r="R624">
        <v>4.5490700000000004</v>
      </c>
      <c r="S624">
        <v>22.403500000000001</v>
      </c>
      <c r="T624">
        <v>42.025300000000001</v>
      </c>
      <c r="U624">
        <v>30.229199999999999</v>
      </c>
      <c r="V624">
        <v>0.55511299999999997</v>
      </c>
      <c r="W624">
        <v>120.901</v>
      </c>
      <c r="X624">
        <v>1.3826799999999999</v>
      </c>
      <c r="Y624">
        <v>2.6408700000000001</v>
      </c>
      <c r="Z624">
        <v>3.4470100000000001</v>
      </c>
      <c r="AA624">
        <v>11.753299999999999</v>
      </c>
      <c r="AB624">
        <v>36.2956</v>
      </c>
      <c r="AC624">
        <v>44.480499999999999</v>
      </c>
      <c r="AD624">
        <v>1.5922400000000001</v>
      </c>
      <c r="AE624">
        <v>11.299200000000001</v>
      </c>
      <c r="AF624">
        <v>0</v>
      </c>
      <c r="AG624">
        <v>92.696799999999996</v>
      </c>
      <c r="AH624">
        <v>0.98675500000000005</v>
      </c>
      <c r="AI624">
        <v>1.2061500000000001</v>
      </c>
      <c r="AJ624">
        <v>5.1103100000000001</v>
      </c>
      <c r="AK624">
        <v>0</v>
      </c>
      <c r="AL624">
        <v>0.50521400000000005</v>
      </c>
      <c r="AM624">
        <v>6.7787100000000002</v>
      </c>
      <c r="AN624">
        <v>3.6031300000000002</v>
      </c>
      <c r="AO624">
        <v>4.7552000000000003</v>
      </c>
      <c r="AP624">
        <v>10.441000000000001</v>
      </c>
      <c r="AQ624">
        <v>33.005800000000001</v>
      </c>
      <c r="AR624">
        <v>41.416200000000003</v>
      </c>
      <c r="AS624">
        <v>1.12239E-2</v>
      </c>
      <c r="AT624">
        <v>6.1919599999999999</v>
      </c>
      <c r="AU624">
        <v>44.833599999999997</v>
      </c>
      <c r="AV624">
        <v>38.4681</v>
      </c>
      <c r="AW624">
        <v>7.8807700000000001</v>
      </c>
      <c r="AX624">
        <v>1.66534</v>
      </c>
      <c r="AY624">
        <v>0.96022399999999997</v>
      </c>
      <c r="AZ624">
        <v>504.15100000000001</v>
      </c>
      <c r="BA624">
        <v>622.79899999999998</v>
      </c>
      <c r="BB624">
        <v>27489.599999999999</v>
      </c>
      <c r="BC624">
        <v>-4.6136199999999997E-3</v>
      </c>
      <c r="BD624">
        <v>0.343885</v>
      </c>
      <c r="BE624">
        <v>0.37449700000000002</v>
      </c>
      <c r="BF624">
        <v>2.5398499999999999</v>
      </c>
      <c r="BG624">
        <v>47.767299999999999</v>
      </c>
      <c r="BH624">
        <v>45.103999999999999</v>
      </c>
      <c r="BI624">
        <v>3.8704900000000002</v>
      </c>
      <c r="BJ624">
        <v>31.021000000000001</v>
      </c>
      <c r="BK624">
        <v>0</v>
      </c>
      <c r="BL624">
        <v>34.734400000000001</v>
      </c>
      <c r="BM624">
        <v>57.320599999999999</v>
      </c>
      <c r="BN624">
        <v>6.4154400000000003</v>
      </c>
      <c r="BO624">
        <v>0.848997</v>
      </c>
      <c r="BP624">
        <v>0.68062599999999995</v>
      </c>
      <c r="BQ624">
        <v>38.953299999999999</v>
      </c>
      <c r="BR624">
        <v>97998</v>
      </c>
    </row>
    <row r="625" spans="1:70" x14ac:dyDescent="0.25">
      <c r="A625">
        <v>48</v>
      </c>
      <c r="B625" s="7">
        <v>45973.570625</v>
      </c>
      <c r="C625" t="s">
        <v>182</v>
      </c>
      <c r="D625" s="6" t="s">
        <v>375</v>
      </c>
      <c r="E625" s="6" t="str">
        <f>VLOOKUP(F625,Germplasm!$A$1:$B$21,2,FALSE)</f>
        <v>Ismena</v>
      </c>
      <c r="F625" t="s">
        <v>63</v>
      </c>
      <c r="G625" s="6" t="s">
        <v>113</v>
      </c>
      <c r="H625">
        <v>39185.9</v>
      </c>
      <c r="I625">
        <v>483.45100000000002</v>
      </c>
      <c r="J625">
        <v>183953</v>
      </c>
      <c r="K625">
        <v>13.2</v>
      </c>
      <c r="L625">
        <v>68.638800000000003</v>
      </c>
      <c r="M625">
        <v>1650.59</v>
      </c>
      <c r="N625">
        <v>629.721</v>
      </c>
      <c r="O625">
        <v>22192100</v>
      </c>
      <c r="P625">
        <v>0.21329999999999999</v>
      </c>
      <c r="Q625">
        <v>0.228551</v>
      </c>
      <c r="R625">
        <v>5.0372500000000002</v>
      </c>
      <c r="S625">
        <v>25.2605</v>
      </c>
      <c r="T625">
        <v>42.8018</v>
      </c>
      <c r="U625">
        <v>26.386199999999999</v>
      </c>
      <c r="V625">
        <v>0.285688</v>
      </c>
      <c r="W625">
        <v>117.56399999999999</v>
      </c>
      <c r="X625">
        <v>1.8444</v>
      </c>
      <c r="Y625">
        <v>3.0454400000000001</v>
      </c>
      <c r="Z625">
        <v>3.65795</v>
      </c>
      <c r="AA625">
        <v>13.550800000000001</v>
      </c>
      <c r="AB625">
        <v>38.093699999999998</v>
      </c>
      <c r="AC625">
        <v>39.8078</v>
      </c>
      <c r="AD625">
        <v>1.6137999999999999</v>
      </c>
      <c r="AE625">
        <v>12.889699999999999</v>
      </c>
      <c r="AF625">
        <v>0</v>
      </c>
      <c r="AG625">
        <v>91.668199999999999</v>
      </c>
      <c r="AH625">
        <v>1.3575900000000001</v>
      </c>
      <c r="AI625">
        <v>1.17475</v>
      </c>
      <c r="AJ625">
        <v>5.7994700000000003</v>
      </c>
      <c r="AK625">
        <v>0</v>
      </c>
      <c r="AL625">
        <v>0.480929</v>
      </c>
      <c r="AM625">
        <v>7.5238800000000001</v>
      </c>
      <c r="AN625">
        <v>4.1059099999999997</v>
      </c>
      <c r="AO625">
        <v>6.7159599999999999</v>
      </c>
      <c r="AP625">
        <v>13.3439</v>
      </c>
      <c r="AQ625">
        <v>30.933199999999999</v>
      </c>
      <c r="AR625">
        <v>37.377200000000002</v>
      </c>
      <c r="AS625">
        <v>2.1392499999999998E-2</v>
      </c>
      <c r="AT625">
        <v>4.7789900000000003</v>
      </c>
      <c r="AU625">
        <v>41.545900000000003</v>
      </c>
      <c r="AV625">
        <v>43.567399999999999</v>
      </c>
      <c r="AW625">
        <v>8.0015499999999999</v>
      </c>
      <c r="AX625">
        <v>1.4204399999999999</v>
      </c>
      <c r="AY625">
        <v>0.68565200000000004</v>
      </c>
      <c r="AZ625">
        <v>566.32799999999997</v>
      </c>
      <c r="BA625">
        <v>685.2</v>
      </c>
      <c r="BB625">
        <v>24281.8</v>
      </c>
      <c r="BC625">
        <v>5.97665E-3</v>
      </c>
      <c r="BD625">
        <v>0.351968</v>
      </c>
      <c r="BE625">
        <v>0.26740399999999998</v>
      </c>
      <c r="BF625">
        <v>2.1575199999999999</v>
      </c>
      <c r="BG625">
        <v>43.548000000000002</v>
      </c>
      <c r="BH625">
        <v>49.112099999999998</v>
      </c>
      <c r="BI625">
        <v>4.5630100000000002</v>
      </c>
      <c r="BJ625">
        <v>29.3141</v>
      </c>
      <c r="BK625">
        <v>0</v>
      </c>
      <c r="BL625">
        <v>38.993000000000002</v>
      </c>
      <c r="BM625">
        <v>55.056699999999999</v>
      </c>
      <c r="BN625">
        <v>4.7435700000000001</v>
      </c>
      <c r="BO625">
        <v>0.65022599999999997</v>
      </c>
      <c r="BP625">
        <v>0.55652100000000004</v>
      </c>
      <c r="BQ625">
        <v>38.333799999999997</v>
      </c>
      <c r="BR625">
        <v>87508</v>
      </c>
    </row>
    <row r="626" spans="1:70" x14ac:dyDescent="0.25">
      <c r="A626">
        <v>48</v>
      </c>
      <c r="B626" s="7">
        <v>45988.583032407405</v>
      </c>
      <c r="C626" t="s">
        <v>182</v>
      </c>
      <c r="D626" s="6" t="s">
        <v>376</v>
      </c>
      <c r="E626" s="6" t="str">
        <f>VLOOKUP(F626,Germplasm!$A$1:$B$21,2,FALSE)</f>
        <v>Ismena</v>
      </c>
      <c r="F626" t="s">
        <v>63</v>
      </c>
      <c r="G626" s="6" t="s">
        <v>113</v>
      </c>
      <c r="H626">
        <v>69733.2</v>
      </c>
      <c r="I626">
        <v>591.79399999999998</v>
      </c>
      <c r="J626">
        <v>193872</v>
      </c>
      <c r="K626">
        <v>20.427800000000001</v>
      </c>
      <c r="L626">
        <v>80.545699999999997</v>
      </c>
      <c r="M626">
        <v>1641.12</v>
      </c>
      <c r="N626">
        <v>568.35199999999998</v>
      </c>
      <c r="O626">
        <v>48468500</v>
      </c>
      <c r="P626">
        <v>0.19958500000000001</v>
      </c>
      <c r="Q626">
        <v>0.65092799999999995</v>
      </c>
      <c r="R626">
        <v>6.2637200000000002</v>
      </c>
      <c r="S626">
        <v>27.578099999999999</v>
      </c>
      <c r="T626">
        <v>43.058700000000002</v>
      </c>
      <c r="U626">
        <v>21.6723</v>
      </c>
      <c r="V626">
        <v>0.77630699999999997</v>
      </c>
      <c r="W626">
        <v>101.851</v>
      </c>
      <c r="X626">
        <v>2.9538600000000002</v>
      </c>
      <c r="Y626">
        <v>6.2825600000000001</v>
      </c>
      <c r="Z626">
        <v>7.6760200000000003</v>
      </c>
      <c r="AA626">
        <v>26.075500000000002</v>
      </c>
      <c r="AB626">
        <v>34.0854</v>
      </c>
      <c r="AC626">
        <v>22.9267</v>
      </c>
      <c r="AD626">
        <v>1.7607699999999999</v>
      </c>
      <c r="AE626">
        <v>11.044499999999999</v>
      </c>
      <c r="AF626">
        <v>0</v>
      </c>
      <c r="AG626">
        <v>94.541200000000003</v>
      </c>
      <c r="AH626">
        <v>1.24274</v>
      </c>
      <c r="AI626">
        <v>0.79969299999999999</v>
      </c>
      <c r="AJ626">
        <v>3.4163999999999999</v>
      </c>
      <c r="AK626">
        <v>0</v>
      </c>
      <c r="AL626">
        <v>0.40141399999999999</v>
      </c>
      <c r="AM626">
        <v>6.0974199999999996</v>
      </c>
      <c r="AN626">
        <v>8.7102299999999993</v>
      </c>
      <c r="AO626">
        <v>14.043699999999999</v>
      </c>
      <c r="AP626">
        <v>22.5044</v>
      </c>
      <c r="AQ626">
        <v>31.290700000000001</v>
      </c>
      <c r="AR626">
        <v>17.3535</v>
      </c>
      <c r="AS626">
        <v>0.11668000000000001</v>
      </c>
      <c r="AT626">
        <v>2.1385800000000001</v>
      </c>
      <c r="AU626">
        <v>24.326699999999999</v>
      </c>
      <c r="AV626">
        <v>45.795000000000002</v>
      </c>
      <c r="AW626">
        <v>20.3262</v>
      </c>
      <c r="AX626">
        <v>5.2106700000000004</v>
      </c>
      <c r="AY626">
        <v>2.20289</v>
      </c>
      <c r="AZ626">
        <v>695.05499999999995</v>
      </c>
      <c r="BA626">
        <v>759.601</v>
      </c>
      <c r="BB626">
        <v>39603.699999999997</v>
      </c>
      <c r="BC626">
        <v>7.7515500000000001E-2</v>
      </c>
      <c r="BD626">
        <v>0.387179</v>
      </c>
      <c r="BE626">
        <v>0.36769000000000002</v>
      </c>
      <c r="BF626">
        <v>1.34863</v>
      </c>
      <c r="BG626">
        <v>24.358499999999999</v>
      </c>
      <c r="BH626">
        <v>57.439599999999999</v>
      </c>
      <c r="BI626">
        <v>16.098500000000001</v>
      </c>
      <c r="BJ626">
        <v>31.653600000000001</v>
      </c>
      <c r="BK626">
        <v>0</v>
      </c>
      <c r="BL626">
        <v>37.313400000000001</v>
      </c>
      <c r="BM626">
        <v>51.550699999999999</v>
      </c>
      <c r="BN626">
        <v>8.1697299999999995</v>
      </c>
      <c r="BO626">
        <v>1.55196</v>
      </c>
      <c r="BP626">
        <v>1.4142399999999999</v>
      </c>
      <c r="BQ626">
        <v>34.6554</v>
      </c>
      <c r="BR626">
        <v>153934</v>
      </c>
    </row>
    <row r="627" spans="1:70" x14ac:dyDescent="0.25">
      <c r="A627">
        <v>48</v>
      </c>
      <c r="B627" s="7">
        <v>45994.561041666668</v>
      </c>
      <c r="C627" t="s">
        <v>182</v>
      </c>
      <c r="D627" s="6" t="s">
        <v>377</v>
      </c>
      <c r="E627" s="6" t="str">
        <f>VLOOKUP(F627,Germplasm!$A$1:$B$21,2,FALSE)</f>
        <v>Ismena</v>
      </c>
      <c r="F627" t="s">
        <v>63</v>
      </c>
      <c r="G627" s="6" t="s">
        <v>113</v>
      </c>
      <c r="H627">
        <v>66079</v>
      </c>
      <c r="I627">
        <v>631.38099999999997</v>
      </c>
      <c r="J627">
        <v>200290</v>
      </c>
      <c r="K627">
        <v>18.459900000000001</v>
      </c>
      <c r="L627">
        <v>86.177599999999998</v>
      </c>
      <c r="M627">
        <v>1680.23</v>
      </c>
      <c r="N627">
        <v>596.80200000000002</v>
      </c>
      <c r="O627">
        <v>48000600</v>
      </c>
      <c r="P627">
        <v>0.19059899999999999</v>
      </c>
      <c r="Q627">
        <v>0.71233100000000005</v>
      </c>
      <c r="R627">
        <v>7.6934500000000003</v>
      </c>
      <c r="S627">
        <v>27.5349</v>
      </c>
      <c r="T627">
        <v>43.338299999999997</v>
      </c>
      <c r="U627">
        <v>20.151499999999999</v>
      </c>
      <c r="V627">
        <v>0.56946099999999999</v>
      </c>
      <c r="W627">
        <v>98.146900000000002</v>
      </c>
      <c r="X627">
        <v>3.94916</v>
      </c>
      <c r="Y627">
        <v>7.6509900000000002</v>
      </c>
      <c r="Z627">
        <v>7.9158400000000002</v>
      </c>
      <c r="AA627">
        <v>27.501899999999999</v>
      </c>
      <c r="AB627">
        <v>32.5381</v>
      </c>
      <c r="AC627">
        <v>20.443999999999999</v>
      </c>
      <c r="AD627">
        <v>1.78721</v>
      </c>
      <c r="AE627">
        <v>11.3972</v>
      </c>
      <c r="AF627">
        <v>0</v>
      </c>
      <c r="AG627">
        <v>93.750100000000003</v>
      </c>
      <c r="AH627">
        <v>1.76634</v>
      </c>
      <c r="AI627">
        <v>0.75546199999999997</v>
      </c>
      <c r="AJ627">
        <v>3.72811</v>
      </c>
      <c r="AK627">
        <v>0</v>
      </c>
      <c r="AL627">
        <v>0.38187500000000002</v>
      </c>
      <c r="AM627">
        <v>6.1353499999999999</v>
      </c>
      <c r="AN627">
        <v>10.4686</v>
      </c>
      <c r="AO627">
        <v>13.891500000000001</v>
      </c>
      <c r="AP627">
        <v>25.006399999999999</v>
      </c>
      <c r="AQ627">
        <v>32.080500000000001</v>
      </c>
      <c r="AR627">
        <v>12.4176</v>
      </c>
      <c r="AS627">
        <v>0.12854199999999999</v>
      </c>
      <c r="AT627">
        <v>1.7885800000000001</v>
      </c>
      <c r="AU627">
        <v>21.2392</v>
      </c>
      <c r="AV627">
        <v>47.0961</v>
      </c>
      <c r="AW627">
        <v>22.653099999999998</v>
      </c>
      <c r="AX627">
        <v>5.0206900000000001</v>
      </c>
      <c r="AY627">
        <v>2.2023600000000001</v>
      </c>
      <c r="AZ627">
        <v>726.41200000000003</v>
      </c>
      <c r="BA627">
        <v>805.79899999999998</v>
      </c>
      <c r="BB627">
        <v>36973.300000000003</v>
      </c>
      <c r="BC627">
        <v>9.1713000000000003E-2</v>
      </c>
      <c r="BD627">
        <v>0.27091500000000002</v>
      </c>
      <c r="BE627">
        <v>0.32819799999999999</v>
      </c>
      <c r="BF627">
        <v>1.32155</v>
      </c>
      <c r="BG627">
        <v>21.105799999999999</v>
      </c>
      <c r="BH627">
        <v>58.427999999999997</v>
      </c>
      <c r="BI627">
        <v>18.545500000000001</v>
      </c>
      <c r="BJ627">
        <v>31.5578</v>
      </c>
      <c r="BK627">
        <v>0</v>
      </c>
      <c r="BL627">
        <v>36.542499999999997</v>
      </c>
      <c r="BM627">
        <v>53.260399999999997</v>
      </c>
      <c r="BN627">
        <v>7.4339899999999997</v>
      </c>
      <c r="BO627">
        <v>1.4805999999999999</v>
      </c>
      <c r="BP627">
        <v>1.28247</v>
      </c>
      <c r="BQ627">
        <v>34.068199999999997</v>
      </c>
      <c r="BR627">
        <v>148386</v>
      </c>
    </row>
    <row r="628" spans="1:70" x14ac:dyDescent="0.25">
      <c r="A628">
        <v>48</v>
      </c>
      <c r="B628" s="7">
        <v>46002.588009259256</v>
      </c>
      <c r="C628" t="s">
        <v>182</v>
      </c>
      <c r="D628" s="6" t="s">
        <v>378</v>
      </c>
      <c r="E628" s="6" t="str">
        <f>VLOOKUP(F628,Germplasm!$A$1:$B$21,2,FALSE)</f>
        <v>Ismena</v>
      </c>
      <c r="F628" t="s">
        <v>63</v>
      </c>
      <c r="G628" s="6" t="s">
        <v>113</v>
      </c>
      <c r="H628">
        <v>60375.8</v>
      </c>
      <c r="I628">
        <v>553.05999999999995</v>
      </c>
      <c r="J628">
        <v>190273</v>
      </c>
      <c r="K628">
        <v>18.6724</v>
      </c>
      <c r="L628">
        <v>72.867699999999999</v>
      </c>
      <c r="M628">
        <v>1643.24</v>
      </c>
      <c r="N628">
        <v>608.36199999999997</v>
      </c>
      <c r="O628">
        <v>40173400</v>
      </c>
      <c r="P628">
        <v>0.19775300000000001</v>
      </c>
      <c r="Q628">
        <v>0.69371000000000005</v>
      </c>
      <c r="R628">
        <v>8.2388499999999993</v>
      </c>
      <c r="S628">
        <v>25.8186</v>
      </c>
      <c r="T628">
        <v>41.5411</v>
      </c>
      <c r="U628">
        <v>22.955300000000001</v>
      </c>
      <c r="V628">
        <v>0.75244100000000003</v>
      </c>
      <c r="W628">
        <v>89.635999999999996</v>
      </c>
      <c r="X628">
        <v>4.4220600000000001</v>
      </c>
      <c r="Y628">
        <v>9.51295</v>
      </c>
      <c r="Z628">
        <v>11.411</v>
      </c>
      <c r="AA628">
        <v>35.131900000000002</v>
      </c>
      <c r="AB628">
        <v>25.8718</v>
      </c>
      <c r="AC628">
        <v>13.6503</v>
      </c>
      <c r="AD628">
        <v>1.69936</v>
      </c>
      <c r="AE628">
        <v>11.952199999999999</v>
      </c>
      <c r="AF628">
        <v>0</v>
      </c>
      <c r="AG628">
        <v>93.246700000000004</v>
      </c>
      <c r="AH628">
        <v>2.31053</v>
      </c>
      <c r="AI628">
        <v>0.76626000000000005</v>
      </c>
      <c r="AJ628">
        <v>3.6765300000000001</v>
      </c>
      <c r="AK628">
        <v>0</v>
      </c>
      <c r="AL628">
        <v>0.359041</v>
      </c>
      <c r="AM628">
        <v>6.7526200000000003</v>
      </c>
      <c r="AN628">
        <v>12.3127</v>
      </c>
      <c r="AO628">
        <v>16.223400000000002</v>
      </c>
      <c r="AP628">
        <v>26.636700000000001</v>
      </c>
      <c r="AQ628">
        <v>27.0471</v>
      </c>
      <c r="AR628">
        <v>11.0275</v>
      </c>
      <c r="AS628">
        <v>0.18318300000000001</v>
      </c>
      <c r="AT628">
        <v>1.5705199999999999</v>
      </c>
      <c r="AU628">
        <v>13.4361</v>
      </c>
      <c r="AV628">
        <v>40.2988</v>
      </c>
      <c r="AW628">
        <v>33.702300000000001</v>
      </c>
      <c r="AX628">
        <v>8.3998399999999993</v>
      </c>
      <c r="AY628">
        <v>2.5924299999999998</v>
      </c>
      <c r="AZ628">
        <v>665.38900000000001</v>
      </c>
      <c r="BA628">
        <v>733.79899999999998</v>
      </c>
      <c r="BB628">
        <v>35528.6</v>
      </c>
      <c r="BC628">
        <v>0.13438700000000001</v>
      </c>
      <c r="BD628">
        <v>0.29296100000000003</v>
      </c>
      <c r="BE628">
        <v>0.37172899999999998</v>
      </c>
      <c r="BF628">
        <v>1.1504300000000001</v>
      </c>
      <c r="BG628">
        <v>13.190899999999999</v>
      </c>
      <c r="BH628">
        <v>56.1753</v>
      </c>
      <c r="BI628">
        <v>28.8187</v>
      </c>
      <c r="BJ628">
        <v>34.823300000000003</v>
      </c>
      <c r="BK628">
        <v>0</v>
      </c>
      <c r="BL628">
        <v>28.283200000000001</v>
      </c>
      <c r="BM628">
        <v>57.962800000000001</v>
      </c>
      <c r="BN628">
        <v>10.7014</v>
      </c>
      <c r="BO628">
        <v>1.7633000000000001</v>
      </c>
      <c r="BP628">
        <v>1.28931</v>
      </c>
      <c r="BQ628">
        <v>36.094099999999997</v>
      </c>
      <c r="BR628">
        <v>144729</v>
      </c>
    </row>
    <row r="629" spans="1:70" x14ac:dyDescent="0.25">
      <c r="A629">
        <v>48</v>
      </c>
      <c r="B629" s="7">
        <v>46013.566400462965</v>
      </c>
      <c r="C629" t="s">
        <v>182</v>
      </c>
      <c r="D629" s="6" t="s">
        <v>379</v>
      </c>
      <c r="E629" s="6" t="str">
        <f>VLOOKUP(F629,Germplasm!$A$1:$B$21,2,FALSE)</f>
        <v>Ismena</v>
      </c>
      <c r="F629" t="s">
        <v>63</v>
      </c>
      <c r="G629" s="6" t="s">
        <v>113</v>
      </c>
      <c r="H629">
        <v>44361.8</v>
      </c>
      <c r="I629">
        <v>565.23900000000003</v>
      </c>
      <c r="J629">
        <v>147586</v>
      </c>
      <c r="K629">
        <v>17.318200000000001</v>
      </c>
      <c r="L629">
        <v>84.225499999999997</v>
      </c>
      <c r="M629">
        <v>1426.67</v>
      </c>
      <c r="N629">
        <v>500.459</v>
      </c>
      <c r="O629">
        <v>29034400</v>
      </c>
      <c r="P629">
        <v>0.11450200000000001</v>
      </c>
      <c r="Q629">
        <v>0.774397</v>
      </c>
      <c r="R629">
        <v>12.757999999999999</v>
      </c>
      <c r="S629">
        <v>52.6845</v>
      </c>
      <c r="T629">
        <v>24.739699999999999</v>
      </c>
      <c r="U629">
        <v>8.9051100000000005</v>
      </c>
      <c r="V629">
        <v>0.138318</v>
      </c>
      <c r="W629">
        <v>63.383800000000001</v>
      </c>
      <c r="X629">
        <v>6.2197399999999998</v>
      </c>
      <c r="Y629">
        <v>34.250900000000001</v>
      </c>
      <c r="Z629">
        <v>21.154399999999999</v>
      </c>
      <c r="AA629">
        <v>18.192399999999999</v>
      </c>
      <c r="AB629">
        <v>10.6404</v>
      </c>
      <c r="AC629">
        <v>9.5420999999999996</v>
      </c>
      <c r="AD629">
        <v>1.7356499999999999</v>
      </c>
      <c r="AE629">
        <v>16.114100000000001</v>
      </c>
      <c r="AF629">
        <v>0</v>
      </c>
      <c r="AG629">
        <v>86.8489</v>
      </c>
      <c r="AH629">
        <v>7.2516699999999998</v>
      </c>
      <c r="AI629">
        <v>0.88996500000000001</v>
      </c>
      <c r="AJ629">
        <v>5.0094599999999998</v>
      </c>
      <c r="AK629">
        <v>0</v>
      </c>
      <c r="AL629">
        <v>0.19364600000000001</v>
      </c>
      <c r="AM629">
        <v>11.1318</v>
      </c>
      <c r="AN629">
        <v>38.029200000000003</v>
      </c>
      <c r="AO629">
        <v>24.7334</v>
      </c>
      <c r="AP629">
        <v>14.345000000000001</v>
      </c>
      <c r="AQ629">
        <v>9.4966000000000008</v>
      </c>
      <c r="AR629">
        <v>2.2640400000000001</v>
      </c>
      <c r="AS629">
        <v>0.25741999999999998</v>
      </c>
      <c r="AT629">
        <v>0.85811499999999996</v>
      </c>
      <c r="AU629">
        <v>8.5511199999999992</v>
      </c>
      <c r="AV629">
        <v>25.8581</v>
      </c>
      <c r="AW629">
        <v>43.207900000000002</v>
      </c>
      <c r="AX629">
        <v>18.714700000000001</v>
      </c>
      <c r="AY629">
        <v>2.8100299999999998</v>
      </c>
      <c r="AZ629">
        <v>654.49</v>
      </c>
      <c r="BA629">
        <v>717.3</v>
      </c>
      <c r="BB629">
        <v>25559.200000000001</v>
      </c>
      <c r="BC629">
        <v>0.26726299999999997</v>
      </c>
      <c r="BD629">
        <v>0.27390500000000001</v>
      </c>
      <c r="BE629">
        <v>0.37673400000000001</v>
      </c>
      <c r="BF629">
        <v>0.98824299999999998</v>
      </c>
      <c r="BG629">
        <v>7.7703600000000002</v>
      </c>
      <c r="BH629">
        <v>26.794499999999999</v>
      </c>
      <c r="BI629">
        <v>63.796300000000002</v>
      </c>
      <c r="BJ629">
        <v>34.270099999999999</v>
      </c>
      <c r="BK629">
        <v>0</v>
      </c>
      <c r="BL629">
        <v>28.484300000000001</v>
      </c>
      <c r="BM629">
        <v>57.610199999999999</v>
      </c>
      <c r="BN629">
        <v>11.4895</v>
      </c>
      <c r="BO629">
        <v>1.38045</v>
      </c>
      <c r="BP629">
        <v>1.03556</v>
      </c>
      <c r="BQ629">
        <v>35.217300000000002</v>
      </c>
      <c r="BR629">
        <v>109892</v>
      </c>
    </row>
    <row r="630" spans="1:70" x14ac:dyDescent="0.25">
      <c r="A630">
        <v>48</v>
      </c>
      <c r="B630" s="7">
        <v>46024.563634259262</v>
      </c>
      <c r="C630" t="s">
        <v>182</v>
      </c>
      <c r="D630" s="6" t="s">
        <v>380</v>
      </c>
      <c r="E630" s="6" t="str">
        <f>VLOOKUP(F630,Germplasm!$A$1:$B$21,2,FALSE)</f>
        <v>Ismena</v>
      </c>
      <c r="F630" t="s">
        <v>63</v>
      </c>
      <c r="G630" s="6" t="s">
        <v>113</v>
      </c>
      <c r="H630">
        <v>39165.800000000003</v>
      </c>
      <c r="I630">
        <v>522.50400000000002</v>
      </c>
      <c r="J630">
        <v>128703</v>
      </c>
      <c r="K630">
        <v>17.422899999999998</v>
      </c>
      <c r="L630">
        <v>76.771299999999997</v>
      </c>
      <c r="M630">
        <v>1390.99</v>
      </c>
      <c r="N630">
        <v>515.33199999999999</v>
      </c>
      <c r="O630">
        <v>23694700</v>
      </c>
      <c r="P630">
        <v>4.64819E-2</v>
      </c>
      <c r="Q630">
        <v>0.97926800000000003</v>
      </c>
      <c r="R630">
        <v>25.8858</v>
      </c>
      <c r="S630">
        <v>59.7151</v>
      </c>
      <c r="T630">
        <v>11.1798</v>
      </c>
      <c r="U630">
        <v>2.2081300000000001</v>
      </c>
      <c r="V630">
        <v>3.18634E-2</v>
      </c>
      <c r="W630">
        <v>46.135199999999998</v>
      </c>
      <c r="X630">
        <v>12.9217</v>
      </c>
      <c r="Y630">
        <v>48.8264</v>
      </c>
      <c r="Z630">
        <v>14.971500000000001</v>
      </c>
      <c r="AA630">
        <v>10.2111</v>
      </c>
      <c r="AB630">
        <v>4.0243399999999996</v>
      </c>
      <c r="AC630">
        <v>9.04495</v>
      </c>
      <c r="AD630">
        <v>1.7466200000000001</v>
      </c>
      <c r="AE630">
        <v>21.0944</v>
      </c>
      <c r="AF630">
        <v>0</v>
      </c>
      <c r="AG630">
        <v>73.552300000000002</v>
      </c>
      <c r="AH630">
        <v>19.5078</v>
      </c>
      <c r="AI630">
        <v>1.1088499999999999</v>
      </c>
      <c r="AJ630">
        <v>5.8310000000000004</v>
      </c>
      <c r="AK630">
        <v>0</v>
      </c>
      <c r="AL630">
        <v>9.3239900000000001E-2</v>
      </c>
      <c r="AM630">
        <v>27.6691</v>
      </c>
      <c r="AN630">
        <v>45.268300000000004</v>
      </c>
      <c r="AO630">
        <v>14.307700000000001</v>
      </c>
      <c r="AP630">
        <v>8.8633299999999995</v>
      </c>
      <c r="AQ630">
        <v>3.51559</v>
      </c>
      <c r="AR630">
        <v>0.37598799999999999</v>
      </c>
      <c r="AS630">
        <v>0.23648</v>
      </c>
      <c r="AT630">
        <v>1.2129300000000001</v>
      </c>
      <c r="AU630">
        <v>5.8224999999999998</v>
      </c>
      <c r="AV630">
        <v>30.13</v>
      </c>
      <c r="AW630">
        <v>50.571399999999997</v>
      </c>
      <c r="AX630">
        <v>9.7438199999999995</v>
      </c>
      <c r="AY630">
        <v>2.5193300000000001</v>
      </c>
      <c r="AZ630">
        <v>604.98400000000004</v>
      </c>
      <c r="BA630">
        <v>642</v>
      </c>
      <c r="BB630">
        <v>22423.8</v>
      </c>
      <c r="BC630">
        <v>0.29736299999999999</v>
      </c>
      <c r="BD630">
        <v>0.58416199999999996</v>
      </c>
      <c r="BE630">
        <v>0.621336</v>
      </c>
      <c r="BF630">
        <v>1.09822</v>
      </c>
      <c r="BG630">
        <v>4.7317099999999996</v>
      </c>
      <c r="BH630">
        <v>20.4648</v>
      </c>
      <c r="BI630">
        <v>72.499799999999993</v>
      </c>
      <c r="BJ630">
        <v>29.239100000000001</v>
      </c>
      <c r="BK630">
        <v>0</v>
      </c>
      <c r="BL630">
        <v>43.636899999999997</v>
      </c>
      <c r="BM630">
        <v>48.641599999999997</v>
      </c>
      <c r="BN630">
        <v>5.2818800000000001</v>
      </c>
      <c r="BO630">
        <v>1.20231</v>
      </c>
      <c r="BP630">
        <v>1.23736</v>
      </c>
      <c r="BQ630">
        <v>34.961799999999997</v>
      </c>
      <c r="BR630">
        <v>94152</v>
      </c>
    </row>
    <row r="631" spans="1:70" x14ac:dyDescent="0.25">
      <c r="A631">
        <v>32</v>
      </c>
      <c r="B631" s="7">
        <v>45952.554155092592</v>
      </c>
      <c r="C631" t="s">
        <v>127</v>
      </c>
      <c r="D631" s="6" t="s">
        <v>221</v>
      </c>
      <c r="E631" s="6" t="str">
        <f>VLOOKUP(F631,Germplasm!$A$1:$B$21,2,FALSE)</f>
        <v>Arve</v>
      </c>
      <c r="F631" t="s">
        <v>68</v>
      </c>
      <c r="G631" s="6" t="s">
        <v>113</v>
      </c>
      <c r="H631">
        <v>23159</v>
      </c>
      <c r="I631">
        <v>313.738</v>
      </c>
      <c r="J631">
        <v>77015.899999999994</v>
      </c>
      <c r="K631">
        <v>16.5242</v>
      </c>
      <c r="L631">
        <v>53.356099999999998</v>
      </c>
      <c r="M631">
        <v>1118.8</v>
      </c>
      <c r="N631">
        <v>471.13600000000002</v>
      </c>
      <c r="O631">
        <v>8434820</v>
      </c>
      <c r="P631">
        <v>0.237516</v>
      </c>
      <c r="Q631">
        <v>0.516343</v>
      </c>
      <c r="R631">
        <v>3.16316</v>
      </c>
      <c r="S631">
        <v>17.962</v>
      </c>
      <c r="T631">
        <v>47.465400000000002</v>
      </c>
      <c r="U631">
        <v>30.4239</v>
      </c>
      <c r="V631">
        <v>0.46919899999999998</v>
      </c>
      <c r="W631">
        <v>118.139</v>
      </c>
      <c r="X631">
        <v>0.72512600000000005</v>
      </c>
      <c r="Y631">
        <v>1.5198499999999999</v>
      </c>
      <c r="Z631">
        <v>3.6346099999999999</v>
      </c>
      <c r="AA631">
        <v>16.372599999999998</v>
      </c>
      <c r="AB631">
        <v>38.746000000000002</v>
      </c>
      <c r="AC631">
        <v>39.001899999999999</v>
      </c>
      <c r="AD631">
        <v>1.81978</v>
      </c>
      <c r="AE631">
        <v>7.0674599999999996</v>
      </c>
      <c r="AF631">
        <v>0</v>
      </c>
      <c r="AG631">
        <v>99.755300000000005</v>
      </c>
      <c r="AH631">
        <v>0.23796700000000001</v>
      </c>
      <c r="AI631">
        <v>4.4899400000000004E-3</v>
      </c>
      <c r="AJ631">
        <v>2.2449700000000002E-3</v>
      </c>
      <c r="AK631">
        <v>0</v>
      </c>
      <c r="AL631">
        <v>0.52595199999999998</v>
      </c>
      <c r="AM631">
        <v>0.46021899999999999</v>
      </c>
      <c r="AN631">
        <v>2.1012900000000001</v>
      </c>
      <c r="AO631">
        <v>5.2577199999999999</v>
      </c>
      <c r="AP631">
        <v>15.7844</v>
      </c>
      <c r="AQ631">
        <v>42.908099999999997</v>
      </c>
      <c r="AR631">
        <v>33.488199999999999</v>
      </c>
      <c r="AS631">
        <v>2.9139100000000001E-2</v>
      </c>
      <c r="AT631">
        <v>7.1165599999999998</v>
      </c>
      <c r="AU631">
        <v>38.018599999999999</v>
      </c>
      <c r="AV631">
        <v>41.406199999999998</v>
      </c>
      <c r="AW631">
        <v>10.2887</v>
      </c>
      <c r="AX631">
        <v>2.0137399999999999</v>
      </c>
      <c r="AY631">
        <v>1.1561600000000001</v>
      </c>
      <c r="AZ631">
        <v>364.21300000000002</v>
      </c>
      <c r="BA631">
        <v>380.69900000000001</v>
      </c>
      <c r="BB631">
        <v>12726.3</v>
      </c>
      <c r="BC631">
        <v>9.3856300000000007E-3</v>
      </c>
      <c r="BD631">
        <v>3.59195E-2</v>
      </c>
      <c r="BE631">
        <v>0.26041700000000001</v>
      </c>
      <c r="BF631">
        <v>2.8309099999999998</v>
      </c>
      <c r="BG631">
        <v>42.005699999999997</v>
      </c>
      <c r="BH631">
        <v>50.765500000000003</v>
      </c>
      <c r="BI631">
        <v>4.1015600000000001</v>
      </c>
      <c r="BJ631">
        <v>31.588100000000001</v>
      </c>
      <c r="BK631">
        <v>0</v>
      </c>
      <c r="BL631">
        <v>32.738399999999999</v>
      </c>
      <c r="BM631">
        <v>58.921500000000002</v>
      </c>
      <c r="BN631">
        <v>7.1973799999999999</v>
      </c>
      <c r="BO631">
        <v>0.79471999999999998</v>
      </c>
      <c r="BP631">
        <v>0.34797099999999997</v>
      </c>
      <c r="BQ631">
        <v>33.3446</v>
      </c>
      <c r="BR631">
        <v>44544</v>
      </c>
    </row>
    <row r="632" spans="1:70" x14ac:dyDescent="0.25">
      <c r="A632">
        <v>32</v>
      </c>
      <c r="B632" s="7">
        <v>45959.511377314811</v>
      </c>
      <c r="C632" t="s">
        <v>127</v>
      </c>
      <c r="D632" s="6" t="s">
        <v>222</v>
      </c>
      <c r="E632" s="6" t="str">
        <f>VLOOKUP(F632,Germplasm!$A$1:$B$21,2,FALSE)</f>
        <v>Arve</v>
      </c>
      <c r="F632" t="s">
        <v>68</v>
      </c>
      <c r="G632" s="6" t="s">
        <v>113</v>
      </c>
      <c r="H632">
        <v>26053</v>
      </c>
      <c r="I632">
        <v>403.048</v>
      </c>
      <c r="J632">
        <v>143008</v>
      </c>
      <c r="K632">
        <v>11.5665</v>
      </c>
      <c r="L632">
        <v>76.045000000000002</v>
      </c>
      <c r="M632">
        <v>1414.35</v>
      </c>
      <c r="N632">
        <v>509.37200000000001</v>
      </c>
      <c r="O632">
        <v>11830100</v>
      </c>
      <c r="P632">
        <v>0.22045200000000001</v>
      </c>
      <c r="Q632">
        <v>1.15798</v>
      </c>
      <c r="R632">
        <v>5.2058499999999999</v>
      </c>
      <c r="S632">
        <v>21.864899999999999</v>
      </c>
      <c r="T632">
        <v>42.944899999999997</v>
      </c>
      <c r="U632">
        <v>27.9452</v>
      </c>
      <c r="V632">
        <v>0.88114599999999998</v>
      </c>
      <c r="W632">
        <v>125.41200000000001</v>
      </c>
      <c r="X632">
        <v>1.1630499999999999</v>
      </c>
      <c r="Y632">
        <v>1.7403500000000001</v>
      </c>
      <c r="Z632">
        <v>3.1684100000000002</v>
      </c>
      <c r="AA632">
        <v>13.1784</v>
      </c>
      <c r="AB632">
        <v>30.661200000000001</v>
      </c>
      <c r="AC632">
        <v>50.0886</v>
      </c>
      <c r="AD632">
        <v>1.57504</v>
      </c>
      <c r="AE632">
        <v>6.117</v>
      </c>
      <c r="AF632">
        <v>0</v>
      </c>
      <c r="AG632">
        <v>99.9696</v>
      </c>
      <c r="AH632">
        <v>3.0384399999999999E-2</v>
      </c>
      <c r="AI632">
        <v>0</v>
      </c>
      <c r="AJ632">
        <v>0</v>
      </c>
      <c r="AK632">
        <v>0</v>
      </c>
      <c r="AL632">
        <v>0.52879600000000004</v>
      </c>
      <c r="AM632">
        <v>0.58743100000000004</v>
      </c>
      <c r="AN632">
        <v>2.31765</v>
      </c>
      <c r="AO632">
        <v>5.22105</v>
      </c>
      <c r="AP632">
        <v>16.233699999999999</v>
      </c>
      <c r="AQ632">
        <v>40.929400000000001</v>
      </c>
      <c r="AR632">
        <v>34.710799999999999</v>
      </c>
      <c r="AS632">
        <v>-6.48852E-4</v>
      </c>
      <c r="AT632">
        <v>13.031499999999999</v>
      </c>
      <c r="AU632">
        <v>41.741399999999999</v>
      </c>
      <c r="AV632">
        <v>31.643599999999999</v>
      </c>
      <c r="AW632">
        <v>9.4529099999999993</v>
      </c>
      <c r="AX632">
        <v>2.2619500000000001</v>
      </c>
      <c r="AY632">
        <v>1.8686400000000001</v>
      </c>
      <c r="AZ632">
        <v>454.077</v>
      </c>
      <c r="BA632">
        <v>461.399</v>
      </c>
      <c r="BB632">
        <v>16541.099999999999</v>
      </c>
      <c r="BC632">
        <v>-1.54769E-2</v>
      </c>
      <c r="BD632">
        <v>8.7776999999999994E-2</v>
      </c>
      <c r="BE632">
        <v>0.89296299999999995</v>
      </c>
      <c r="BF632">
        <v>5.9857199999999997</v>
      </c>
      <c r="BG632">
        <v>47.806399999999996</v>
      </c>
      <c r="BH632">
        <v>40.779200000000003</v>
      </c>
      <c r="BI632">
        <v>4.4479300000000004</v>
      </c>
      <c r="BJ632">
        <v>32.2468</v>
      </c>
      <c r="BK632">
        <v>0</v>
      </c>
      <c r="BL632">
        <v>35.014600000000002</v>
      </c>
      <c r="BM632">
        <v>53.677399999999999</v>
      </c>
      <c r="BN632">
        <v>8.9481900000000003</v>
      </c>
      <c r="BO632">
        <v>1.12253</v>
      </c>
      <c r="BP632">
        <v>1.23732</v>
      </c>
      <c r="BQ632">
        <v>39.4422</v>
      </c>
      <c r="BR632">
        <v>59241</v>
      </c>
    </row>
    <row r="633" spans="1:70" x14ac:dyDescent="0.25">
      <c r="A633">
        <v>32</v>
      </c>
      <c r="B633" s="7">
        <v>45966.56695601852</v>
      </c>
      <c r="C633" t="s">
        <v>127</v>
      </c>
      <c r="D633" s="6" t="s">
        <v>223</v>
      </c>
      <c r="E633" s="6" t="str">
        <f>VLOOKUP(F633,Germplasm!$A$1:$B$21,2,FALSE)</f>
        <v>Arve</v>
      </c>
      <c r="F633" t="s">
        <v>68</v>
      </c>
      <c r="G633" s="6" t="s">
        <v>113</v>
      </c>
      <c r="H633">
        <v>57003.1</v>
      </c>
      <c r="I633">
        <v>459.96</v>
      </c>
      <c r="J633">
        <v>210719</v>
      </c>
      <c r="K633">
        <v>14.696099999999999</v>
      </c>
      <c r="L633">
        <v>83.61</v>
      </c>
      <c r="M633">
        <v>1694.1</v>
      </c>
      <c r="N633">
        <v>576.43499999999995</v>
      </c>
      <c r="O633">
        <v>31183700</v>
      </c>
      <c r="P633">
        <v>0.23016600000000001</v>
      </c>
      <c r="Q633">
        <v>0.68921100000000002</v>
      </c>
      <c r="R633">
        <v>4.1035399999999997</v>
      </c>
      <c r="S633">
        <v>21.787700000000001</v>
      </c>
      <c r="T633">
        <v>43.771999999999998</v>
      </c>
      <c r="U633">
        <v>28.423400000000001</v>
      </c>
      <c r="V633">
        <v>1.2241899999999999</v>
      </c>
      <c r="W633">
        <v>119.982</v>
      </c>
      <c r="X633">
        <v>1.16073</v>
      </c>
      <c r="Y633">
        <v>1.95835</v>
      </c>
      <c r="Z633">
        <v>3.7254399999999999</v>
      </c>
      <c r="AA633">
        <v>16.438800000000001</v>
      </c>
      <c r="AB633">
        <v>33.203800000000001</v>
      </c>
      <c r="AC633">
        <v>43.512900000000002</v>
      </c>
      <c r="AD633">
        <v>1.8407500000000001</v>
      </c>
      <c r="AE633">
        <v>6.0959099999999999</v>
      </c>
      <c r="AF633">
        <v>0</v>
      </c>
      <c r="AG633">
        <v>99.876599999999996</v>
      </c>
      <c r="AH633">
        <v>0.123388</v>
      </c>
      <c r="AI633">
        <v>0</v>
      </c>
      <c r="AJ633">
        <v>0</v>
      </c>
      <c r="AK633">
        <v>0</v>
      </c>
      <c r="AL633">
        <v>0.520513</v>
      </c>
      <c r="AM633">
        <v>0.73768500000000004</v>
      </c>
      <c r="AN633">
        <v>3.28742</v>
      </c>
      <c r="AO633">
        <v>7.0269599999999999</v>
      </c>
      <c r="AP633">
        <v>15.8316</v>
      </c>
      <c r="AQ633">
        <v>36.7864</v>
      </c>
      <c r="AR633">
        <v>36.329900000000002</v>
      </c>
      <c r="AS633">
        <v>3.06453E-2</v>
      </c>
      <c r="AT633">
        <v>8.7949400000000004</v>
      </c>
      <c r="AU633">
        <v>39.584699999999998</v>
      </c>
      <c r="AV633">
        <v>35.3613</v>
      </c>
      <c r="AW633">
        <v>11.1737</v>
      </c>
      <c r="AX633">
        <v>2.8864000000000001</v>
      </c>
      <c r="AY633">
        <v>2.19895</v>
      </c>
      <c r="AZ633">
        <v>547.05200000000002</v>
      </c>
      <c r="BA633">
        <v>571.20000000000005</v>
      </c>
      <c r="BB633">
        <v>30967.4</v>
      </c>
      <c r="BC633">
        <v>6.9263800000000002E-3</v>
      </c>
      <c r="BD633">
        <v>8.6371799999999999E-2</v>
      </c>
      <c r="BE633">
        <v>0.53938299999999995</v>
      </c>
      <c r="BF633">
        <v>3.5297900000000002</v>
      </c>
      <c r="BG633">
        <v>44.223199999999999</v>
      </c>
      <c r="BH633">
        <v>45.561100000000003</v>
      </c>
      <c r="BI633">
        <v>6.06013</v>
      </c>
      <c r="BJ633">
        <v>32.225499999999997</v>
      </c>
      <c r="BK633">
        <v>0</v>
      </c>
      <c r="BL633">
        <v>35.786099999999998</v>
      </c>
      <c r="BM633">
        <v>52.668300000000002</v>
      </c>
      <c r="BN633">
        <v>8.8628</v>
      </c>
      <c r="BO633">
        <v>1.69218</v>
      </c>
      <c r="BP633">
        <v>0.99063100000000004</v>
      </c>
      <c r="BQ633">
        <v>32.945599999999999</v>
      </c>
      <c r="BR633">
        <v>113463</v>
      </c>
    </row>
    <row r="634" spans="1:70" x14ac:dyDescent="0.25">
      <c r="A634">
        <v>32</v>
      </c>
      <c r="B634" s="7">
        <v>45973.545034722221</v>
      </c>
      <c r="C634" t="s">
        <v>127</v>
      </c>
      <c r="D634" s="6" t="s">
        <v>224</v>
      </c>
      <c r="E634" s="6" t="str">
        <f>VLOOKUP(F634,Germplasm!$A$1:$B$21,2,FALSE)</f>
        <v>Arve</v>
      </c>
      <c r="F634" t="s">
        <v>68</v>
      </c>
      <c r="G634" s="6" t="s">
        <v>113</v>
      </c>
      <c r="H634">
        <v>68363.5</v>
      </c>
      <c r="I634">
        <v>440.03500000000003</v>
      </c>
      <c r="J634">
        <v>208351</v>
      </c>
      <c r="K634">
        <v>17.278500000000001</v>
      </c>
      <c r="L634">
        <v>60.350099999999998</v>
      </c>
      <c r="M634">
        <v>1729.43</v>
      </c>
      <c r="N634">
        <v>683.75099999999998</v>
      </c>
      <c r="O634">
        <v>36683600</v>
      </c>
      <c r="P634">
        <v>0.21236099999999999</v>
      </c>
      <c r="Q634">
        <v>0.69099699999999997</v>
      </c>
      <c r="R634">
        <v>6.7891399999999997</v>
      </c>
      <c r="S634">
        <v>25.145800000000001</v>
      </c>
      <c r="T634">
        <v>41.748600000000003</v>
      </c>
      <c r="U634">
        <v>24.0503</v>
      </c>
      <c r="V634">
        <v>1.57518</v>
      </c>
      <c r="W634">
        <v>110.262</v>
      </c>
      <c r="X634">
        <v>2.9651399999999999</v>
      </c>
      <c r="Y634">
        <v>5.7016299999999998</v>
      </c>
      <c r="Z634">
        <v>6.8397899999999998</v>
      </c>
      <c r="AA634">
        <v>19.4543</v>
      </c>
      <c r="AB634">
        <v>28.686199999999999</v>
      </c>
      <c r="AC634">
        <v>36.353000000000002</v>
      </c>
      <c r="AD634">
        <v>1.8989799999999999</v>
      </c>
      <c r="AE634">
        <v>6.4804599999999999</v>
      </c>
      <c r="AF634">
        <v>0</v>
      </c>
      <c r="AG634">
        <v>99.700400000000002</v>
      </c>
      <c r="AH634">
        <v>0.29882900000000001</v>
      </c>
      <c r="AI634">
        <v>7.2355800000000001E-4</v>
      </c>
      <c r="AJ634">
        <v>0</v>
      </c>
      <c r="AK634">
        <v>0</v>
      </c>
      <c r="AL634">
        <v>0.47717500000000002</v>
      </c>
      <c r="AM634">
        <v>1.0469900000000001</v>
      </c>
      <c r="AN634">
        <v>5.9650100000000004</v>
      </c>
      <c r="AO634">
        <v>11.4749</v>
      </c>
      <c r="AP634">
        <v>18.936900000000001</v>
      </c>
      <c r="AQ634">
        <v>33.851599999999998</v>
      </c>
      <c r="AR634">
        <v>28.724499999999999</v>
      </c>
      <c r="AS634">
        <v>8.8877300000000006E-2</v>
      </c>
      <c r="AT634">
        <v>6.3463200000000004</v>
      </c>
      <c r="AU634">
        <v>33.519500000000001</v>
      </c>
      <c r="AV634">
        <v>33.839300000000001</v>
      </c>
      <c r="AW634">
        <v>16.244599999999998</v>
      </c>
      <c r="AX634">
        <v>6.2565999999999997</v>
      </c>
      <c r="AY634">
        <v>3.7936100000000001</v>
      </c>
      <c r="AZ634">
        <v>536.59699999999998</v>
      </c>
      <c r="BA634">
        <v>613.79899999999998</v>
      </c>
      <c r="BB634">
        <v>36000.1</v>
      </c>
      <c r="BC634">
        <v>4.7347800000000002E-2</v>
      </c>
      <c r="BD634">
        <v>8.1762000000000001E-2</v>
      </c>
      <c r="BE634">
        <v>0.67869699999999999</v>
      </c>
      <c r="BF634">
        <v>2.8595000000000002</v>
      </c>
      <c r="BG634">
        <v>36.244399999999999</v>
      </c>
      <c r="BH634">
        <v>45.4908</v>
      </c>
      <c r="BI634">
        <v>14.6448</v>
      </c>
      <c r="BJ634">
        <v>32.936799999999998</v>
      </c>
      <c r="BK634">
        <v>0</v>
      </c>
      <c r="BL634">
        <v>35.900799999999997</v>
      </c>
      <c r="BM634">
        <v>50.532499999999999</v>
      </c>
      <c r="BN634">
        <v>9.94313</v>
      </c>
      <c r="BO634">
        <v>2.4666100000000002</v>
      </c>
      <c r="BP634">
        <v>1.1569700000000001</v>
      </c>
      <c r="BQ634">
        <v>31.817299999999999</v>
      </c>
      <c r="BR634">
        <v>138206</v>
      </c>
    </row>
    <row r="635" spans="1:70" x14ac:dyDescent="0.25">
      <c r="A635">
        <v>32</v>
      </c>
      <c r="B635" s="7">
        <v>45988.519780092596</v>
      </c>
      <c r="C635" t="s">
        <v>127</v>
      </c>
      <c r="D635" s="6" t="s">
        <v>225</v>
      </c>
      <c r="E635" s="6" t="str">
        <f>VLOOKUP(F635,Germplasm!$A$1:$B$21,2,FALSE)</f>
        <v>Arve</v>
      </c>
      <c r="F635" t="s">
        <v>68</v>
      </c>
      <c r="G635" s="6" t="s">
        <v>113</v>
      </c>
      <c r="H635">
        <v>51903</v>
      </c>
      <c r="I635">
        <v>395.779</v>
      </c>
      <c r="J635">
        <v>191554</v>
      </c>
      <c r="K635">
        <v>15.014799999999999</v>
      </c>
      <c r="L635">
        <v>56.278500000000001</v>
      </c>
      <c r="M635">
        <v>1756.59</v>
      </c>
      <c r="N635">
        <v>671.904</v>
      </c>
      <c r="O635">
        <v>26698200</v>
      </c>
      <c r="P635">
        <v>0.161636</v>
      </c>
      <c r="Q635">
        <v>1.0020199999999999</v>
      </c>
      <c r="R635">
        <v>17.190100000000001</v>
      </c>
      <c r="S635">
        <v>28.270700000000001</v>
      </c>
      <c r="T635">
        <v>34.1126</v>
      </c>
      <c r="U635">
        <v>18.217500000000001</v>
      </c>
      <c r="V635">
        <v>1.20699</v>
      </c>
      <c r="W635">
        <v>82.028800000000004</v>
      </c>
      <c r="X635">
        <v>10.7172</v>
      </c>
      <c r="Y635">
        <v>15.8027</v>
      </c>
      <c r="Z635">
        <v>9.9058100000000007</v>
      </c>
      <c r="AA635">
        <v>23.645199999999999</v>
      </c>
      <c r="AB635">
        <v>22.832100000000001</v>
      </c>
      <c r="AC635">
        <v>17.096900000000002</v>
      </c>
      <c r="AD635">
        <v>1.8046</v>
      </c>
      <c r="AE635">
        <v>9.5026399999999995</v>
      </c>
      <c r="AF635">
        <v>0</v>
      </c>
      <c r="AG635">
        <v>96.650099999999995</v>
      </c>
      <c r="AH635">
        <v>3.3380800000000002</v>
      </c>
      <c r="AI635">
        <v>1.1011200000000001E-2</v>
      </c>
      <c r="AJ635">
        <v>8.4701299999999998E-4</v>
      </c>
      <c r="AK635">
        <v>0</v>
      </c>
      <c r="AL635">
        <v>0.35961900000000002</v>
      </c>
      <c r="AM635">
        <v>3.1144699999999998</v>
      </c>
      <c r="AN635">
        <v>18.181999999999999</v>
      </c>
      <c r="AO635">
        <v>19.527000000000001</v>
      </c>
      <c r="AP635">
        <v>20.817</v>
      </c>
      <c r="AQ635">
        <v>23.795100000000001</v>
      </c>
      <c r="AR635">
        <v>14.564399999999999</v>
      </c>
      <c r="AS635">
        <v>0.196441</v>
      </c>
      <c r="AT635">
        <v>2.2683</v>
      </c>
      <c r="AU635">
        <v>16.033899999999999</v>
      </c>
      <c r="AV635">
        <v>34.912199999999999</v>
      </c>
      <c r="AW635">
        <v>31.5639</v>
      </c>
      <c r="AX635">
        <v>10.2624</v>
      </c>
      <c r="AY635">
        <v>4.9592599999999996</v>
      </c>
      <c r="AZ635">
        <v>514.38599999999997</v>
      </c>
      <c r="BA635">
        <v>559.19899999999996</v>
      </c>
      <c r="BB635">
        <v>28761.5</v>
      </c>
      <c r="BC635">
        <v>0.157522</v>
      </c>
      <c r="BD635">
        <v>3.5574500000000002E-2</v>
      </c>
      <c r="BE635">
        <v>0.33880500000000002</v>
      </c>
      <c r="BF635">
        <v>1.2654399999999999</v>
      </c>
      <c r="BG635">
        <v>16.662400000000002</v>
      </c>
      <c r="BH635">
        <v>46.205399999999997</v>
      </c>
      <c r="BI635">
        <v>35.492400000000004</v>
      </c>
      <c r="BJ635">
        <v>34.082299999999996</v>
      </c>
      <c r="BK635">
        <v>0</v>
      </c>
      <c r="BL635">
        <v>32.022199999999998</v>
      </c>
      <c r="BM635">
        <v>53.293199999999999</v>
      </c>
      <c r="BN635">
        <v>10.807</v>
      </c>
      <c r="BO635">
        <v>2.6951900000000002</v>
      </c>
      <c r="BP635">
        <v>1.1824300000000001</v>
      </c>
      <c r="BQ635">
        <v>33.689900000000002</v>
      </c>
      <c r="BR635">
        <v>118062</v>
      </c>
    </row>
    <row r="636" spans="1:70" x14ac:dyDescent="0.25">
      <c r="A636">
        <v>32</v>
      </c>
      <c r="B636" s="7">
        <v>45994.531909722224</v>
      </c>
      <c r="C636" t="s">
        <v>127</v>
      </c>
      <c r="D636" s="6" t="s">
        <v>226</v>
      </c>
      <c r="E636" s="6" t="str">
        <f>VLOOKUP(F636,Germplasm!$A$1:$B$21,2,FALSE)</f>
        <v>Arve</v>
      </c>
      <c r="F636" t="s">
        <v>68</v>
      </c>
      <c r="G636" s="6" t="s">
        <v>113</v>
      </c>
      <c r="H636">
        <v>42251.6</v>
      </c>
      <c r="I636">
        <v>376.75200000000001</v>
      </c>
      <c r="J636">
        <v>142723</v>
      </c>
      <c r="K636">
        <v>16.395700000000001</v>
      </c>
      <c r="L636">
        <v>84.994799999999998</v>
      </c>
      <c r="M636">
        <v>1480.4</v>
      </c>
      <c r="N636">
        <v>503.98899999999998</v>
      </c>
      <c r="O636">
        <v>21455300</v>
      </c>
      <c r="P636">
        <v>0.145172</v>
      </c>
      <c r="Q636">
        <v>1.09998</v>
      </c>
      <c r="R636">
        <v>17.240600000000001</v>
      </c>
      <c r="S636">
        <v>33.396999999999998</v>
      </c>
      <c r="T636">
        <v>32.015599999999999</v>
      </c>
      <c r="U636">
        <v>15.5365</v>
      </c>
      <c r="V636">
        <v>0.710364</v>
      </c>
      <c r="W636">
        <v>73.207499999999996</v>
      </c>
      <c r="X636">
        <v>10.216699999999999</v>
      </c>
      <c r="Y636">
        <v>19.767199999999999</v>
      </c>
      <c r="Z636">
        <v>14.8537</v>
      </c>
      <c r="AA636">
        <v>26.245100000000001</v>
      </c>
      <c r="AB636">
        <v>17.242599999999999</v>
      </c>
      <c r="AC636">
        <v>11.674799999999999</v>
      </c>
      <c r="AD636">
        <v>1.80559</v>
      </c>
      <c r="AE636">
        <v>10.1037</v>
      </c>
      <c r="AF636">
        <v>0</v>
      </c>
      <c r="AG636">
        <v>96.491500000000002</v>
      </c>
      <c r="AH636">
        <v>3.4957400000000001</v>
      </c>
      <c r="AI636">
        <v>1.27905E-2</v>
      </c>
      <c r="AJ636">
        <v>0</v>
      </c>
      <c r="AK636">
        <v>0</v>
      </c>
      <c r="AL636">
        <v>0.30962099999999998</v>
      </c>
      <c r="AM636">
        <v>3.5449299999999999</v>
      </c>
      <c r="AN636">
        <v>22.7149</v>
      </c>
      <c r="AO636">
        <v>23.792300000000001</v>
      </c>
      <c r="AP636">
        <v>23.346599999999999</v>
      </c>
      <c r="AQ636">
        <v>18.009</v>
      </c>
      <c r="AR636">
        <v>8.5922599999999996</v>
      </c>
      <c r="AS636">
        <v>0.23447799999999999</v>
      </c>
      <c r="AT636">
        <v>1.37941</v>
      </c>
      <c r="AU636">
        <v>10.275700000000001</v>
      </c>
      <c r="AV636">
        <v>33.035899999999998</v>
      </c>
      <c r="AW636">
        <v>36.6113</v>
      </c>
      <c r="AX636">
        <v>13.948499999999999</v>
      </c>
      <c r="AY636">
        <v>4.7492099999999997</v>
      </c>
      <c r="AZ636">
        <v>507.79899999999998</v>
      </c>
      <c r="BA636">
        <v>575.4</v>
      </c>
      <c r="BB636">
        <v>23400.5</v>
      </c>
      <c r="BC636">
        <v>0.202517</v>
      </c>
      <c r="BD636">
        <v>2.3613200000000001E-2</v>
      </c>
      <c r="BE636">
        <v>0.27843899999999999</v>
      </c>
      <c r="BF636">
        <v>1.00061</v>
      </c>
      <c r="BG636">
        <v>10.352399999999999</v>
      </c>
      <c r="BH636">
        <v>42.298200000000001</v>
      </c>
      <c r="BI636">
        <v>46.046799999999998</v>
      </c>
      <c r="BJ636">
        <v>34.353299999999997</v>
      </c>
      <c r="BK636">
        <v>0</v>
      </c>
      <c r="BL636">
        <v>31.985099999999999</v>
      </c>
      <c r="BM636">
        <v>51.869399999999999</v>
      </c>
      <c r="BN636">
        <v>13.004</v>
      </c>
      <c r="BO636">
        <v>2.1635599999999999</v>
      </c>
      <c r="BP636">
        <v>0.97798099999999999</v>
      </c>
      <c r="BQ636">
        <v>33.664099999999998</v>
      </c>
      <c r="BR636">
        <v>101638</v>
      </c>
    </row>
    <row r="637" spans="1:70" x14ac:dyDescent="0.25">
      <c r="A637">
        <v>32</v>
      </c>
      <c r="B637" s="7">
        <v>45994.532407407409</v>
      </c>
      <c r="C637" t="s">
        <v>127</v>
      </c>
      <c r="D637" s="6" t="s">
        <v>227</v>
      </c>
      <c r="E637" s="6" t="str">
        <f>VLOOKUP(F637,Germplasm!$A$1:$B$21,2,FALSE)</f>
        <v>Arve</v>
      </c>
      <c r="F637" t="s">
        <v>68</v>
      </c>
      <c r="G637" s="6" t="s">
        <v>113</v>
      </c>
      <c r="H637">
        <v>41850.9</v>
      </c>
      <c r="I637">
        <v>376.62200000000001</v>
      </c>
      <c r="J637">
        <v>142701</v>
      </c>
      <c r="K637">
        <v>16.1661</v>
      </c>
      <c r="L637">
        <v>85.333500000000001</v>
      </c>
      <c r="M637">
        <v>1478.02</v>
      </c>
      <c r="N637">
        <v>502.87799999999999</v>
      </c>
      <c r="O637">
        <v>21229100</v>
      </c>
      <c r="P637">
        <v>0.14640300000000001</v>
      </c>
      <c r="Q637">
        <v>1.06802</v>
      </c>
      <c r="R637">
        <v>17.2347</v>
      </c>
      <c r="S637">
        <v>33.564799999999998</v>
      </c>
      <c r="T637">
        <v>31.874099999999999</v>
      </c>
      <c r="U637">
        <v>15.3886</v>
      </c>
      <c r="V637">
        <v>0.86975599999999997</v>
      </c>
      <c r="W637">
        <v>73.400800000000004</v>
      </c>
      <c r="X637">
        <v>10.0495</v>
      </c>
      <c r="Y637">
        <v>19.8918</v>
      </c>
      <c r="Z637">
        <v>14.800800000000001</v>
      </c>
      <c r="AA637">
        <v>26.0977</v>
      </c>
      <c r="AB637">
        <v>17.310400000000001</v>
      </c>
      <c r="AC637">
        <v>11.8498</v>
      </c>
      <c r="AD637">
        <v>1.8141499999999999</v>
      </c>
      <c r="AE637">
        <v>10.1096</v>
      </c>
      <c r="AF637">
        <v>0</v>
      </c>
      <c r="AG637">
        <v>96.428299999999993</v>
      </c>
      <c r="AH637">
        <v>3.5607199999999999</v>
      </c>
      <c r="AI637">
        <v>1.0959099999999999E-2</v>
      </c>
      <c r="AJ637">
        <v>0</v>
      </c>
      <c r="AK637">
        <v>0</v>
      </c>
      <c r="AL637">
        <v>0.30904599999999999</v>
      </c>
      <c r="AM637">
        <v>3.6533699999999998</v>
      </c>
      <c r="AN637">
        <v>22.930499999999999</v>
      </c>
      <c r="AO637">
        <v>23.833100000000002</v>
      </c>
      <c r="AP637">
        <v>23.1447</v>
      </c>
      <c r="AQ637">
        <v>17.593399999999999</v>
      </c>
      <c r="AR637">
        <v>8.8450100000000003</v>
      </c>
      <c r="AS637">
        <v>0.234961</v>
      </c>
      <c r="AT637">
        <v>1.4735</v>
      </c>
      <c r="AU637">
        <v>10.45</v>
      </c>
      <c r="AV637">
        <v>32.537599999999998</v>
      </c>
      <c r="AW637">
        <v>36.500900000000001</v>
      </c>
      <c r="AX637">
        <v>14.0496</v>
      </c>
      <c r="AY637">
        <v>4.9883899999999999</v>
      </c>
      <c r="AZ637">
        <v>507.25700000000001</v>
      </c>
      <c r="BA637">
        <v>563.399</v>
      </c>
      <c r="BB637">
        <v>23069.200000000001</v>
      </c>
      <c r="BC637">
        <v>0.20225299999999999</v>
      </c>
      <c r="BD637">
        <v>4.0847599999999998E-2</v>
      </c>
      <c r="BE637">
        <v>0.31980700000000001</v>
      </c>
      <c r="BF637">
        <v>1.0600499999999999</v>
      </c>
      <c r="BG637">
        <v>10.501799999999999</v>
      </c>
      <c r="BH637">
        <v>41.900700000000001</v>
      </c>
      <c r="BI637">
        <v>46.1768</v>
      </c>
      <c r="BJ637">
        <v>34.491199999999999</v>
      </c>
      <c r="BK637">
        <v>0</v>
      </c>
      <c r="BL637">
        <v>32.149099999999997</v>
      </c>
      <c r="BM637">
        <v>51.253799999999998</v>
      </c>
      <c r="BN637">
        <v>13.2735</v>
      </c>
      <c r="BO637">
        <v>2.27352</v>
      </c>
      <c r="BP637">
        <v>1.0500799999999999</v>
      </c>
      <c r="BQ637">
        <v>33.484099999999998</v>
      </c>
      <c r="BR637">
        <v>100373</v>
      </c>
    </row>
    <row r="638" spans="1:70" x14ac:dyDescent="0.25">
      <c r="A638">
        <v>32</v>
      </c>
      <c r="B638" s="7">
        <v>46002.577800925923</v>
      </c>
      <c r="C638" t="s">
        <v>127</v>
      </c>
      <c r="D638" s="6" t="s">
        <v>228</v>
      </c>
      <c r="E638" s="6" t="str">
        <f>VLOOKUP(F638,Germplasm!$A$1:$B$21,2,FALSE)</f>
        <v>Arve</v>
      </c>
      <c r="F638" t="s">
        <v>68</v>
      </c>
      <c r="G638" s="6" t="s">
        <v>113</v>
      </c>
      <c r="H638">
        <v>31754.7</v>
      </c>
      <c r="I638">
        <v>415.988</v>
      </c>
      <c r="J638">
        <v>100934</v>
      </c>
      <c r="K638">
        <v>16.568999999999999</v>
      </c>
      <c r="L638">
        <v>43.308700000000002</v>
      </c>
      <c r="M638">
        <v>1346.72</v>
      </c>
      <c r="N638">
        <v>582.79999999999995</v>
      </c>
      <c r="O638">
        <v>15826900</v>
      </c>
      <c r="P638">
        <v>7.0554500000000006E-2</v>
      </c>
      <c r="Q638">
        <v>1.26738</v>
      </c>
      <c r="R638">
        <v>28.4404</v>
      </c>
      <c r="S638">
        <v>46.221899999999998</v>
      </c>
      <c r="T638">
        <v>18.3932</v>
      </c>
      <c r="U638">
        <v>5.4283900000000003</v>
      </c>
      <c r="V638">
        <v>0.248672</v>
      </c>
      <c r="W638">
        <v>51.536700000000003</v>
      </c>
      <c r="X638">
        <v>16.580500000000001</v>
      </c>
      <c r="Y638">
        <v>38.154200000000003</v>
      </c>
      <c r="Z638">
        <v>14.116400000000001</v>
      </c>
      <c r="AA638">
        <v>14.488</v>
      </c>
      <c r="AB638">
        <v>7.6268799999999999</v>
      </c>
      <c r="AC638">
        <v>9.0341400000000007</v>
      </c>
      <c r="AD638">
        <v>1.89879</v>
      </c>
      <c r="AE638">
        <v>12.7798</v>
      </c>
      <c r="AF638">
        <v>0</v>
      </c>
      <c r="AG638">
        <v>92.537000000000006</v>
      </c>
      <c r="AH638">
        <v>7.37256</v>
      </c>
      <c r="AI638">
        <v>9.0426099999999995E-2</v>
      </c>
      <c r="AJ638">
        <v>0</v>
      </c>
      <c r="AK638">
        <v>0</v>
      </c>
      <c r="AL638">
        <v>0.191552</v>
      </c>
      <c r="AM638">
        <v>9.6219099999999997</v>
      </c>
      <c r="AN638">
        <v>41.506999999999998</v>
      </c>
      <c r="AO638">
        <v>23.459900000000001</v>
      </c>
      <c r="AP638">
        <v>14.536</v>
      </c>
      <c r="AQ638">
        <v>7.5039600000000002</v>
      </c>
      <c r="AR638">
        <v>3.3712</v>
      </c>
      <c r="AS638">
        <v>0.26824799999999999</v>
      </c>
      <c r="AT638">
        <v>0.96219100000000002</v>
      </c>
      <c r="AU638">
        <v>6.5742599999999998</v>
      </c>
      <c r="AV638">
        <v>26.414300000000001</v>
      </c>
      <c r="AW638">
        <v>45.307699999999997</v>
      </c>
      <c r="AX638">
        <v>16.1721</v>
      </c>
      <c r="AY638">
        <v>4.56935</v>
      </c>
      <c r="AZ638">
        <v>498.41199999999998</v>
      </c>
      <c r="BA638">
        <v>571.79899999999998</v>
      </c>
      <c r="BB638">
        <v>16723.7</v>
      </c>
      <c r="BC638">
        <v>0.289547</v>
      </c>
      <c r="BD638">
        <v>5.22776E-2</v>
      </c>
      <c r="BE638">
        <v>0.34898800000000002</v>
      </c>
      <c r="BF638">
        <v>0.90991299999999997</v>
      </c>
      <c r="BG638">
        <v>6.2252700000000001</v>
      </c>
      <c r="BH638">
        <v>25.820900000000002</v>
      </c>
      <c r="BI638">
        <v>66.642600000000002</v>
      </c>
      <c r="BJ638">
        <v>32.360500000000002</v>
      </c>
      <c r="BK638">
        <v>0</v>
      </c>
      <c r="BL638">
        <v>34.377499999999998</v>
      </c>
      <c r="BM638">
        <v>54.129899999999999</v>
      </c>
      <c r="BN638">
        <v>9.2573799999999995</v>
      </c>
      <c r="BO638">
        <v>1.6248400000000001</v>
      </c>
      <c r="BP638">
        <v>0.61037600000000003</v>
      </c>
      <c r="BQ638">
        <v>31.800699999999999</v>
      </c>
      <c r="BR638">
        <v>70776</v>
      </c>
    </row>
    <row r="639" spans="1:70" x14ac:dyDescent="0.25">
      <c r="A639">
        <v>32</v>
      </c>
      <c r="B639" s="7">
        <v>46013.592499999999</v>
      </c>
      <c r="C639" t="s">
        <v>127</v>
      </c>
      <c r="D639" s="6" t="s">
        <v>229</v>
      </c>
      <c r="E639" s="6" t="str">
        <f>VLOOKUP(F639,Germplasm!$A$1:$B$21,2,FALSE)</f>
        <v>Arve</v>
      </c>
      <c r="F639" t="s">
        <v>68</v>
      </c>
      <c r="G639" s="6" t="s">
        <v>113</v>
      </c>
      <c r="H639">
        <v>29535.599999999999</v>
      </c>
      <c r="I639">
        <v>427.48</v>
      </c>
      <c r="J639">
        <v>90669.7</v>
      </c>
      <c r="K639">
        <v>18.423200000000001</v>
      </c>
      <c r="L639">
        <v>71.134799999999998</v>
      </c>
      <c r="M639">
        <v>1170.48</v>
      </c>
      <c r="N639">
        <v>451.44900000000001</v>
      </c>
      <c r="O639">
        <v>13697200</v>
      </c>
      <c r="P639">
        <v>1.6082300000000001E-2</v>
      </c>
      <c r="Q639">
        <v>1.46193</v>
      </c>
      <c r="R639">
        <v>40.5321</v>
      </c>
      <c r="S639">
        <v>51.031700000000001</v>
      </c>
      <c r="T639">
        <v>5.5428499999999996</v>
      </c>
      <c r="U639">
        <v>1.35938</v>
      </c>
      <c r="V639">
        <v>7.2057099999999999E-2</v>
      </c>
      <c r="W639">
        <v>36.339700000000001</v>
      </c>
      <c r="X639">
        <v>22.8047</v>
      </c>
      <c r="Y639">
        <v>52.707000000000001</v>
      </c>
      <c r="Z639">
        <v>9.9785199999999996</v>
      </c>
      <c r="AA639">
        <v>5.3377699999999999</v>
      </c>
      <c r="AB639">
        <v>1.9677100000000001</v>
      </c>
      <c r="AC639">
        <v>7.2043200000000001</v>
      </c>
      <c r="AD639">
        <v>1.7681500000000001</v>
      </c>
      <c r="AE639">
        <v>16.225899999999999</v>
      </c>
      <c r="AF639">
        <v>0</v>
      </c>
      <c r="AG639">
        <v>83.663799999999995</v>
      </c>
      <c r="AH639">
        <v>16.247499999999999</v>
      </c>
      <c r="AI639">
        <v>8.8685700000000006E-2</v>
      </c>
      <c r="AJ639">
        <v>0</v>
      </c>
      <c r="AK639">
        <v>0</v>
      </c>
      <c r="AL639">
        <v>0.116331</v>
      </c>
      <c r="AM639">
        <v>12.003</v>
      </c>
      <c r="AN639">
        <v>58.556100000000001</v>
      </c>
      <c r="AO639">
        <v>21.053100000000001</v>
      </c>
      <c r="AP639">
        <v>5.6440099999999997</v>
      </c>
      <c r="AQ639">
        <v>2.0619399999999999</v>
      </c>
      <c r="AR639">
        <v>0.68177100000000002</v>
      </c>
      <c r="AS639">
        <v>0.28367900000000001</v>
      </c>
      <c r="AT639">
        <v>0.66237100000000004</v>
      </c>
      <c r="AU639">
        <v>3.8980100000000002</v>
      </c>
      <c r="AV639">
        <v>23.232900000000001</v>
      </c>
      <c r="AW639">
        <v>52.889899999999997</v>
      </c>
      <c r="AX639">
        <v>14.913</v>
      </c>
      <c r="AY639">
        <v>4.4038000000000004</v>
      </c>
      <c r="AZ639">
        <v>463.75200000000001</v>
      </c>
      <c r="BA639">
        <v>576.59900000000005</v>
      </c>
      <c r="BB639">
        <v>16704.3</v>
      </c>
      <c r="BC639">
        <v>0.33548099999999997</v>
      </c>
      <c r="BD639">
        <v>7.4828500000000006E-2</v>
      </c>
      <c r="BE639">
        <v>0.24804300000000001</v>
      </c>
      <c r="BF639">
        <v>0.74135700000000004</v>
      </c>
      <c r="BG639">
        <v>3.4961500000000001</v>
      </c>
      <c r="BH639">
        <v>13.9818</v>
      </c>
      <c r="BI639">
        <v>81.457800000000006</v>
      </c>
      <c r="BJ639">
        <v>30.636299999999999</v>
      </c>
      <c r="BK639">
        <v>0</v>
      </c>
      <c r="BL639">
        <v>38.270600000000002</v>
      </c>
      <c r="BM639">
        <v>52.481099999999998</v>
      </c>
      <c r="BN639">
        <v>7.2154100000000003</v>
      </c>
      <c r="BO639">
        <v>1.3871</v>
      </c>
      <c r="BP639">
        <v>0.64574200000000004</v>
      </c>
      <c r="BQ639">
        <v>34.465299999999999</v>
      </c>
      <c r="BR639">
        <v>72165</v>
      </c>
    </row>
    <row r="640" spans="1:70" x14ac:dyDescent="0.25">
      <c r="A640">
        <v>32</v>
      </c>
      <c r="B640" s="7">
        <v>46024.540335648147</v>
      </c>
      <c r="C640" t="s">
        <v>127</v>
      </c>
      <c r="D640" s="6" t="s">
        <v>230</v>
      </c>
      <c r="E640" s="6" t="str">
        <f>VLOOKUP(F640,Germplasm!$A$1:$B$21,2,FALSE)</f>
        <v>Arve</v>
      </c>
      <c r="F640" t="s">
        <v>68</v>
      </c>
      <c r="G640" s="6" t="s">
        <v>113</v>
      </c>
      <c r="H640">
        <v>29974.9</v>
      </c>
      <c r="I640">
        <v>465.14100000000002</v>
      </c>
      <c r="J640">
        <v>71302.2</v>
      </c>
      <c r="K640">
        <v>22.0654</v>
      </c>
      <c r="L640">
        <v>51.7517</v>
      </c>
      <c r="M640">
        <v>1063.74</v>
      </c>
      <c r="N640">
        <v>419.64499999999998</v>
      </c>
      <c r="O640">
        <v>14567400</v>
      </c>
      <c r="P640">
        <v>2.76221E-4</v>
      </c>
      <c r="Q640">
        <v>1.25265</v>
      </c>
      <c r="R640">
        <v>45.023099999999999</v>
      </c>
      <c r="S640">
        <v>52.1325</v>
      </c>
      <c r="T640">
        <v>1.33002</v>
      </c>
      <c r="U640">
        <v>0.232095</v>
      </c>
      <c r="V640">
        <v>2.9629099999999998E-2</v>
      </c>
      <c r="W640">
        <v>32.555700000000002</v>
      </c>
      <c r="X640">
        <v>25.7164</v>
      </c>
      <c r="Y640">
        <v>58.533999999999999</v>
      </c>
      <c r="Z640">
        <v>7.1702500000000002</v>
      </c>
      <c r="AA640">
        <v>1.97363</v>
      </c>
      <c r="AB640">
        <v>0.90862699999999996</v>
      </c>
      <c r="AC640">
        <v>5.6970299999999998</v>
      </c>
      <c r="AD640">
        <v>1.9052100000000001</v>
      </c>
      <c r="AE640">
        <v>19.395900000000001</v>
      </c>
      <c r="AF640">
        <v>0</v>
      </c>
      <c r="AG640">
        <v>74.031700000000001</v>
      </c>
      <c r="AH640">
        <v>25.588100000000001</v>
      </c>
      <c r="AI640">
        <v>0.31604399999999999</v>
      </c>
      <c r="AJ640">
        <v>6.4196500000000004E-2</v>
      </c>
      <c r="AK640">
        <v>0</v>
      </c>
      <c r="AL640">
        <v>9.3136300000000005E-2</v>
      </c>
      <c r="AM640">
        <v>13.6426</v>
      </c>
      <c r="AN640">
        <v>64.612899999999996</v>
      </c>
      <c r="AO640">
        <v>17.390699999999999</v>
      </c>
      <c r="AP640">
        <v>2.8855499999999998</v>
      </c>
      <c r="AQ640">
        <v>1.1127400000000001</v>
      </c>
      <c r="AR640">
        <v>0.35554999999999998</v>
      </c>
      <c r="AS640">
        <v>0.28309899999999999</v>
      </c>
      <c r="AT640">
        <v>0.48888100000000001</v>
      </c>
      <c r="AU640">
        <v>2.8048899999999999</v>
      </c>
      <c r="AV640">
        <v>23.782299999999999</v>
      </c>
      <c r="AW640">
        <v>55.824599999999997</v>
      </c>
      <c r="AX640">
        <v>13.2525</v>
      </c>
      <c r="AY640">
        <v>3.8468499999999999</v>
      </c>
      <c r="AZ640">
        <v>485.98700000000002</v>
      </c>
      <c r="BA640">
        <v>555.59900000000005</v>
      </c>
      <c r="BB640">
        <v>15733.1</v>
      </c>
      <c r="BC640">
        <v>0.345302</v>
      </c>
      <c r="BD640">
        <v>9.21796E-2</v>
      </c>
      <c r="BE640">
        <v>0.30287599999999998</v>
      </c>
      <c r="BF640">
        <v>0.57282999999999995</v>
      </c>
      <c r="BG640">
        <v>2.3258899999999998</v>
      </c>
      <c r="BH640">
        <v>10.6928</v>
      </c>
      <c r="BI640">
        <v>86.013400000000004</v>
      </c>
      <c r="BJ640">
        <v>29.624199999999998</v>
      </c>
      <c r="BK640">
        <v>0</v>
      </c>
      <c r="BL640">
        <v>40.470100000000002</v>
      </c>
      <c r="BM640">
        <v>51.862499999999997</v>
      </c>
      <c r="BN640">
        <v>5.8303599999999998</v>
      </c>
      <c r="BO640">
        <v>1.19669</v>
      </c>
      <c r="BP640">
        <v>0.64031899999999997</v>
      </c>
      <c r="BQ640">
        <v>31.678599999999999</v>
      </c>
      <c r="BR640">
        <v>60751</v>
      </c>
    </row>
    <row r="641" spans="1:70" x14ac:dyDescent="0.25">
      <c r="A641">
        <v>48</v>
      </c>
      <c r="B641" s="7">
        <v>45952.577488425923</v>
      </c>
      <c r="C641" t="s">
        <v>185</v>
      </c>
      <c r="D641" s="6" t="s">
        <v>372</v>
      </c>
      <c r="E641" s="6" t="str">
        <f>VLOOKUP(F641,Germplasm!$A$1:$B$21,2,FALSE)</f>
        <v>Bredo</v>
      </c>
      <c r="F641" t="s">
        <v>79</v>
      </c>
      <c r="G641" s="6" t="s">
        <v>113</v>
      </c>
      <c r="H641">
        <v>30953.1</v>
      </c>
      <c r="I641">
        <v>335.12200000000001</v>
      </c>
      <c r="J641">
        <v>172443</v>
      </c>
      <c r="K641">
        <v>9.6587300000000003</v>
      </c>
      <c r="L641">
        <v>71.543000000000006</v>
      </c>
      <c r="M641">
        <v>1630.93</v>
      </c>
      <c r="N641">
        <v>611.95899999999995</v>
      </c>
      <c r="O641">
        <v>11721500</v>
      </c>
      <c r="P641">
        <v>0.239653</v>
      </c>
      <c r="Q641">
        <v>0.55619200000000002</v>
      </c>
      <c r="R641">
        <v>4.7178100000000001</v>
      </c>
      <c r="S641">
        <v>19.609000000000002</v>
      </c>
      <c r="T641">
        <v>40.773800000000001</v>
      </c>
      <c r="U641">
        <v>33.680700000000002</v>
      </c>
      <c r="V641">
        <v>0.66252200000000006</v>
      </c>
      <c r="W641">
        <v>116.42700000000001</v>
      </c>
      <c r="X641">
        <v>1.3266800000000001</v>
      </c>
      <c r="Y641">
        <v>2.4766900000000001</v>
      </c>
      <c r="Z641">
        <v>4.3742799999999997</v>
      </c>
      <c r="AA641">
        <v>18.0108</v>
      </c>
      <c r="AB641">
        <v>36.0625</v>
      </c>
      <c r="AC641">
        <v>37.749099999999999</v>
      </c>
      <c r="AD641">
        <v>1.8584000000000001</v>
      </c>
      <c r="AE641">
        <v>6.4338600000000001</v>
      </c>
      <c r="AF641">
        <v>0</v>
      </c>
      <c r="AG641">
        <v>99.730099999999993</v>
      </c>
      <c r="AH641">
        <v>0.26991700000000002</v>
      </c>
      <c r="AI641">
        <v>0</v>
      </c>
      <c r="AJ641">
        <v>0</v>
      </c>
      <c r="AK641">
        <v>0</v>
      </c>
      <c r="AL641">
        <v>0.51436300000000001</v>
      </c>
      <c r="AM641">
        <v>0.95043299999999997</v>
      </c>
      <c r="AN641">
        <v>3.26681</v>
      </c>
      <c r="AO641">
        <v>6.25061</v>
      </c>
      <c r="AP641">
        <v>16.707000000000001</v>
      </c>
      <c r="AQ641">
        <v>39.581200000000003</v>
      </c>
      <c r="AR641">
        <v>33.243899999999996</v>
      </c>
      <c r="AS641">
        <v>4.3609599999999998E-2</v>
      </c>
      <c r="AT641">
        <v>8.6520499999999991</v>
      </c>
      <c r="AU641">
        <v>33.947299999999998</v>
      </c>
      <c r="AV641">
        <v>39.095399999999998</v>
      </c>
      <c r="AW641">
        <v>13.696999999999999</v>
      </c>
      <c r="AX641">
        <v>3.09504</v>
      </c>
      <c r="AY641">
        <v>1.5131699999999999</v>
      </c>
      <c r="AZ641">
        <v>378.68799999999999</v>
      </c>
      <c r="BA641">
        <v>456.59899999999999</v>
      </c>
      <c r="BB641">
        <v>16655.8</v>
      </c>
      <c r="BC641">
        <v>1.49284E-2</v>
      </c>
      <c r="BD641">
        <v>6.5434300000000001E-2</v>
      </c>
      <c r="BE641">
        <v>0.53001799999999999</v>
      </c>
      <c r="BF641">
        <v>3.8687999999999998</v>
      </c>
      <c r="BG641">
        <v>38.133499999999998</v>
      </c>
      <c r="BH641">
        <v>51.6113</v>
      </c>
      <c r="BI641">
        <v>5.79094</v>
      </c>
      <c r="BJ641">
        <v>33.215699999999998</v>
      </c>
      <c r="BK641">
        <v>0</v>
      </c>
      <c r="BL641">
        <v>30.633099999999999</v>
      </c>
      <c r="BM641">
        <v>57.075099999999999</v>
      </c>
      <c r="BN641">
        <v>10.7509</v>
      </c>
      <c r="BO641">
        <v>1.18763</v>
      </c>
      <c r="BP641">
        <v>0.35334500000000002</v>
      </c>
      <c r="BQ641">
        <v>32.576300000000003</v>
      </c>
      <c r="BR641">
        <v>61130</v>
      </c>
    </row>
    <row r="642" spans="1:70" x14ac:dyDescent="0.25">
      <c r="A642">
        <v>48</v>
      </c>
      <c r="B642" s="7">
        <v>45959.54414351852</v>
      </c>
      <c r="C642" t="s">
        <v>185</v>
      </c>
      <c r="D642" s="6" t="s">
        <v>373</v>
      </c>
      <c r="E642" s="6" t="str">
        <f>VLOOKUP(F642,Germplasm!$A$1:$B$21,2,FALSE)</f>
        <v>Bredo</v>
      </c>
      <c r="F642" t="s">
        <v>79</v>
      </c>
      <c r="G642" s="6" t="s">
        <v>113</v>
      </c>
      <c r="H642">
        <v>60170.7</v>
      </c>
      <c r="I642">
        <v>314.52800000000002</v>
      </c>
      <c r="J642">
        <v>220530</v>
      </c>
      <c r="K642">
        <v>16.0275</v>
      </c>
      <c r="L642">
        <v>83.893199999999993</v>
      </c>
      <c r="M642">
        <v>1759.06</v>
      </c>
      <c r="N642">
        <v>624.52200000000005</v>
      </c>
      <c r="O642">
        <v>23367000</v>
      </c>
      <c r="P642">
        <v>0.26262600000000003</v>
      </c>
      <c r="Q642">
        <v>0.63950899999999999</v>
      </c>
      <c r="R642">
        <v>3.09626</v>
      </c>
      <c r="S642">
        <v>15.830299999999999</v>
      </c>
      <c r="T642">
        <v>40.119</v>
      </c>
      <c r="U642">
        <v>38.968699999999998</v>
      </c>
      <c r="V642">
        <v>1.3463000000000001</v>
      </c>
      <c r="W642">
        <v>118.843</v>
      </c>
      <c r="X642">
        <v>0.80511600000000005</v>
      </c>
      <c r="Y642">
        <v>1.5059899999999999</v>
      </c>
      <c r="Z642">
        <v>3.2670400000000002</v>
      </c>
      <c r="AA642">
        <v>15.57</v>
      </c>
      <c r="AB642">
        <v>39.892099999999999</v>
      </c>
      <c r="AC642">
        <v>38.959800000000001</v>
      </c>
      <c r="AD642">
        <v>1.70235</v>
      </c>
      <c r="AE642">
        <v>5.7955100000000002</v>
      </c>
      <c r="AF642">
        <v>0</v>
      </c>
      <c r="AG642">
        <v>99.9542</v>
      </c>
      <c r="AH642">
        <v>3.69658E-2</v>
      </c>
      <c r="AI642">
        <v>5.9145300000000003E-3</v>
      </c>
      <c r="AJ642">
        <v>2.9572700000000001E-3</v>
      </c>
      <c r="AK642">
        <v>0</v>
      </c>
      <c r="AL642">
        <v>0.55770299999999995</v>
      </c>
      <c r="AM642">
        <v>0.53156899999999996</v>
      </c>
      <c r="AN642">
        <v>2.1743299999999999</v>
      </c>
      <c r="AO642">
        <v>4.2067100000000002</v>
      </c>
      <c r="AP642">
        <v>12.1204</v>
      </c>
      <c r="AQ642">
        <v>35.709699999999998</v>
      </c>
      <c r="AR642">
        <v>45.257300000000001</v>
      </c>
      <c r="AS642">
        <v>3.5454100000000002E-2</v>
      </c>
      <c r="AT642">
        <v>9.0115300000000005</v>
      </c>
      <c r="AU642">
        <v>36.217700000000001</v>
      </c>
      <c r="AV642">
        <v>38.29</v>
      </c>
      <c r="AW642">
        <v>11.684200000000001</v>
      </c>
      <c r="AX642">
        <v>2.74213</v>
      </c>
      <c r="AY642">
        <v>2.0545599999999999</v>
      </c>
      <c r="AZ642">
        <v>388.34500000000003</v>
      </c>
      <c r="BA642">
        <v>400.19900000000001</v>
      </c>
      <c r="BB642">
        <v>35345.599999999999</v>
      </c>
      <c r="BC642">
        <v>5.5438500000000003E-3</v>
      </c>
      <c r="BD642">
        <v>7.2453100000000006E-2</v>
      </c>
      <c r="BE642">
        <v>0.52639400000000003</v>
      </c>
      <c r="BF642">
        <v>3.3239700000000001</v>
      </c>
      <c r="BG642">
        <v>41.304200000000002</v>
      </c>
      <c r="BH642">
        <v>50.852400000000003</v>
      </c>
      <c r="BI642">
        <v>3.9205999999999999</v>
      </c>
      <c r="BJ642">
        <v>35.182299999999998</v>
      </c>
      <c r="BK642">
        <v>0</v>
      </c>
      <c r="BL642">
        <v>26.4801</v>
      </c>
      <c r="BM642">
        <v>59.066200000000002</v>
      </c>
      <c r="BN642">
        <v>11.7951</v>
      </c>
      <c r="BO642">
        <v>1.6228</v>
      </c>
      <c r="BP642">
        <v>1.0357799999999999</v>
      </c>
      <c r="BQ642">
        <v>36.021099999999997</v>
      </c>
      <c r="BR642">
        <v>135260</v>
      </c>
    </row>
    <row r="643" spans="1:70" x14ac:dyDescent="0.25">
      <c r="A643">
        <v>48</v>
      </c>
      <c r="B643" s="7">
        <v>45966.535497685189</v>
      </c>
      <c r="C643" t="s">
        <v>185</v>
      </c>
      <c r="D643" s="6" t="s">
        <v>374</v>
      </c>
      <c r="E643" s="6" t="str">
        <f>VLOOKUP(F643,Germplasm!$A$1:$B$21,2,FALSE)</f>
        <v>Bredo</v>
      </c>
      <c r="F643" t="s">
        <v>79</v>
      </c>
      <c r="G643" s="6" t="s">
        <v>113</v>
      </c>
      <c r="H643">
        <v>42167.199999999997</v>
      </c>
      <c r="I643">
        <v>371.70100000000002</v>
      </c>
      <c r="J643">
        <v>165129</v>
      </c>
      <c r="K643">
        <v>15.678699999999999</v>
      </c>
      <c r="L643">
        <v>67.870999999999995</v>
      </c>
      <c r="M643">
        <v>1540.86</v>
      </c>
      <c r="N643">
        <v>537.73699999999997</v>
      </c>
      <c r="O643">
        <v>19318400</v>
      </c>
      <c r="P643">
        <v>0.27302300000000002</v>
      </c>
      <c r="Q643">
        <v>0.18934000000000001</v>
      </c>
      <c r="R643">
        <v>1.8248500000000001</v>
      </c>
      <c r="S643">
        <v>12.479100000000001</v>
      </c>
      <c r="T643">
        <v>43.165199999999999</v>
      </c>
      <c r="U643">
        <v>41.6571</v>
      </c>
      <c r="V643">
        <v>0.68445500000000004</v>
      </c>
      <c r="W643">
        <v>107.67700000000001</v>
      </c>
      <c r="X643">
        <v>0.80959300000000001</v>
      </c>
      <c r="Y643">
        <v>3.0784099999999999</v>
      </c>
      <c r="Z643">
        <v>7.0034200000000002</v>
      </c>
      <c r="AA643">
        <v>22.6675</v>
      </c>
      <c r="AB643">
        <v>42.585299999999997</v>
      </c>
      <c r="AC643">
        <v>23.855799999999999</v>
      </c>
      <c r="AD643">
        <v>1.6287</v>
      </c>
      <c r="AE643">
        <v>6.5664699999999998</v>
      </c>
      <c r="AF643">
        <v>0</v>
      </c>
      <c r="AG643">
        <v>99.950999999999993</v>
      </c>
      <c r="AH643">
        <v>4.8967299999999998E-2</v>
      </c>
      <c r="AI643">
        <v>0</v>
      </c>
      <c r="AJ643">
        <v>0</v>
      </c>
      <c r="AK643">
        <v>0</v>
      </c>
      <c r="AL643">
        <v>0.53863000000000005</v>
      </c>
      <c r="AM643">
        <v>0.50055499999999997</v>
      </c>
      <c r="AN643">
        <v>2.6377100000000002</v>
      </c>
      <c r="AO643">
        <v>5.2286200000000003</v>
      </c>
      <c r="AP643">
        <v>13.8665</v>
      </c>
      <c r="AQ643">
        <v>36.974699999999999</v>
      </c>
      <c r="AR643">
        <v>40.792000000000002</v>
      </c>
      <c r="AS643">
        <v>0.11247600000000001</v>
      </c>
      <c r="AT643">
        <v>2.7117</v>
      </c>
      <c r="AU643">
        <v>27.380400000000002</v>
      </c>
      <c r="AV643">
        <v>41.306699999999999</v>
      </c>
      <c r="AW643">
        <v>20.178899999999999</v>
      </c>
      <c r="AX643">
        <v>6.4201600000000001</v>
      </c>
      <c r="AY643">
        <v>2.0022199999999999</v>
      </c>
      <c r="AZ643">
        <v>458.13900000000001</v>
      </c>
      <c r="BA643">
        <v>467.56299999999999</v>
      </c>
      <c r="BB643">
        <v>25890.1</v>
      </c>
      <c r="BC643">
        <v>5.93541E-2</v>
      </c>
      <c r="BD643">
        <v>1.1969799999999999E-2</v>
      </c>
      <c r="BE643">
        <v>8.92294E-2</v>
      </c>
      <c r="BF643">
        <v>0.87923600000000002</v>
      </c>
      <c r="BG643">
        <v>29.111599999999999</v>
      </c>
      <c r="BH643">
        <v>59.0154</v>
      </c>
      <c r="BI643">
        <v>10.8925</v>
      </c>
      <c r="BJ643">
        <v>36.691800000000001</v>
      </c>
      <c r="BK643">
        <v>0</v>
      </c>
      <c r="BL643">
        <v>19.5641</v>
      </c>
      <c r="BM643">
        <v>65.5749</v>
      </c>
      <c r="BN643">
        <v>13.153700000000001</v>
      </c>
      <c r="BO643">
        <v>1.19916</v>
      </c>
      <c r="BP643">
        <v>0.50817199999999996</v>
      </c>
      <c r="BQ643">
        <v>37.922699999999999</v>
      </c>
      <c r="BR643">
        <v>91898</v>
      </c>
    </row>
    <row r="644" spans="1:70" x14ac:dyDescent="0.25">
      <c r="A644">
        <v>48</v>
      </c>
      <c r="B644" s="7">
        <v>45973.570625</v>
      </c>
      <c r="C644" t="s">
        <v>185</v>
      </c>
      <c r="D644" s="6" t="s">
        <v>375</v>
      </c>
      <c r="E644" s="6" t="str">
        <f>VLOOKUP(F644,Germplasm!$A$1:$B$21,2,FALSE)</f>
        <v>Bredo</v>
      </c>
      <c r="F644" t="s">
        <v>79</v>
      </c>
      <c r="G644" s="6" t="s">
        <v>113</v>
      </c>
      <c r="H644">
        <v>46026.400000000001</v>
      </c>
      <c r="I644">
        <v>424.12099999999998</v>
      </c>
      <c r="J644">
        <v>233411</v>
      </c>
      <c r="K644">
        <v>11.947100000000001</v>
      </c>
      <c r="L644">
        <v>82.964100000000002</v>
      </c>
      <c r="M644">
        <v>1804.2</v>
      </c>
      <c r="N644">
        <v>643.52099999999996</v>
      </c>
      <c r="O644">
        <v>26265300</v>
      </c>
      <c r="P644">
        <v>0.24862699999999999</v>
      </c>
      <c r="Q644">
        <v>0.23314499999999999</v>
      </c>
      <c r="R644">
        <v>4.4877900000000004</v>
      </c>
      <c r="S644">
        <v>15.2461</v>
      </c>
      <c r="T644">
        <v>43.600200000000001</v>
      </c>
      <c r="U644">
        <v>36.062199999999997</v>
      </c>
      <c r="V644">
        <v>0.370589</v>
      </c>
      <c r="W644">
        <v>111.095</v>
      </c>
      <c r="X644">
        <v>2.3803200000000002</v>
      </c>
      <c r="Y644">
        <v>4.33406</v>
      </c>
      <c r="Z644">
        <v>3.8647100000000001</v>
      </c>
      <c r="AA644">
        <v>16.284500000000001</v>
      </c>
      <c r="AB644">
        <v>43.366</v>
      </c>
      <c r="AC644">
        <v>29.770299999999999</v>
      </c>
      <c r="AD644">
        <v>1.65052</v>
      </c>
      <c r="AE644">
        <v>6.49939</v>
      </c>
      <c r="AF644">
        <v>0</v>
      </c>
      <c r="AG644">
        <v>99.557100000000005</v>
      </c>
      <c r="AH644">
        <v>0.44287399999999999</v>
      </c>
      <c r="AI644">
        <v>0</v>
      </c>
      <c r="AJ644">
        <v>0</v>
      </c>
      <c r="AK644">
        <v>0</v>
      </c>
      <c r="AL644">
        <v>0.53310000000000002</v>
      </c>
      <c r="AM644">
        <v>0.73914199999999997</v>
      </c>
      <c r="AN644">
        <v>4.3839499999999996</v>
      </c>
      <c r="AO644">
        <v>6.0902900000000004</v>
      </c>
      <c r="AP644">
        <v>11.363</v>
      </c>
      <c r="AQ644">
        <v>34.680599999999998</v>
      </c>
      <c r="AR644">
        <v>42.743000000000002</v>
      </c>
      <c r="AS644">
        <v>7.5823500000000002E-2</v>
      </c>
      <c r="AT644">
        <v>2.9596200000000001</v>
      </c>
      <c r="AU644">
        <v>33.844799999999999</v>
      </c>
      <c r="AV644">
        <v>42.301099999999998</v>
      </c>
      <c r="AW644">
        <v>15.465999999999999</v>
      </c>
      <c r="AX644">
        <v>4.06121</v>
      </c>
      <c r="AY644">
        <v>1.36731</v>
      </c>
      <c r="AZ644">
        <v>570.65800000000002</v>
      </c>
      <c r="BA644">
        <v>631.20000000000005</v>
      </c>
      <c r="BB644">
        <v>27885.9</v>
      </c>
      <c r="BC644">
        <v>4.5470799999999999E-2</v>
      </c>
      <c r="BD644">
        <v>9.1629199999999997E-3</v>
      </c>
      <c r="BE644">
        <v>0.104864</v>
      </c>
      <c r="BF644">
        <v>1.04457</v>
      </c>
      <c r="BG644">
        <v>35.645800000000001</v>
      </c>
      <c r="BH644">
        <v>53.344499999999996</v>
      </c>
      <c r="BI644">
        <v>9.8511500000000005</v>
      </c>
      <c r="BJ644">
        <v>33.524799999999999</v>
      </c>
      <c r="BK644">
        <v>0</v>
      </c>
      <c r="BL644">
        <v>25.4312</v>
      </c>
      <c r="BM644">
        <v>65.027199999999993</v>
      </c>
      <c r="BN644">
        <v>8.4624600000000001</v>
      </c>
      <c r="BO644">
        <v>0.78291999999999995</v>
      </c>
      <c r="BP644">
        <v>0.29626799999999998</v>
      </c>
      <c r="BQ644">
        <v>37.337499999999999</v>
      </c>
      <c r="BR644">
        <v>98222</v>
      </c>
    </row>
    <row r="645" spans="1:70" x14ac:dyDescent="0.25">
      <c r="A645">
        <v>48</v>
      </c>
      <c r="B645" s="7">
        <v>45988.583032407405</v>
      </c>
      <c r="C645" t="s">
        <v>185</v>
      </c>
      <c r="D645" s="6" t="s">
        <v>376</v>
      </c>
      <c r="E645" s="6" t="str">
        <f>VLOOKUP(F645,Germplasm!$A$1:$B$21,2,FALSE)</f>
        <v>Bredo</v>
      </c>
      <c r="F645" t="s">
        <v>79</v>
      </c>
      <c r="G645" s="6" t="s">
        <v>113</v>
      </c>
      <c r="H645">
        <v>63181.599999999999</v>
      </c>
      <c r="I645">
        <v>451.41899999999998</v>
      </c>
      <c r="J645">
        <v>199829</v>
      </c>
      <c r="K645">
        <v>17.8264</v>
      </c>
      <c r="L645">
        <v>76.442800000000005</v>
      </c>
      <c r="M645">
        <v>1677.54</v>
      </c>
      <c r="N645">
        <v>594.78899999999999</v>
      </c>
      <c r="O645">
        <v>37808500</v>
      </c>
      <c r="P645">
        <v>0.176065</v>
      </c>
      <c r="Q645">
        <v>0.90326700000000004</v>
      </c>
      <c r="R645">
        <v>11.1907</v>
      </c>
      <c r="S645">
        <v>27.386399999999998</v>
      </c>
      <c r="T645">
        <v>41.250900000000001</v>
      </c>
      <c r="U645">
        <v>18.794699999999999</v>
      </c>
      <c r="V645">
        <v>0.47401399999999999</v>
      </c>
      <c r="W645">
        <v>88.6648</v>
      </c>
      <c r="X645">
        <v>6.4806299999999997</v>
      </c>
      <c r="Y645">
        <v>13.6569</v>
      </c>
      <c r="Z645">
        <v>8.8419000000000008</v>
      </c>
      <c r="AA645">
        <v>26.411999999999999</v>
      </c>
      <c r="AB645">
        <v>28.901599999999998</v>
      </c>
      <c r="AC645">
        <v>15.707000000000001</v>
      </c>
      <c r="AD645">
        <v>1.7736499999999999</v>
      </c>
      <c r="AE645">
        <v>8.3606099999999994</v>
      </c>
      <c r="AF645">
        <v>0</v>
      </c>
      <c r="AG645">
        <v>98.803200000000004</v>
      </c>
      <c r="AH645">
        <v>1.18283</v>
      </c>
      <c r="AI645">
        <v>1.39416E-2</v>
      </c>
      <c r="AJ645">
        <v>0</v>
      </c>
      <c r="AK645">
        <v>0</v>
      </c>
      <c r="AL645">
        <v>0.37237199999999998</v>
      </c>
      <c r="AM645">
        <v>3.5352899999999998</v>
      </c>
      <c r="AN645">
        <v>15.707000000000001</v>
      </c>
      <c r="AO645">
        <v>14.7971</v>
      </c>
      <c r="AP645">
        <v>21.244800000000001</v>
      </c>
      <c r="AQ645">
        <v>34.718899999999998</v>
      </c>
      <c r="AR645">
        <v>9.9968500000000002</v>
      </c>
      <c r="AS645">
        <v>0.17555499999999999</v>
      </c>
      <c r="AT645">
        <v>1.1094599999999999</v>
      </c>
      <c r="AU645">
        <v>16.454000000000001</v>
      </c>
      <c r="AV645">
        <v>41.862200000000001</v>
      </c>
      <c r="AW645">
        <v>28.526700000000002</v>
      </c>
      <c r="AX645">
        <v>9.1464099999999995</v>
      </c>
      <c r="AY645">
        <v>2.9013200000000001</v>
      </c>
      <c r="AZ645">
        <v>598.41</v>
      </c>
      <c r="BA645">
        <v>658.80100000000004</v>
      </c>
      <c r="BB645">
        <v>35622.300000000003</v>
      </c>
      <c r="BC645">
        <v>0.144954</v>
      </c>
      <c r="BD645">
        <v>5.6500099999999998E-2</v>
      </c>
      <c r="BE645">
        <v>0.17537</v>
      </c>
      <c r="BF645">
        <v>0.87465099999999996</v>
      </c>
      <c r="BG645">
        <v>16.456900000000001</v>
      </c>
      <c r="BH645">
        <v>53.8996</v>
      </c>
      <c r="BI645">
        <v>28.536899999999999</v>
      </c>
      <c r="BJ645">
        <v>32.583300000000001</v>
      </c>
      <c r="BK645">
        <v>0</v>
      </c>
      <c r="BL645">
        <v>31.844000000000001</v>
      </c>
      <c r="BM645">
        <v>57.371099999999998</v>
      </c>
      <c r="BN645">
        <v>8.7347699999999993</v>
      </c>
      <c r="BO645">
        <v>1.3002400000000001</v>
      </c>
      <c r="BP645">
        <v>0.74990999999999997</v>
      </c>
      <c r="BQ645">
        <v>34.364800000000002</v>
      </c>
      <c r="BR645">
        <v>136283</v>
      </c>
    </row>
    <row r="646" spans="1:70" x14ac:dyDescent="0.25">
      <c r="A646">
        <v>48</v>
      </c>
      <c r="B646" s="7">
        <v>45994.561041666668</v>
      </c>
      <c r="C646" t="s">
        <v>185</v>
      </c>
      <c r="D646" s="6" t="s">
        <v>377</v>
      </c>
      <c r="E646" s="6" t="str">
        <f>VLOOKUP(F646,Germplasm!$A$1:$B$21,2,FALSE)</f>
        <v>Bredo</v>
      </c>
      <c r="F646" t="s">
        <v>79</v>
      </c>
      <c r="G646" s="6" t="s">
        <v>113</v>
      </c>
      <c r="H646">
        <v>56672.1</v>
      </c>
      <c r="I646">
        <v>461.77499999999998</v>
      </c>
      <c r="J646">
        <v>175873</v>
      </c>
      <c r="K646">
        <v>17.876200000000001</v>
      </c>
      <c r="L646">
        <v>82.306600000000003</v>
      </c>
      <c r="M646">
        <v>1567.43</v>
      </c>
      <c r="N646">
        <v>551.67700000000002</v>
      </c>
      <c r="O646">
        <v>34247700</v>
      </c>
      <c r="P646">
        <v>0.13431699999999999</v>
      </c>
      <c r="Q646">
        <v>0.99951100000000004</v>
      </c>
      <c r="R646">
        <v>16.462700000000002</v>
      </c>
      <c r="S646">
        <v>36.4024</v>
      </c>
      <c r="T646">
        <v>34.616500000000002</v>
      </c>
      <c r="U646">
        <v>11.0838</v>
      </c>
      <c r="V646">
        <v>0.43501600000000001</v>
      </c>
      <c r="W646">
        <v>73.444400000000002</v>
      </c>
      <c r="X646">
        <v>9.4866700000000002</v>
      </c>
      <c r="Y646">
        <v>22.985600000000002</v>
      </c>
      <c r="Z646">
        <v>12.2957</v>
      </c>
      <c r="AA646">
        <v>25.174900000000001</v>
      </c>
      <c r="AB646">
        <v>17.787500000000001</v>
      </c>
      <c r="AC646">
        <v>12.2697</v>
      </c>
      <c r="AD646">
        <v>1.8025800000000001</v>
      </c>
      <c r="AE646">
        <v>9.4707399999999993</v>
      </c>
      <c r="AF646">
        <v>0</v>
      </c>
      <c r="AG646">
        <v>98.414699999999996</v>
      </c>
      <c r="AH646">
        <v>1.5805800000000001</v>
      </c>
      <c r="AI646">
        <v>4.7370199999999998E-3</v>
      </c>
      <c r="AJ646">
        <v>0</v>
      </c>
      <c r="AK646">
        <v>0</v>
      </c>
      <c r="AL646">
        <v>0.29557499999999998</v>
      </c>
      <c r="AM646">
        <v>4.6785899999999998</v>
      </c>
      <c r="AN646">
        <v>25.227799999999998</v>
      </c>
      <c r="AO646">
        <v>20.132300000000001</v>
      </c>
      <c r="AP646">
        <v>23.511399999999998</v>
      </c>
      <c r="AQ646">
        <v>21.333200000000001</v>
      </c>
      <c r="AR646">
        <v>5.1167699999999998</v>
      </c>
      <c r="AS646">
        <v>0.22234499999999999</v>
      </c>
      <c r="AT646">
        <v>0.93792900000000001</v>
      </c>
      <c r="AU646">
        <v>11.4162</v>
      </c>
      <c r="AV646">
        <v>34.3386</v>
      </c>
      <c r="AW646">
        <v>36.359000000000002</v>
      </c>
      <c r="AX646">
        <v>13.8408</v>
      </c>
      <c r="AY646">
        <v>3.1074799999999998</v>
      </c>
      <c r="AZ646">
        <v>604.31299999999999</v>
      </c>
      <c r="BA646">
        <v>653.99900000000002</v>
      </c>
      <c r="BB646">
        <v>31439.4</v>
      </c>
      <c r="BC646">
        <v>0.206155</v>
      </c>
      <c r="BD646">
        <v>4.5001699999999999E-2</v>
      </c>
      <c r="BE646">
        <v>0.14921599999999999</v>
      </c>
      <c r="BF646">
        <v>0.785555</v>
      </c>
      <c r="BG646">
        <v>11.3728</v>
      </c>
      <c r="BH646">
        <v>43.796100000000003</v>
      </c>
      <c r="BI646">
        <v>43.851399999999998</v>
      </c>
      <c r="BJ646">
        <v>32.664299999999997</v>
      </c>
      <c r="BK646">
        <v>0</v>
      </c>
      <c r="BL646">
        <v>32.582799999999999</v>
      </c>
      <c r="BM646">
        <v>56.452599999999997</v>
      </c>
      <c r="BN646">
        <v>8.96875</v>
      </c>
      <c r="BO646">
        <v>1.27268</v>
      </c>
      <c r="BP646">
        <v>0.72318499999999997</v>
      </c>
      <c r="BQ646">
        <v>33.735799999999998</v>
      </c>
      <c r="BR646">
        <v>126662</v>
      </c>
    </row>
    <row r="647" spans="1:70" x14ac:dyDescent="0.25">
      <c r="A647">
        <v>48</v>
      </c>
      <c r="B647" s="7">
        <v>46002.588009259256</v>
      </c>
      <c r="C647" t="s">
        <v>185</v>
      </c>
      <c r="D647" s="6" t="s">
        <v>378</v>
      </c>
      <c r="E647" s="6" t="str">
        <f>VLOOKUP(F647,Germplasm!$A$1:$B$21,2,FALSE)</f>
        <v>Bredo</v>
      </c>
      <c r="F647" t="s">
        <v>79</v>
      </c>
      <c r="G647" s="6" t="s">
        <v>113</v>
      </c>
      <c r="H647">
        <v>50241.2</v>
      </c>
      <c r="I647">
        <v>510.7</v>
      </c>
      <c r="J647">
        <v>165772</v>
      </c>
      <c r="K647">
        <v>16.483899999999998</v>
      </c>
      <c r="L647">
        <v>63.826300000000003</v>
      </c>
      <c r="M647">
        <v>1578.15</v>
      </c>
      <c r="N647">
        <v>597.39300000000003</v>
      </c>
      <c r="O647">
        <v>29659900</v>
      </c>
      <c r="P647">
        <v>8.2739400000000005E-2</v>
      </c>
      <c r="Q647">
        <v>1.0727</v>
      </c>
      <c r="R647">
        <v>27.8325</v>
      </c>
      <c r="S647">
        <v>42.565300000000001</v>
      </c>
      <c r="T647">
        <v>21.663399999999999</v>
      </c>
      <c r="U647">
        <v>6.4845199999999998</v>
      </c>
      <c r="V647">
        <v>0.38159199999999999</v>
      </c>
      <c r="W647">
        <v>56.394199999999998</v>
      </c>
      <c r="X647">
        <v>16.117599999999999</v>
      </c>
      <c r="Y647">
        <v>34.013399999999997</v>
      </c>
      <c r="Z647">
        <v>12.1889</v>
      </c>
      <c r="AA647">
        <v>16.654399999999999</v>
      </c>
      <c r="AB647">
        <v>10.611599999999999</v>
      </c>
      <c r="AC647">
        <v>10.414099999999999</v>
      </c>
      <c r="AD647">
        <v>1.8386100000000001</v>
      </c>
      <c r="AE647">
        <v>11.5876</v>
      </c>
      <c r="AF647">
        <v>0</v>
      </c>
      <c r="AG647">
        <v>95.599800000000002</v>
      </c>
      <c r="AH647">
        <v>4.3611700000000004</v>
      </c>
      <c r="AI647">
        <v>3.9007199999999999E-2</v>
      </c>
      <c r="AJ647">
        <v>0</v>
      </c>
      <c r="AK647">
        <v>0</v>
      </c>
      <c r="AL647">
        <v>0.22409599999999999</v>
      </c>
      <c r="AM647">
        <v>6.0562899999999997</v>
      </c>
      <c r="AN647">
        <v>36.676900000000003</v>
      </c>
      <c r="AO647">
        <v>26.160299999999999</v>
      </c>
      <c r="AP647">
        <v>17.762699999999999</v>
      </c>
      <c r="AQ647">
        <v>9.7992799999999995</v>
      </c>
      <c r="AR647">
        <v>3.5445700000000002</v>
      </c>
      <c r="AS647">
        <v>0.25542500000000001</v>
      </c>
      <c r="AT647">
        <v>1.2448399999999999</v>
      </c>
      <c r="AU647">
        <v>8.0227599999999999</v>
      </c>
      <c r="AV647">
        <v>27.868099999999998</v>
      </c>
      <c r="AW647">
        <v>42.250700000000002</v>
      </c>
      <c r="AX647">
        <v>16.947800000000001</v>
      </c>
      <c r="AY647">
        <v>3.6658300000000001</v>
      </c>
      <c r="AZ647">
        <v>590.35</v>
      </c>
      <c r="BA647">
        <v>634.19899999999996</v>
      </c>
      <c r="BB647">
        <v>27325.599999999999</v>
      </c>
      <c r="BC647">
        <v>0.259938</v>
      </c>
      <c r="BD647">
        <v>3.5615300000000003E-2</v>
      </c>
      <c r="BE647">
        <v>0.39346399999999998</v>
      </c>
      <c r="BF647">
        <v>1.0905100000000001</v>
      </c>
      <c r="BG647">
        <v>7.7480099999999998</v>
      </c>
      <c r="BH647">
        <v>30.348400000000002</v>
      </c>
      <c r="BI647">
        <v>60.384</v>
      </c>
      <c r="BJ647">
        <v>32.4786</v>
      </c>
      <c r="BK647">
        <v>0</v>
      </c>
      <c r="BL647">
        <v>32.492100000000001</v>
      </c>
      <c r="BM647">
        <v>56.729199999999999</v>
      </c>
      <c r="BN647">
        <v>8.7715300000000003</v>
      </c>
      <c r="BO647">
        <v>1.4924500000000001</v>
      </c>
      <c r="BP647">
        <v>0.51472499999999999</v>
      </c>
      <c r="BQ647">
        <v>32.985599999999998</v>
      </c>
      <c r="BR647">
        <v>117927</v>
      </c>
    </row>
    <row r="648" spans="1:70" x14ac:dyDescent="0.25">
      <c r="A648">
        <v>48</v>
      </c>
      <c r="B648" s="7">
        <v>46013.566400462965</v>
      </c>
      <c r="C648" t="s">
        <v>185</v>
      </c>
      <c r="D648" s="6" t="s">
        <v>379</v>
      </c>
      <c r="E648" s="6" t="str">
        <f>VLOOKUP(F648,Germplasm!$A$1:$B$21,2,FALSE)</f>
        <v>Bredo</v>
      </c>
      <c r="F648" t="s">
        <v>79</v>
      </c>
      <c r="G648" s="6" t="s">
        <v>113</v>
      </c>
      <c r="H648">
        <v>46419.5</v>
      </c>
      <c r="I648">
        <v>477.10300000000001</v>
      </c>
      <c r="J648">
        <v>145050</v>
      </c>
      <c r="K648">
        <v>17.042000000000002</v>
      </c>
      <c r="L648">
        <v>85.269400000000005</v>
      </c>
      <c r="M648">
        <v>1431.07</v>
      </c>
      <c r="N648">
        <v>492.32400000000001</v>
      </c>
      <c r="O648">
        <v>25983500</v>
      </c>
      <c r="P648">
        <v>6.1616799999999999E-2</v>
      </c>
      <c r="Q648">
        <v>1.3080499999999999</v>
      </c>
      <c r="R648">
        <v>24.4057</v>
      </c>
      <c r="S648">
        <v>55.775700000000001</v>
      </c>
      <c r="T648">
        <v>15.0204</v>
      </c>
      <c r="U648">
        <v>3.4209800000000001</v>
      </c>
      <c r="V648">
        <v>6.9218299999999996E-2</v>
      </c>
      <c r="W648">
        <v>49.329900000000002</v>
      </c>
      <c r="X648">
        <v>12.8187</v>
      </c>
      <c r="Y648">
        <v>42.382899999999999</v>
      </c>
      <c r="Z648">
        <v>18.078399999999998</v>
      </c>
      <c r="AA648">
        <v>13.5206</v>
      </c>
      <c r="AB648">
        <v>4.71305</v>
      </c>
      <c r="AC648">
        <v>8.4863400000000002</v>
      </c>
      <c r="AD648">
        <v>1.87785</v>
      </c>
      <c r="AE648">
        <v>12.7095</v>
      </c>
      <c r="AF648">
        <v>0</v>
      </c>
      <c r="AG648">
        <v>91.285600000000002</v>
      </c>
      <c r="AH648">
        <v>8.7019800000000007</v>
      </c>
      <c r="AI648">
        <v>1.24238E-2</v>
      </c>
      <c r="AJ648">
        <v>0</v>
      </c>
      <c r="AK648">
        <v>0</v>
      </c>
      <c r="AL648">
        <v>0.166153</v>
      </c>
      <c r="AM648">
        <v>7.5501199999999997</v>
      </c>
      <c r="AN648">
        <v>46.294600000000003</v>
      </c>
      <c r="AO648">
        <v>29.378699999999998</v>
      </c>
      <c r="AP648">
        <v>12.1966</v>
      </c>
      <c r="AQ648">
        <v>3.75908</v>
      </c>
      <c r="AR648">
        <v>0.82085799999999998</v>
      </c>
      <c r="AS648">
        <v>0.25714399999999998</v>
      </c>
      <c r="AT648">
        <v>0.62562700000000004</v>
      </c>
      <c r="AU648">
        <v>5.5765099999999999</v>
      </c>
      <c r="AV648">
        <v>27.972200000000001</v>
      </c>
      <c r="AW648">
        <v>50.421999999999997</v>
      </c>
      <c r="AX648">
        <v>12.539199999999999</v>
      </c>
      <c r="AY648">
        <v>2.8645700000000001</v>
      </c>
      <c r="AZ648">
        <v>559.75400000000002</v>
      </c>
      <c r="BA648">
        <v>605.4</v>
      </c>
      <c r="BB648">
        <v>24719.4</v>
      </c>
      <c r="BC648">
        <v>0.28533900000000001</v>
      </c>
      <c r="BD648">
        <v>1.6860900000000002E-2</v>
      </c>
      <c r="BE648">
        <v>0.16594600000000001</v>
      </c>
      <c r="BF648">
        <v>0.81020899999999996</v>
      </c>
      <c r="BG648">
        <v>5.2091200000000004</v>
      </c>
      <c r="BH648">
        <v>22.671600000000002</v>
      </c>
      <c r="BI648">
        <v>71.126199999999997</v>
      </c>
      <c r="BJ648">
        <v>29.897500000000001</v>
      </c>
      <c r="BK648">
        <v>0</v>
      </c>
      <c r="BL648">
        <v>38.348700000000001</v>
      </c>
      <c r="BM648">
        <v>54.198799999999999</v>
      </c>
      <c r="BN648">
        <v>5.9323600000000001</v>
      </c>
      <c r="BO648">
        <v>1.1066100000000001</v>
      </c>
      <c r="BP648">
        <v>0.41353499999999999</v>
      </c>
      <c r="BQ648">
        <v>32.209099999999999</v>
      </c>
      <c r="BR648">
        <v>112687</v>
      </c>
    </row>
    <row r="649" spans="1:70" x14ac:dyDescent="0.25">
      <c r="A649">
        <v>48</v>
      </c>
      <c r="B649" s="7">
        <v>46024.563634259262</v>
      </c>
      <c r="C649" t="s">
        <v>185</v>
      </c>
      <c r="D649" s="6" t="s">
        <v>380</v>
      </c>
      <c r="E649" s="6" t="str">
        <f>VLOOKUP(F649,Germplasm!$A$1:$B$21,2,FALSE)</f>
        <v>Bredo</v>
      </c>
      <c r="F649" t="s">
        <v>79</v>
      </c>
      <c r="G649" s="6" t="s">
        <v>113</v>
      </c>
      <c r="H649">
        <v>41526.1</v>
      </c>
      <c r="I649">
        <v>291.02300000000002</v>
      </c>
      <c r="J649">
        <v>122805</v>
      </c>
      <c r="K649">
        <v>18.4834</v>
      </c>
      <c r="L649">
        <v>53.026000000000003</v>
      </c>
      <c r="M649">
        <v>1393.28</v>
      </c>
      <c r="N649">
        <v>561.79499999999996</v>
      </c>
      <c r="O649">
        <v>13275600</v>
      </c>
      <c r="P649">
        <v>9.7768300000000002E-4</v>
      </c>
      <c r="Q649">
        <v>0.86533800000000005</v>
      </c>
      <c r="R649">
        <v>45.658200000000001</v>
      </c>
      <c r="S649">
        <v>52.141199999999998</v>
      </c>
      <c r="T649">
        <v>1.1479699999999999</v>
      </c>
      <c r="U649">
        <v>0.17330000000000001</v>
      </c>
      <c r="V649">
        <v>1.39571E-2</v>
      </c>
      <c r="W649">
        <v>32.186599999999999</v>
      </c>
      <c r="X649">
        <v>24.788900000000002</v>
      </c>
      <c r="Y649">
        <v>62.847499999999997</v>
      </c>
      <c r="Z649">
        <v>5.9654800000000003</v>
      </c>
      <c r="AA649">
        <v>1.6073900000000001</v>
      </c>
      <c r="AB649">
        <v>0.65481900000000004</v>
      </c>
      <c r="AC649">
        <v>4.1359399999999997</v>
      </c>
      <c r="AD649">
        <v>1.8294600000000001</v>
      </c>
      <c r="AE649">
        <v>20.1327</v>
      </c>
      <c r="AF649">
        <v>0</v>
      </c>
      <c r="AG649">
        <v>72.142899999999997</v>
      </c>
      <c r="AH649">
        <v>27.562899999999999</v>
      </c>
      <c r="AI649">
        <v>0.29309800000000003</v>
      </c>
      <c r="AJ649">
        <v>1.1630900000000001E-3</v>
      </c>
      <c r="AK649">
        <v>0</v>
      </c>
      <c r="AL649">
        <v>9.8182400000000003E-2</v>
      </c>
      <c r="AM649">
        <v>11.254</v>
      </c>
      <c r="AN649">
        <v>65.871499999999997</v>
      </c>
      <c r="AO649">
        <v>18.972300000000001</v>
      </c>
      <c r="AP649">
        <v>3.0077500000000001</v>
      </c>
      <c r="AQ649">
        <v>0.71646200000000004</v>
      </c>
      <c r="AR649">
        <v>0.177952</v>
      </c>
      <c r="AS649">
        <v>0.30307000000000001</v>
      </c>
      <c r="AT649">
        <v>0.27914099999999997</v>
      </c>
      <c r="AU649">
        <v>2.0528499999999998</v>
      </c>
      <c r="AV649">
        <v>18.987400000000001</v>
      </c>
      <c r="AW649">
        <v>58.382399999999997</v>
      </c>
      <c r="AX649">
        <v>16.7194</v>
      </c>
      <c r="AY649">
        <v>3.5788199999999999</v>
      </c>
      <c r="AZ649">
        <v>319.69400000000002</v>
      </c>
      <c r="BA649">
        <v>363.6</v>
      </c>
      <c r="BB649">
        <v>22698.5</v>
      </c>
      <c r="BC649">
        <v>0.365093</v>
      </c>
      <c r="BD649">
        <v>4.7686600000000003E-2</v>
      </c>
      <c r="BE649">
        <v>0.17097399999999999</v>
      </c>
      <c r="BF649">
        <v>0.40708100000000003</v>
      </c>
      <c r="BG649">
        <v>1.70509</v>
      </c>
      <c r="BH649">
        <v>8.8476099999999995</v>
      </c>
      <c r="BI649">
        <v>88.821600000000004</v>
      </c>
      <c r="BJ649">
        <v>31.160699999999999</v>
      </c>
      <c r="BK649">
        <v>0</v>
      </c>
      <c r="BL649">
        <v>33.981900000000003</v>
      </c>
      <c r="BM649">
        <v>58.283499999999997</v>
      </c>
      <c r="BN649">
        <v>6.1027199999999997</v>
      </c>
      <c r="BO649">
        <v>1.2398499999999999</v>
      </c>
      <c r="BP649">
        <v>0.391961</v>
      </c>
      <c r="BQ649">
        <v>33.167400000000001</v>
      </c>
      <c r="BR649">
        <v>85978</v>
      </c>
    </row>
    <row r="650" spans="1:70" x14ac:dyDescent="0.25">
      <c r="A650">
        <v>48</v>
      </c>
      <c r="B650" s="7">
        <v>45952.577488425923</v>
      </c>
      <c r="C650" t="s">
        <v>184</v>
      </c>
      <c r="D650" s="6" t="s">
        <v>372</v>
      </c>
      <c r="E650" s="6" t="str">
        <f>VLOOKUP(F650,Germplasm!$A$1:$B$21,2,FALSE)</f>
        <v>Heder</v>
      </c>
      <c r="F650" t="s">
        <v>77</v>
      </c>
      <c r="G650" s="6" t="s">
        <v>113</v>
      </c>
      <c r="H650">
        <v>15170.5</v>
      </c>
      <c r="I650">
        <v>294.95</v>
      </c>
      <c r="J650">
        <v>35700.800000000003</v>
      </c>
      <c r="K650">
        <v>23.479199999999999</v>
      </c>
      <c r="L650">
        <v>72.568100000000001</v>
      </c>
      <c r="M650">
        <v>735.16600000000005</v>
      </c>
      <c r="N650">
        <v>265.38499999999999</v>
      </c>
      <c r="O650">
        <v>4880040</v>
      </c>
      <c r="P650">
        <v>0.22778799999999999</v>
      </c>
      <c r="Q650">
        <v>0.48772399999999999</v>
      </c>
      <c r="R650">
        <v>2.46184</v>
      </c>
      <c r="S650">
        <v>17.853400000000001</v>
      </c>
      <c r="T650">
        <v>54.256799999999998</v>
      </c>
      <c r="U650">
        <v>24.631699999999999</v>
      </c>
      <c r="V650">
        <v>0.30856</v>
      </c>
      <c r="W650">
        <v>115.82899999999999</v>
      </c>
      <c r="X650">
        <v>0.90245500000000001</v>
      </c>
      <c r="Y650">
        <v>1.68879</v>
      </c>
      <c r="Z650">
        <v>3.43066</v>
      </c>
      <c r="AA650">
        <v>18.254799999999999</v>
      </c>
      <c r="AB650">
        <v>40.600499999999997</v>
      </c>
      <c r="AC650">
        <v>35.122799999999998</v>
      </c>
      <c r="AD650">
        <v>1.8098399999999999</v>
      </c>
      <c r="AE650">
        <v>7.6841900000000001</v>
      </c>
      <c r="AF650">
        <v>0</v>
      </c>
      <c r="AG650">
        <v>99.827500000000001</v>
      </c>
      <c r="AH650">
        <v>0.16921</v>
      </c>
      <c r="AI650">
        <v>3.3178499999999998E-3</v>
      </c>
      <c r="AJ650">
        <v>0</v>
      </c>
      <c r="AK650">
        <v>0</v>
      </c>
      <c r="AL650">
        <v>0.51162300000000005</v>
      </c>
      <c r="AM650">
        <v>0.25879200000000002</v>
      </c>
      <c r="AN650">
        <v>1.4100900000000001</v>
      </c>
      <c r="AO650">
        <v>5.2952899999999996</v>
      </c>
      <c r="AP650">
        <v>16.927700000000002</v>
      </c>
      <c r="AQ650">
        <v>53.689399999999999</v>
      </c>
      <c r="AR650">
        <v>22.418700000000001</v>
      </c>
      <c r="AS650">
        <v>3.9174599999999997E-2</v>
      </c>
      <c r="AT650">
        <v>5.36165</v>
      </c>
      <c r="AU650">
        <v>35.829500000000003</v>
      </c>
      <c r="AV650">
        <v>45.610500000000002</v>
      </c>
      <c r="AW650">
        <v>10.3849</v>
      </c>
      <c r="AX650">
        <v>1.6920999999999999</v>
      </c>
      <c r="AY650">
        <v>1.1214299999999999</v>
      </c>
      <c r="AZ650">
        <v>321.67899999999997</v>
      </c>
      <c r="BA650">
        <v>325.19900000000001</v>
      </c>
      <c r="BB650">
        <v>8382.26</v>
      </c>
      <c r="BC650">
        <v>1.7008300000000001E-2</v>
      </c>
      <c r="BD650">
        <v>2.98607E-2</v>
      </c>
      <c r="BE650">
        <v>0.21565999999999999</v>
      </c>
      <c r="BF650">
        <v>2.1964199999999998</v>
      </c>
      <c r="BG650">
        <v>38.749200000000002</v>
      </c>
      <c r="BH650">
        <v>54.704700000000003</v>
      </c>
      <c r="BI650">
        <v>4.1041800000000004</v>
      </c>
      <c r="BJ650">
        <v>30.252199999999998</v>
      </c>
      <c r="BK650">
        <v>0</v>
      </c>
      <c r="BL650">
        <v>35.209000000000003</v>
      </c>
      <c r="BM650">
        <v>59.127400000000002</v>
      </c>
      <c r="BN650">
        <v>4.6881199999999996</v>
      </c>
      <c r="BO650">
        <v>0.56071700000000002</v>
      </c>
      <c r="BP650">
        <v>0.41473100000000002</v>
      </c>
      <c r="BQ650">
        <v>33.525199999999998</v>
      </c>
      <c r="BR650">
        <v>30140</v>
      </c>
    </row>
    <row r="651" spans="1:70" x14ac:dyDescent="0.25">
      <c r="A651">
        <v>48</v>
      </c>
      <c r="B651" s="7">
        <v>45959.54414351852</v>
      </c>
      <c r="C651" t="s">
        <v>184</v>
      </c>
      <c r="D651" s="6" t="s">
        <v>373</v>
      </c>
      <c r="E651" s="6" t="str">
        <f>VLOOKUP(F651,Germplasm!$A$1:$B$21,2,FALSE)</f>
        <v>Heder</v>
      </c>
      <c r="F651" t="s">
        <v>77</v>
      </c>
      <c r="G651" s="6" t="s">
        <v>113</v>
      </c>
      <c r="H651">
        <v>50931.199999999997</v>
      </c>
      <c r="I651">
        <v>347.42599999999999</v>
      </c>
      <c r="J651">
        <v>166095</v>
      </c>
      <c r="K651">
        <v>19.220500000000001</v>
      </c>
      <c r="L651">
        <v>79.236400000000003</v>
      </c>
      <c r="M651">
        <v>1513.57</v>
      </c>
      <c r="N651">
        <v>537.154</v>
      </c>
      <c r="O651">
        <v>21417000</v>
      </c>
      <c r="P651">
        <v>0.23184099999999999</v>
      </c>
      <c r="Q651">
        <v>0.40964099999999998</v>
      </c>
      <c r="R651">
        <v>3.0414099999999999</v>
      </c>
      <c r="S651">
        <v>20.203900000000001</v>
      </c>
      <c r="T651">
        <v>47.621600000000001</v>
      </c>
      <c r="U651">
        <v>28.301400000000001</v>
      </c>
      <c r="V651">
        <v>0.42200100000000001</v>
      </c>
      <c r="W651">
        <v>121.355</v>
      </c>
      <c r="X651">
        <v>0.76895899999999995</v>
      </c>
      <c r="Y651">
        <v>1.6791700000000001</v>
      </c>
      <c r="Z651">
        <v>3.2267999999999999</v>
      </c>
      <c r="AA651">
        <v>12.937200000000001</v>
      </c>
      <c r="AB651">
        <v>37.286999999999999</v>
      </c>
      <c r="AC651">
        <v>44.1008</v>
      </c>
      <c r="AD651">
        <v>1.59537</v>
      </c>
      <c r="AE651">
        <v>6.8923199999999998</v>
      </c>
      <c r="AF651">
        <v>0</v>
      </c>
      <c r="AG651">
        <v>99.523300000000006</v>
      </c>
      <c r="AH651">
        <v>0.46261099999999999</v>
      </c>
      <c r="AI651">
        <v>1.2359800000000001E-2</v>
      </c>
      <c r="AJ651">
        <v>1.7656900000000001E-3</v>
      </c>
      <c r="AK651">
        <v>0</v>
      </c>
      <c r="AL651">
        <v>0.52451700000000001</v>
      </c>
      <c r="AM651">
        <v>0.64006399999999997</v>
      </c>
      <c r="AN651">
        <v>3.0422899999999999</v>
      </c>
      <c r="AO651">
        <v>5.0410500000000003</v>
      </c>
      <c r="AP651">
        <v>15.0931</v>
      </c>
      <c r="AQ651">
        <v>41.253599999999999</v>
      </c>
      <c r="AR651">
        <v>34.9298</v>
      </c>
      <c r="AS651">
        <v>1.44992E-2</v>
      </c>
      <c r="AT651">
        <v>7.1387</v>
      </c>
      <c r="AU651">
        <v>43.7468</v>
      </c>
      <c r="AV651">
        <v>37.123699999999999</v>
      </c>
      <c r="AW651">
        <v>9.0165100000000002</v>
      </c>
      <c r="AX651">
        <v>1.78688</v>
      </c>
      <c r="AY651">
        <v>1.18743</v>
      </c>
      <c r="AZ651">
        <v>420.50900000000001</v>
      </c>
      <c r="BA651">
        <v>428.99900000000002</v>
      </c>
      <c r="BB651">
        <v>31924.3</v>
      </c>
      <c r="BC651">
        <v>4.3808600000000002E-4</v>
      </c>
      <c r="BD651">
        <v>9.7113099999999994E-2</v>
      </c>
      <c r="BE651">
        <v>0.50675400000000004</v>
      </c>
      <c r="BF651">
        <v>2.86572</v>
      </c>
      <c r="BG651">
        <v>47.4133</v>
      </c>
      <c r="BH651">
        <v>44.500799999999998</v>
      </c>
      <c r="BI651">
        <v>4.6163999999999996</v>
      </c>
      <c r="BJ651">
        <v>30.779900000000001</v>
      </c>
      <c r="BK651">
        <v>0</v>
      </c>
      <c r="BL651">
        <v>35.855899999999998</v>
      </c>
      <c r="BM651">
        <v>56.2532</v>
      </c>
      <c r="BN651">
        <v>6.6098699999999999</v>
      </c>
      <c r="BO651">
        <v>0.75041899999999995</v>
      </c>
      <c r="BP651">
        <v>0.53059100000000003</v>
      </c>
      <c r="BQ651">
        <v>38.865400000000001</v>
      </c>
      <c r="BR651">
        <v>113270</v>
      </c>
    </row>
    <row r="652" spans="1:70" x14ac:dyDescent="0.25">
      <c r="A652">
        <v>48</v>
      </c>
      <c r="B652" s="7">
        <v>45966.535497685189</v>
      </c>
      <c r="C652" t="s">
        <v>184</v>
      </c>
      <c r="D652" s="6" t="s">
        <v>374</v>
      </c>
      <c r="E652" s="6" t="str">
        <f>VLOOKUP(F652,Germplasm!$A$1:$B$21,2,FALSE)</f>
        <v>Heder</v>
      </c>
      <c r="F652" t="s">
        <v>77</v>
      </c>
      <c r="G652" s="6" t="s">
        <v>113</v>
      </c>
      <c r="H652">
        <v>40210.9</v>
      </c>
      <c r="I652">
        <v>345.49200000000002</v>
      </c>
      <c r="J652">
        <v>193897</v>
      </c>
      <c r="K652">
        <v>12.8078</v>
      </c>
      <c r="L652">
        <v>56.9208</v>
      </c>
      <c r="M652">
        <v>1774.05</v>
      </c>
      <c r="N652">
        <v>706.42899999999997</v>
      </c>
      <c r="O652">
        <v>16982000</v>
      </c>
      <c r="P652">
        <v>0.27529500000000001</v>
      </c>
      <c r="Q652">
        <v>0.28596700000000003</v>
      </c>
      <c r="R652">
        <v>2.12737</v>
      </c>
      <c r="S652">
        <v>14.0943</v>
      </c>
      <c r="T652">
        <v>39.352499999999999</v>
      </c>
      <c r="U652">
        <v>43.378500000000003</v>
      </c>
      <c r="V652">
        <v>0.76145799999999997</v>
      </c>
      <c r="W652">
        <v>117.044</v>
      </c>
      <c r="X652">
        <v>0.619035</v>
      </c>
      <c r="Y652">
        <v>1.1674199999999999</v>
      </c>
      <c r="Z652">
        <v>2.52773</v>
      </c>
      <c r="AA652">
        <v>16.281099999999999</v>
      </c>
      <c r="AB652">
        <v>44.513399999999997</v>
      </c>
      <c r="AC652">
        <v>34.891399999999997</v>
      </c>
      <c r="AD652">
        <v>1.6191899999999999</v>
      </c>
      <c r="AE652">
        <v>5.9607900000000003</v>
      </c>
      <c r="AF652">
        <v>0</v>
      </c>
      <c r="AG652">
        <v>99.683800000000005</v>
      </c>
      <c r="AH652">
        <v>0.310639</v>
      </c>
      <c r="AI652">
        <v>5.6071999999999997E-3</v>
      </c>
      <c r="AJ652">
        <v>0</v>
      </c>
      <c r="AK652">
        <v>0</v>
      </c>
      <c r="AL652">
        <v>0.57035199999999997</v>
      </c>
      <c r="AM652">
        <v>0.462034</v>
      </c>
      <c r="AN652">
        <v>1.8728100000000001</v>
      </c>
      <c r="AO652">
        <v>4.4341799999999996</v>
      </c>
      <c r="AP652">
        <v>11.7437</v>
      </c>
      <c r="AQ652">
        <v>29.819099999999999</v>
      </c>
      <c r="AR652">
        <v>51.668100000000003</v>
      </c>
      <c r="AS652">
        <v>4.7747999999999999E-2</v>
      </c>
      <c r="AT652">
        <v>5.1889099999999999</v>
      </c>
      <c r="AU652">
        <v>37.210500000000003</v>
      </c>
      <c r="AV652">
        <v>41.3217</v>
      </c>
      <c r="AW652">
        <v>12.068899999999999</v>
      </c>
      <c r="AX652">
        <v>2.8462200000000002</v>
      </c>
      <c r="AY652">
        <v>1.3636699999999999</v>
      </c>
      <c r="AZ652">
        <v>422.32299999999998</v>
      </c>
      <c r="BA652">
        <v>467.399</v>
      </c>
      <c r="BB652">
        <v>24833.9</v>
      </c>
      <c r="BC652">
        <v>1.62238E-2</v>
      </c>
      <c r="BD652">
        <v>4.8222000000000001E-2</v>
      </c>
      <c r="BE652">
        <v>0.22765199999999999</v>
      </c>
      <c r="BF652">
        <v>1.6608499999999999</v>
      </c>
      <c r="BG652">
        <v>40.460500000000003</v>
      </c>
      <c r="BH652">
        <v>53.44</v>
      </c>
      <c r="BI652">
        <v>4.1627900000000002</v>
      </c>
      <c r="BJ652">
        <v>34.931800000000003</v>
      </c>
      <c r="BK652">
        <v>0</v>
      </c>
      <c r="BL652">
        <v>26.029800000000002</v>
      </c>
      <c r="BM652">
        <v>60.038600000000002</v>
      </c>
      <c r="BN652">
        <v>12.295500000000001</v>
      </c>
      <c r="BO652">
        <v>1.0104200000000001</v>
      </c>
      <c r="BP652">
        <v>0.62576399999999999</v>
      </c>
      <c r="BQ652">
        <v>38.183500000000002</v>
      </c>
      <c r="BR652">
        <v>89171</v>
      </c>
    </row>
    <row r="653" spans="1:70" x14ac:dyDescent="0.25">
      <c r="A653">
        <v>48</v>
      </c>
      <c r="B653" s="7">
        <v>45973.570625</v>
      </c>
      <c r="C653" t="s">
        <v>184</v>
      </c>
      <c r="D653" s="6" t="s">
        <v>375</v>
      </c>
      <c r="E653" s="6" t="str">
        <f>VLOOKUP(F653,Germplasm!$A$1:$B$21,2,FALSE)</f>
        <v>Heder</v>
      </c>
      <c r="F653" t="s">
        <v>77</v>
      </c>
      <c r="G653" s="6" t="s">
        <v>113</v>
      </c>
      <c r="H653">
        <v>51311.1</v>
      </c>
      <c r="I653">
        <v>409.78300000000002</v>
      </c>
      <c r="J653">
        <v>253074</v>
      </c>
      <c r="K653">
        <v>12.6267</v>
      </c>
      <c r="L653">
        <v>81.268100000000004</v>
      </c>
      <c r="M653">
        <v>1892.97</v>
      </c>
      <c r="N653">
        <v>664.98599999999999</v>
      </c>
      <c r="O653">
        <v>26403000</v>
      </c>
      <c r="P653">
        <v>0.26846100000000001</v>
      </c>
      <c r="Q653">
        <v>0.20877399999999999</v>
      </c>
      <c r="R653">
        <v>2.0438299999999998</v>
      </c>
      <c r="S653">
        <v>14.5909</v>
      </c>
      <c r="T653">
        <v>42.555799999999998</v>
      </c>
      <c r="U653">
        <v>39.723500000000001</v>
      </c>
      <c r="V653">
        <v>0.87720900000000002</v>
      </c>
      <c r="W653">
        <v>116.82899999999999</v>
      </c>
      <c r="X653">
        <v>0.57255999999999996</v>
      </c>
      <c r="Y653">
        <v>1.0608900000000001</v>
      </c>
      <c r="Z653">
        <v>2.5366499999999998</v>
      </c>
      <c r="AA653">
        <v>15.2539</v>
      </c>
      <c r="AB653">
        <v>46.407800000000002</v>
      </c>
      <c r="AC653">
        <v>34.168100000000003</v>
      </c>
      <c r="AD653">
        <v>1.6057300000000001</v>
      </c>
      <c r="AE653">
        <v>5.9972399999999997</v>
      </c>
      <c r="AF653">
        <v>0</v>
      </c>
      <c r="AG653">
        <v>99.914900000000003</v>
      </c>
      <c r="AH653">
        <v>8.5122400000000001E-2</v>
      </c>
      <c r="AI653">
        <v>0</v>
      </c>
      <c r="AJ653">
        <v>0</v>
      </c>
      <c r="AK653">
        <v>0</v>
      </c>
      <c r="AL653">
        <v>0.57228500000000004</v>
      </c>
      <c r="AM653">
        <v>0.30823299999999998</v>
      </c>
      <c r="AN653">
        <v>1.62001</v>
      </c>
      <c r="AO653">
        <v>4.0966300000000002</v>
      </c>
      <c r="AP653">
        <v>11.361599999999999</v>
      </c>
      <c r="AQ653">
        <v>31.972899999999999</v>
      </c>
      <c r="AR653">
        <v>50.640700000000002</v>
      </c>
      <c r="AS653">
        <v>4.3455899999999999E-2</v>
      </c>
      <c r="AT653">
        <v>4.5294100000000004</v>
      </c>
      <c r="AU653">
        <v>37.2988</v>
      </c>
      <c r="AV653">
        <v>44.406100000000002</v>
      </c>
      <c r="AW653">
        <v>10.238899999999999</v>
      </c>
      <c r="AX653">
        <v>2.20601</v>
      </c>
      <c r="AY653">
        <v>1.32074</v>
      </c>
      <c r="AZ653">
        <v>514.56799999999998</v>
      </c>
      <c r="BA653">
        <v>531</v>
      </c>
      <c r="BB653">
        <v>31954.9</v>
      </c>
      <c r="BC653">
        <v>1.3943199999999999E-2</v>
      </c>
      <c r="BD653">
        <v>4.0321099999999999E-2</v>
      </c>
      <c r="BE653">
        <v>0.178309</v>
      </c>
      <c r="BF653">
        <v>1.26698</v>
      </c>
      <c r="BG653">
        <v>40.342599999999997</v>
      </c>
      <c r="BH653">
        <v>55.454999999999998</v>
      </c>
      <c r="BI653">
        <v>2.7167500000000002</v>
      </c>
      <c r="BJ653">
        <v>33.633400000000002</v>
      </c>
      <c r="BK653">
        <v>0</v>
      </c>
      <c r="BL653">
        <v>28.3475</v>
      </c>
      <c r="BM653">
        <v>60.189599999999999</v>
      </c>
      <c r="BN653">
        <v>9.89391</v>
      </c>
      <c r="BO653">
        <v>1.0582100000000001</v>
      </c>
      <c r="BP653">
        <v>0.51073400000000002</v>
      </c>
      <c r="BQ653">
        <v>38.569400000000002</v>
      </c>
      <c r="BR653">
        <v>111604</v>
      </c>
    </row>
    <row r="654" spans="1:70" x14ac:dyDescent="0.25">
      <c r="A654">
        <v>48</v>
      </c>
      <c r="B654" s="7">
        <v>45988.583032407405</v>
      </c>
      <c r="C654" t="s">
        <v>184</v>
      </c>
      <c r="D654" s="6" t="s">
        <v>376</v>
      </c>
      <c r="E654" s="6" t="str">
        <f>VLOOKUP(F654,Germplasm!$A$1:$B$21,2,FALSE)</f>
        <v>Heder</v>
      </c>
      <c r="F654" t="s">
        <v>77</v>
      </c>
      <c r="G654" s="6" t="s">
        <v>113</v>
      </c>
      <c r="H654">
        <v>61078.8</v>
      </c>
      <c r="I654">
        <v>392.46600000000001</v>
      </c>
      <c r="J654">
        <v>179700</v>
      </c>
      <c r="K654">
        <v>19.655200000000001</v>
      </c>
      <c r="L654">
        <v>78.966200000000001</v>
      </c>
      <c r="M654">
        <v>1586.05</v>
      </c>
      <c r="N654">
        <v>576.60599999999999</v>
      </c>
      <c r="O654">
        <v>31332900</v>
      </c>
      <c r="P654">
        <v>0.230097</v>
      </c>
      <c r="Q654">
        <v>0.58449399999999996</v>
      </c>
      <c r="R654">
        <v>3.4768300000000001</v>
      </c>
      <c r="S654">
        <v>19.394600000000001</v>
      </c>
      <c r="T654">
        <v>49.141100000000002</v>
      </c>
      <c r="U654">
        <v>26.2927</v>
      </c>
      <c r="V654">
        <v>1.1103000000000001</v>
      </c>
      <c r="W654">
        <v>104.511</v>
      </c>
      <c r="X654">
        <v>1.7685500000000001</v>
      </c>
      <c r="Y654">
        <v>5.97262</v>
      </c>
      <c r="Z654">
        <v>8.8490900000000003</v>
      </c>
      <c r="AA654">
        <v>22.483599999999999</v>
      </c>
      <c r="AB654">
        <v>35.383699999999997</v>
      </c>
      <c r="AC654">
        <v>25.5425</v>
      </c>
      <c r="AD654">
        <v>1.7292799999999999</v>
      </c>
      <c r="AE654">
        <v>8.0411099999999998</v>
      </c>
      <c r="AF654">
        <v>0</v>
      </c>
      <c r="AG654">
        <v>99.298100000000005</v>
      </c>
      <c r="AH654">
        <v>0.69869599999999998</v>
      </c>
      <c r="AI654">
        <v>3.1722899999999999E-3</v>
      </c>
      <c r="AJ654">
        <v>0</v>
      </c>
      <c r="AK654">
        <v>0</v>
      </c>
      <c r="AL654">
        <v>0.44682100000000002</v>
      </c>
      <c r="AM654">
        <v>1.6535500000000001</v>
      </c>
      <c r="AN654">
        <v>8.9355399999999996</v>
      </c>
      <c r="AO654">
        <v>10.7469</v>
      </c>
      <c r="AP654">
        <v>20.255800000000001</v>
      </c>
      <c r="AQ654">
        <v>37.304499999999997</v>
      </c>
      <c r="AR654">
        <v>21.1036</v>
      </c>
      <c r="AS654">
        <v>0.12875800000000001</v>
      </c>
      <c r="AT654">
        <v>2.6932700000000001</v>
      </c>
      <c r="AU654">
        <v>27.789200000000001</v>
      </c>
      <c r="AV654">
        <v>39.181699999999999</v>
      </c>
      <c r="AW654">
        <v>17.257999999999999</v>
      </c>
      <c r="AX654">
        <v>9.5810999999999993</v>
      </c>
      <c r="AY654">
        <v>3.4966499999999998</v>
      </c>
      <c r="AZ654">
        <v>512.99199999999996</v>
      </c>
      <c r="BA654">
        <v>609.00099999999998</v>
      </c>
      <c r="BB654">
        <v>35320.5</v>
      </c>
      <c r="BC654">
        <v>9.5398499999999997E-2</v>
      </c>
      <c r="BD654">
        <v>2.7757500000000001E-2</v>
      </c>
      <c r="BE654">
        <v>0.16733799999999999</v>
      </c>
      <c r="BF654">
        <v>1.3371200000000001</v>
      </c>
      <c r="BG654">
        <v>28.9495</v>
      </c>
      <c r="BH654">
        <v>49.1252</v>
      </c>
      <c r="BI654">
        <v>20.393000000000001</v>
      </c>
      <c r="BJ654">
        <v>34.572499999999998</v>
      </c>
      <c r="BK654">
        <v>0</v>
      </c>
      <c r="BL654">
        <v>28.703600000000002</v>
      </c>
      <c r="BM654">
        <v>57.191600000000001</v>
      </c>
      <c r="BN654">
        <v>11.2727</v>
      </c>
      <c r="BO654">
        <v>1.72255</v>
      </c>
      <c r="BP654">
        <v>1.10951</v>
      </c>
      <c r="BQ654">
        <v>35.376199999999997</v>
      </c>
      <c r="BR654">
        <v>126092</v>
      </c>
    </row>
    <row r="655" spans="1:70" x14ac:dyDescent="0.25">
      <c r="A655">
        <v>48</v>
      </c>
      <c r="B655" s="7">
        <v>45994.561041666668</v>
      </c>
      <c r="C655" t="s">
        <v>184</v>
      </c>
      <c r="D655" s="6" t="s">
        <v>377</v>
      </c>
      <c r="E655" s="6" t="str">
        <f>VLOOKUP(F655,Germplasm!$A$1:$B$21,2,FALSE)</f>
        <v>Heder</v>
      </c>
      <c r="F655" t="s">
        <v>77</v>
      </c>
      <c r="G655" s="6" t="s">
        <v>113</v>
      </c>
      <c r="H655">
        <v>44852.6</v>
      </c>
      <c r="I655">
        <v>408.20100000000002</v>
      </c>
      <c r="J655">
        <v>108832</v>
      </c>
      <c r="K655">
        <v>21.106400000000001</v>
      </c>
      <c r="L655">
        <v>72.414000000000001</v>
      </c>
      <c r="M655">
        <v>1218.1099999999999</v>
      </c>
      <c r="N655">
        <v>451.01</v>
      </c>
      <c r="O655">
        <v>24498200</v>
      </c>
      <c r="P655">
        <v>0.19567100000000001</v>
      </c>
      <c r="Q655">
        <v>0.87385500000000005</v>
      </c>
      <c r="R655">
        <v>6.7496999999999998</v>
      </c>
      <c r="S655">
        <v>27.6769</v>
      </c>
      <c r="T655">
        <v>44.993600000000001</v>
      </c>
      <c r="U655">
        <v>18.230399999999999</v>
      </c>
      <c r="V655">
        <v>1.4756</v>
      </c>
      <c r="W655">
        <v>99.015900000000002</v>
      </c>
      <c r="X655">
        <v>3.7221799999999998</v>
      </c>
      <c r="Y655">
        <v>9.6511200000000006</v>
      </c>
      <c r="Z655">
        <v>10.7285</v>
      </c>
      <c r="AA655">
        <v>22.667100000000001</v>
      </c>
      <c r="AB655">
        <v>26.378299999999999</v>
      </c>
      <c r="AC655">
        <v>26.852799999999998</v>
      </c>
      <c r="AD655">
        <v>1.95261</v>
      </c>
      <c r="AE655">
        <v>8.0682100000000005</v>
      </c>
      <c r="AF655">
        <v>0</v>
      </c>
      <c r="AG655">
        <v>99.214600000000004</v>
      </c>
      <c r="AH655">
        <v>0.76545300000000005</v>
      </c>
      <c r="AI655">
        <v>1.9910600000000001E-2</v>
      </c>
      <c r="AJ655">
        <v>0</v>
      </c>
      <c r="AK655">
        <v>0</v>
      </c>
      <c r="AL655">
        <v>0.39644099999999999</v>
      </c>
      <c r="AM655">
        <v>3.2410100000000002</v>
      </c>
      <c r="AN655">
        <v>12.7384</v>
      </c>
      <c r="AO655">
        <v>14.8589</v>
      </c>
      <c r="AP655">
        <v>22.7988</v>
      </c>
      <c r="AQ655">
        <v>30.3383</v>
      </c>
      <c r="AR655">
        <v>16.024699999999999</v>
      </c>
      <c r="AS655">
        <v>0.147843</v>
      </c>
      <c r="AT655">
        <v>2.66581</v>
      </c>
      <c r="AU655">
        <v>27.159199999999998</v>
      </c>
      <c r="AV655">
        <v>33.589199999999998</v>
      </c>
      <c r="AW655">
        <v>22.343</v>
      </c>
      <c r="AX655">
        <v>10.087999999999999</v>
      </c>
      <c r="AY655">
        <v>4.1546799999999999</v>
      </c>
      <c r="AZ655">
        <v>546.19299999999998</v>
      </c>
      <c r="BA655">
        <v>625.19899999999996</v>
      </c>
      <c r="BB655">
        <v>22970.5</v>
      </c>
      <c r="BC655">
        <v>0.119867</v>
      </c>
      <c r="BD655">
        <v>3.3184400000000003E-2</v>
      </c>
      <c r="BE655">
        <v>0.24335200000000001</v>
      </c>
      <c r="BF655">
        <v>1.782</v>
      </c>
      <c r="BG655">
        <v>27.7654</v>
      </c>
      <c r="BH655">
        <v>42.613199999999999</v>
      </c>
      <c r="BI655">
        <v>27.562899999999999</v>
      </c>
      <c r="BJ655">
        <v>33.373199999999997</v>
      </c>
      <c r="BK655">
        <v>0</v>
      </c>
      <c r="BL655">
        <v>34.125700000000002</v>
      </c>
      <c r="BM655">
        <v>52.728900000000003</v>
      </c>
      <c r="BN655">
        <v>9.7871799999999993</v>
      </c>
      <c r="BO655">
        <v>2.1968100000000002</v>
      </c>
      <c r="BP655">
        <v>1.1614500000000001</v>
      </c>
      <c r="BQ655">
        <v>30.836600000000001</v>
      </c>
      <c r="BR655">
        <v>90404</v>
      </c>
    </row>
    <row r="656" spans="1:70" x14ac:dyDescent="0.25">
      <c r="A656">
        <v>48</v>
      </c>
      <c r="B656" s="7">
        <v>46002.588009259256</v>
      </c>
      <c r="C656" t="s">
        <v>184</v>
      </c>
      <c r="D656" s="6" t="s">
        <v>378</v>
      </c>
      <c r="E656" s="6" t="str">
        <f>VLOOKUP(F656,Germplasm!$A$1:$B$21,2,FALSE)</f>
        <v>Heder</v>
      </c>
      <c r="F656" t="s">
        <v>77</v>
      </c>
      <c r="G656" s="6" t="s">
        <v>113</v>
      </c>
      <c r="H656">
        <v>28274.799999999999</v>
      </c>
      <c r="I656">
        <v>410.25700000000001</v>
      </c>
      <c r="J656">
        <v>114125</v>
      </c>
      <c r="K656">
        <v>11.72</v>
      </c>
      <c r="L656">
        <v>45.7667</v>
      </c>
      <c r="M656">
        <v>1428.98</v>
      </c>
      <c r="N656">
        <v>563.49199999999996</v>
      </c>
      <c r="O656">
        <v>15465600</v>
      </c>
      <c r="P656">
        <v>0.12731999999999999</v>
      </c>
      <c r="Q656">
        <v>1.6091800000000001</v>
      </c>
      <c r="R656">
        <v>22.264199999999999</v>
      </c>
      <c r="S656">
        <v>34.2532</v>
      </c>
      <c r="T656">
        <v>28.009499999999999</v>
      </c>
      <c r="U656">
        <v>12.1487</v>
      </c>
      <c r="V656">
        <v>1.71519</v>
      </c>
      <c r="W656">
        <v>79.528800000000004</v>
      </c>
      <c r="X656">
        <v>15.009499999999999</v>
      </c>
      <c r="Y656">
        <v>16.897200000000002</v>
      </c>
      <c r="Z656">
        <v>8.9034800000000001</v>
      </c>
      <c r="AA656">
        <v>17.015799999999999</v>
      </c>
      <c r="AB656">
        <v>18.318000000000001</v>
      </c>
      <c r="AC656">
        <v>23.856000000000002</v>
      </c>
      <c r="AD656">
        <v>2.1139399999999999</v>
      </c>
      <c r="AE656">
        <v>9.1233799999999992</v>
      </c>
      <c r="AF656">
        <v>0</v>
      </c>
      <c r="AG656">
        <v>96.066500000000005</v>
      </c>
      <c r="AH656">
        <v>3.9145599999999998</v>
      </c>
      <c r="AI656">
        <v>1.26582E-2</v>
      </c>
      <c r="AJ656">
        <v>6.3291099999999998E-3</v>
      </c>
      <c r="AK656">
        <v>0</v>
      </c>
      <c r="AL656">
        <v>0.32106099999999999</v>
      </c>
      <c r="AM656">
        <v>5.2563300000000002</v>
      </c>
      <c r="AN656">
        <v>26.140799999999999</v>
      </c>
      <c r="AO656">
        <v>16.658200000000001</v>
      </c>
      <c r="AP656">
        <v>18.656600000000001</v>
      </c>
      <c r="AQ656">
        <v>20.314900000000002</v>
      </c>
      <c r="AR656">
        <v>12.973100000000001</v>
      </c>
      <c r="AS656">
        <v>0.1847</v>
      </c>
      <c r="AT656">
        <v>2.2768999999999999</v>
      </c>
      <c r="AU656">
        <v>21.683499999999999</v>
      </c>
      <c r="AV656">
        <v>29.721499999999999</v>
      </c>
      <c r="AW656">
        <v>30.197800000000001</v>
      </c>
      <c r="AX656">
        <v>11.5427</v>
      </c>
      <c r="AY656">
        <v>4.5775300000000003</v>
      </c>
      <c r="AZ656">
        <v>546.97500000000002</v>
      </c>
      <c r="BA656">
        <v>616.79899999999998</v>
      </c>
      <c r="BB656">
        <v>13375.4</v>
      </c>
      <c r="BC656">
        <v>0.16984299999999999</v>
      </c>
      <c r="BD656">
        <v>1.5822800000000001E-2</v>
      </c>
      <c r="BE656">
        <v>0.22468399999999999</v>
      </c>
      <c r="BF656">
        <v>1.7215199999999999</v>
      </c>
      <c r="BG656">
        <v>21.9984</v>
      </c>
      <c r="BH656">
        <v>36.775300000000001</v>
      </c>
      <c r="BI656">
        <v>39.264200000000002</v>
      </c>
      <c r="BJ656">
        <v>32.098100000000002</v>
      </c>
      <c r="BK656">
        <v>0</v>
      </c>
      <c r="BL656">
        <v>40.3354</v>
      </c>
      <c r="BM656">
        <v>46.031599999999997</v>
      </c>
      <c r="BN656">
        <v>9.6930399999999999</v>
      </c>
      <c r="BO656">
        <v>2.55063</v>
      </c>
      <c r="BP656">
        <v>1.38924</v>
      </c>
      <c r="BQ656">
        <v>28.2424</v>
      </c>
      <c r="BR656">
        <v>63200</v>
      </c>
    </row>
    <row r="657" spans="1:70" x14ac:dyDescent="0.25">
      <c r="A657">
        <v>48</v>
      </c>
      <c r="B657" s="7">
        <v>46013.566400462965</v>
      </c>
      <c r="C657" t="s">
        <v>184</v>
      </c>
      <c r="D657" s="6" t="s">
        <v>379</v>
      </c>
      <c r="E657" s="6" t="str">
        <f>VLOOKUP(F657,Germplasm!$A$1:$B$21,2,FALSE)</f>
        <v>Heder</v>
      </c>
      <c r="F657" t="s">
        <v>77</v>
      </c>
      <c r="G657" s="6" t="s">
        <v>113</v>
      </c>
      <c r="H657">
        <v>29361.8</v>
      </c>
      <c r="I657">
        <v>383.49200000000002</v>
      </c>
      <c r="J657">
        <v>128372</v>
      </c>
      <c r="K657">
        <v>11.259600000000001</v>
      </c>
      <c r="L657">
        <v>49.489699999999999</v>
      </c>
      <c r="M657">
        <v>1478.8</v>
      </c>
      <c r="N657">
        <v>575.18600000000004</v>
      </c>
      <c r="O657">
        <v>15847800</v>
      </c>
      <c r="P657">
        <v>0.134774</v>
      </c>
      <c r="Q657">
        <v>1.08683</v>
      </c>
      <c r="R657">
        <v>15.1625</v>
      </c>
      <c r="S657">
        <v>40.484099999999998</v>
      </c>
      <c r="T657">
        <v>31.275500000000001</v>
      </c>
      <c r="U657">
        <v>11.359299999999999</v>
      </c>
      <c r="V657">
        <v>0.63171200000000005</v>
      </c>
      <c r="W657">
        <v>72.244200000000006</v>
      </c>
      <c r="X657">
        <v>9.2689400000000006</v>
      </c>
      <c r="Y657">
        <v>22.939800000000002</v>
      </c>
      <c r="Z657">
        <v>17.064800000000002</v>
      </c>
      <c r="AA657">
        <v>21.782599999999999</v>
      </c>
      <c r="AB657">
        <v>15.2788</v>
      </c>
      <c r="AC657">
        <v>13.665100000000001</v>
      </c>
      <c r="AD657">
        <v>2.0313699999999999</v>
      </c>
      <c r="AE657">
        <v>9.6542200000000005</v>
      </c>
      <c r="AF657">
        <v>0</v>
      </c>
      <c r="AG657">
        <v>96.896000000000001</v>
      </c>
      <c r="AH657">
        <v>3.0925199999999999</v>
      </c>
      <c r="AI657">
        <v>1.14857E-2</v>
      </c>
      <c r="AJ657">
        <v>0</v>
      </c>
      <c r="AK657">
        <v>0</v>
      </c>
      <c r="AL657">
        <v>0.25330900000000001</v>
      </c>
      <c r="AM657">
        <v>6.3917799999999998</v>
      </c>
      <c r="AN657">
        <v>32.2044</v>
      </c>
      <c r="AO657">
        <v>21.654800000000002</v>
      </c>
      <c r="AP657">
        <v>20.748899999999999</v>
      </c>
      <c r="AQ657">
        <v>14.0312</v>
      </c>
      <c r="AR657">
        <v>4.9689899999999998</v>
      </c>
      <c r="AS657">
        <v>0.225469</v>
      </c>
      <c r="AT657">
        <v>1.07247</v>
      </c>
      <c r="AU657">
        <v>12.8568</v>
      </c>
      <c r="AV657">
        <v>30.712700000000002</v>
      </c>
      <c r="AW657">
        <v>37.553800000000003</v>
      </c>
      <c r="AX657">
        <v>13.9795</v>
      </c>
      <c r="AY657">
        <v>3.8247300000000002</v>
      </c>
      <c r="AZ657">
        <v>539.74300000000005</v>
      </c>
      <c r="BA657">
        <v>585</v>
      </c>
      <c r="BB657">
        <v>14454.2</v>
      </c>
      <c r="BC657">
        <v>0.22190699999999999</v>
      </c>
      <c r="BD657">
        <v>5.7428399999999998E-2</v>
      </c>
      <c r="BE657">
        <v>0.25555600000000001</v>
      </c>
      <c r="BF657">
        <v>1.1959500000000001</v>
      </c>
      <c r="BG657">
        <v>12.420299999999999</v>
      </c>
      <c r="BH657">
        <v>33.373100000000001</v>
      </c>
      <c r="BI657">
        <v>52.697699999999998</v>
      </c>
      <c r="BJ657">
        <v>32.679200000000002</v>
      </c>
      <c r="BK657">
        <v>0</v>
      </c>
      <c r="BL657">
        <v>35.2194</v>
      </c>
      <c r="BM657">
        <v>52.5197</v>
      </c>
      <c r="BN657">
        <v>9.3837899999999994</v>
      </c>
      <c r="BO657">
        <v>1.91093</v>
      </c>
      <c r="BP657">
        <v>0.96623199999999998</v>
      </c>
      <c r="BQ657">
        <v>29.5044</v>
      </c>
      <c r="BR657">
        <v>69652</v>
      </c>
    </row>
    <row r="658" spans="1:70" x14ac:dyDescent="0.25">
      <c r="A658">
        <v>48</v>
      </c>
      <c r="B658" s="7">
        <v>46024.563634259262</v>
      </c>
      <c r="C658" t="s">
        <v>184</v>
      </c>
      <c r="D658" s="6" t="s">
        <v>380</v>
      </c>
      <c r="E658" s="6" t="str">
        <f>VLOOKUP(F658,Germplasm!$A$1:$B$21,2,FALSE)</f>
        <v>Heder</v>
      </c>
      <c r="F658" t="s">
        <v>77</v>
      </c>
      <c r="G658" s="6" t="s">
        <v>113</v>
      </c>
      <c r="H658">
        <v>29347.5</v>
      </c>
      <c r="I658">
        <v>494.04500000000002</v>
      </c>
      <c r="J658">
        <v>122649</v>
      </c>
      <c r="K658">
        <v>12.1393</v>
      </c>
      <c r="L658">
        <v>66.573999999999998</v>
      </c>
      <c r="M658">
        <v>1367.99</v>
      </c>
      <c r="N658">
        <v>518.09199999999998</v>
      </c>
      <c r="O658">
        <v>16162300</v>
      </c>
      <c r="P658">
        <v>7.4904899999999998E-3</v>
      </c>
      <c r="Q658">
        <v>1.1517599999999999</v>
      </c>
      <c r="R658">
        <v>39.8245</v>
      </c>
      <c r="S658">
        <v>57.094099999999997</v>
      </c>
      <c r="T658">
        <v>1.7808600000000001</v>
      </c>
      <c r="U658">
        <v>0.136465</v>
      </c>
      <c r="V658">
        <v>1.2281800000000001E-2</v>
      </c>
      <c r="W658">
        <v>34.493000000000002</v>
      </c>
      <c r="X658">
        <v>23.211300000000001</v>
      </c>
      <c r="Y658">
        <v>55.352800000000002</v>
      </c>
      <c r="Z658">
        <v>10.5214</v>
      </c>
      <c r="AA658">
        <v>2.9053300000000002</v>
      </c>
      <c r="AB658">
        <v>1.0985400000000001</v>
      </c>
      <c r="AC658">
        <v>6.9105699999999999</v>
      </c>
      <c r="AD658">
        <v>1.97112</v>
      </c>
      <c r="AE658">
        <v>17.000599999999999</v>
      </c>
      <c r="AF658">
        <v>0</v>
      </c>
      <c r="AG658">
        <v>81.3262</v>
      </c>
      <c r="AH658">
        <v>18.145700000000001</v>
      </c>
      <c r="AI658">
        <v>0.49673200000000001</v>
      </c>
      <c r="AJ658">
        <v>3.1386900000000002E-2</v>
      </c>
      <c r="AK658">
        <v>0</v>
      </c>
      <c r="AL658">
        <v>4.3848199999999997E-2</v>
      </c>
      <c r="AM658">
        <v>29.607399999999998</v>
      </c>
      <c r="AN658">
        <v>56.586500000000001</v>
      </c>
      <c r="AO658">
        <v>10.6988</v>
      </c>
      <c r="AP658">
        <v>2.4659200000000001</v>
      </c>
      <c r="AQ658">
        <v>0.53494200000000003</v>
      </c>
      <c r="AR658">
        <v>0.106443</v>
      </c>
      <c r="AS658">
        <v>0.25616699999999998</v>
      </c>
      <c r="AT658">
        <v>0.39438299999999998</v>
      </c>
      <c r="AU658">
        <v>3.4907699999999999</v>
      </c>
      <c r="AV658">
        <v>28.4038</v>
      </c>
      <c r="AW658">
        <v>55.359699999999997</v>
      </c>
      <c r="AX658">
        <v>10.129799999999999</v>
      </c>
      <c r="AY658">
        <v>2.2216499999999999</v>
      </c>
      <c r="AZ658">
        <v>550.721</v>
      </c>
      <c r="BA658">
        <v>584.4</v>
      </c>
      <c r="BB658">
        <v>14888.7</v>
      </c>
      <c r="BC658">
        <v>0.35964200000000002</v>
      </c>
      <c r="BD658">
        <v>7.7784900000000004E-2</v>
      </c>
      <c r="BE658">
        <v>0.358902</v>
      </c>
      <c r="BF658">
        <v>0.64957200000000004</v>
      </c>
      <c r="BG658">
        <v>2.7988900000000001</v>
      </c>
      <c r="BH658">
        <v>11.097300000000001</v>
      </c>
      <c r="BI658">
        <v>85.017499999999998</v>
      </c>
      <c r="BJ658">
        <v>27.0288</v>
      </c>
      <c r="BK658">
        <v>0</v>
      </c>
      <c r="BL658">
        <v>48.1325</v>
      </c>
      <c r="BM658">
        <v>47.091299999999997</v>
      </c>
      <c r="BN658">
        <v>3.70092</v>
      </c>
      <c r="BO658">
        <v>0.75601499999999999</v>
      </c>
      <c r="BP658">
        <v>0.319328</v>
      </c>
      <c r="BQ658">
        <v>30.500900000000001</v>
      </c>
      <c r="BR658">
        <v>73279</v>
      </c>
    </row>
    <row r="659" spans="1:70" x14ac:dyDescent="0.25">
      <c r="A659">
        <v>48</v>
      </c>
      <c r="B659" s="7">
        <v>45952.577488425923</v>
      </c>
      <c r="C659" t="s">
        <v>183</v>
      </c>
      <c r="D659" s="6" t="s">
        <v>372</v>
      </c>
      <c r="E659" s="6" t="str">
        <f>VLOOKUP(F659,Germplasm!$A$1:$B$21,2,FALSE)</f>
        <v>Tore</v>
      </c>
      <c r="F659" t="s">
        <v>72</v>
      </c>
      <c r="G659" s="6" t="s">
        <v>113</v>
      </c>
      <c r="H659">
        <v>26019.5</v>
      </c>
      <c r="I659">
        <v>206.10300000000001</v>
      </c>
      <c r="J659">
        <v>67152.7</v>
      </c>
      <c r="K659">
        <v>21.743400000000001</v>
      </c>
      <c r="L659">
        <v>56.7089</v>
      </c>
      <c r="M659">
        <v>1033.51</v>
      </c>
      <c r="N659">
        <v>400.49099999999999</v>
      </c>
      <c r="O659">
        <v>6183480</v>
      </c>
      <c r="P659">
        <v>0.25961299999999998</v>
      </c>
      <c r="Q659">
        <v>0.59789800000000004</v>
      </c>
      <c r="R659">
        <v>2.9854699999999998</v>
      </c>
      <c r="S659">
        <v>14.7079</v>
      </c>
      <c r="T659">
        <v>42.223300000000002</v>
      </c>
      <c r="U659">
        <v>38.986199999999997</v>
      </c>
      <c r="V659">
        <v>0.499255</v>
      </c>
      <c r="W659">
        <v>115.804</v>
      </c>
      <c r="X659">
        <v>0.95220800000000005</v>
      </c>
      <c r="Y659">
        <v>1.7292700000000001</v>
      </c>
      <c r="Z659">
        <v>3.55518</v>
      </c>
      <c r="AA659">
        <v>17.997299999999999</v>
      </c>
      <c r="AB659">
        <v>40.252400000000002</v>
      </c>
      <c r="AC659">
        <v>35.513500000000001</v>
      </c>
      <c r="AD659">
        <v>1.782</v>
      </c>
      <c r="AE659">
        <v>6.6089900000000004</v>
      </c>
      <c r="AF659">
        <v>0</v>
      </c>
      <c r="AG659">
        <v>100</v>
      </c>
      <c r="AH659">
        <v>0</v>
      </c>
      <c r="AI659">
        <v>0</v>
      </c>
      <c r="AJ659">
        <v>0</v>
      </c>
      <c r="AK659">
        <v>0</v>
      </c>
      <c r="AL659">
        <v>0.55792799999999998</v>
      </c>
      <c r="AM659">
        <v>0.23150899999999999</v>
      </c>
      <c r="AN659">
        <v>1.3508100000000001</v>
      </c>
      <c r="AO659">
        <v>3.6377199999999998</v>
      </c>
      <c r="AP659">
        <v>11.476800000000001</v>
      </c>
      <c r="AQ659">
        <v>41.017400000000002</v>
      </c>
      <c r="AR659">
        <v>42.285699999999999</v>
      </c>
      <c r="AS659">
        <v>4.4077900000000003E-2</v>
      </c>
      <c r="AT659">
        <v>7.7223499999999996</v>
      </c>
      <c r="AU659">
        <v>34.080199999999998</v>
      </c>
      <c r="AV659">
        <v>40.8765</v>
      </c>
      <c r="AW659">
        <v>13.3651</v>
      </c>
      <c r="AX659">
        <v>2.6251199999999999</v>
      </c>
      <c r="AY659">
        <v>1.3306800000000001</v>
      </c>
      <c r="AZ659">
        <v>237.648</v>
      </c>
      <c r="BA659">
        <v>245.399</v>
      </c>
      <c r="BB659">
        <v>14601.3</v>
      </c>
      <c r="BC659">
        <v>1.6389500000000001E-2</v>
      </c>
      <c r="BD659">
        <v>3.4223099999999999E-2</v>
      </c>
      <c r="BE659">
        <v>0.25566699999999998</v>
      </c>
      <c r="BF659">
        <v>2.2043699999999999</v>
      </c>
      <c r="BG659">
        <v>39.308300000000003</v>
      </c>
      <c r="BH659">
        <v>54.096699999999998</v>
      </c>
      <c r="BI659">
        <v>4.1007400000000001</v>
      </c>
      <c r="BJ659">
        <v>34.447299999999998</v>
      </c>
      <c r="BK659">
        <v>0</v>
      </c>
      <c r="BL659">
        <v>26.0398</v>
      </c>
      <c r="BM659">
        <v>61.382199999999997</v>
      </c>
      <c r="BN659">
        <v>11.287599999999999</v>
      </c>
      <c r="BO659">
        <v>0.96026100000000003</v>
      </c>
      <c r="BP659">
        <v>0.33015299999999997</v>
      </c>
      <c r="BQ659">
        <v>34.154499999999999</v>
      </c>
      <c r="BR659">
        <v>49674</v>
      </c>
    </row>
    <row r="660" spans="1:70" x14ac:dyDescent="0.25">
      <c r="A660">
        <v>48</v>
      </c>
      <c r="B660" s="7">
        <v>45959.54414351852</v>
      </c>
      <c r="C660" t="s">
        <v>183</v>
      </c>
      <c r="D660" s="6" t="s">
        <v>373</v>
      </c>
      <c r="E660" s="6" t="str">
        <f>VLOOKUP(F660,Germplasm!$A$1:$B$21,2,FALSE)</f>
        <v>Tore</v>
      </c>
      <c r="F660" t="s">
        <v>72</v>
      </c>
      <c r="G660" s="6" t="s">
        <v>113</v>
      </c>
      <c r="H660">
        <v>52232.800000000003</v>
      </c>
      <c r="I660">
        <v>284.30399999999997</v>
      </c>
      <c r="J660">
        <v>132242</v>
      </c>
      <c r="K660">
        <v>24.674700000000001</v>
      </c>
      <c r="L660">
        <v>97.106999999999999</v>
      </c>
      <c r="M660">
        <v>1349.9</v>
      </c>
      <c r="N660">
        <v>456.73700000000002</v>
      </c>
      <c r="O660">
        <v>17061400</v>
      </c>
      <c r="P660">
        <v>0.27094499999999999</v>
      </c>
      <c r="Q660">
        <v>0.47915200000000002</v>
      </c>
      <c r="R660">
        <v>2.4599899999999999</v>
      </c>
      <c r="S660">
        <v>13.456</v>
      </c>
      <c r="T660">
        <v>41.082000000000001</v>
      </c>
      <c r="U660">
        <v>41.621200000000002</v>
      </c>
      <c r="V660">
        <v>0.90168499999999996</v>
      </c>
      <c r="W660">
        <v>117.836</v>
      </c>
      <c r="X660">
        <v>0.61943300000000001</v>
      </c>
      <c r="Y660">
        <v>1.1476</v>
      </c>
      <c r="Z660">
        <v>2.7802699999999998</v>
      </c>
      <c r="AA660">
        <v>16.2134</v>
      </c>
      <c r="AB660">
        <v>42.558399999999999</v>
      </c>
      <c r="AC660">
        <v>36.680900000000001</v>
      </c>
      <c r="AD660">
        <v>1.6007499999999999</v>
      </c>
      <c r="AE660">
        <v>6.4290399999999996</v>
      </c>
      <c r="AF660">
        <v>0</v>
      </c>
      <c r="AG660">
        <v>99.923100000000005</v>
      </c>
      <c r="AH660">
        <v>7.6900999999999997E-2</v>
      </c>
      <c r="AI660">
        <v>0</v>
      </c>
      <c r="AJ660">
        <v>0</v>
      </c>
      <c r="AK660">
        <v>0</v>
      </c>
      <c r="AL660">
        <v>0.57041299999999995</v>
      </c>
      <c r="AM660">
        <v>0.38112499999999999</v>
      </c>
      <c r="AN660">
        <v>1.58788</v>
      </c>
      <c r="AO660">
        <v>3.2230799999999999</v>
      </c>
      <c r="AP660">
        <v>10.0875</v>
      </c>
      <c r="AQ660">
        <v>36.904899999999998</v>
      </c>
      <c r="AR660">
        <v>47.8155</v>
      </c>
      <c r="AS660">
        <v>3.5638799999999998E-2</v>
      </c>
      <c r="AT660">
        <v>8.0416500000000006</v>
      </c>
      <c r="AU660">
        <v>35.520600000000002</v>
      </c>
      <c r="AV660">
        <v>40.886000000000003</v>
      </c>
      <c r="AW660">
        <v>11.764200000000001</v>
      </c>
      <c r="AX660">
        <v>2.3002699999999998</v>
      </c>
      <c r="AY660">
        <v>1.48732</v>
      </c>
      <c r="AZ660">
        <v>326.64100000000002</v>
      </c>
      <c r="BA660">
        <v>391.8</v>
      </c>
      <c r="BB660">
        <v>32630.1</v>
      </c>
      <c r="BC660">
        <v>9.6058700000000007E-3</v>
      </c>
      <c r="BD660">
        <v>5.2394099999999999E-2</v>
      </c>
      <c r="BE660">
        <v>0.44027899999999998</v>
      </c>
      <c r="BF660">
        <v>2.2343500000000001</v>
      </c>
      <c r="BG660">
        <v>40.834400000000002</v>
      </c>
      <c r="BH660">
        <v>53.152900000000002</v>
      </c>
      <c r="BI660">
        <v>3.2856200000000002</v>
      </c>
      <c r="BJ660">
        <v>35.210799999999999</v>
      </c>
      <c r="BK660">
        <v>0</v>
      </c>
      <c r="BL660">
        <v>24.589700000000001</v>
      </c>
      <c r="BM660">
        <v>61.863900000000001</v>
      </c>
      <c r="BN660">
        <v>11.669499999999999</v>
      </c>
      <c r="BO660">
        <v>1.0969</v>
      </c>
      <c r="BP660">
        <v>0.77999600000000002</v>
      </c>
      <c r="BQ660">
        <v>38.710700000000003</v>
      </c>
      <c r="BR660">
        <v>118334</v>
      </c>
    </row>
    <row r="661" spans="1:70" x14ac:dyDescent="0.25">
      <c r="A661">
        <v>48</v>
      </c>
      <c r="B661" s="7">
        <v>45966.535497685189</v>
      </c>
      <c r="C661" t="s">
        <v>183</v>
      </c>
      <c r="D661" s="6" t="s">
        <v>374</v>
      </c>
      <c r="E661" s="6" t="str">
        <f>VLOOKUP(F661,Germplasm!$A$1:$B$21,2,FALSE)</f>
        <v>Tore</v>
      </c>
      <c r="F661" t="s">
        <v>72</v>
      </c>
      <c r="G661" s="6" t="s">
        <v>113</v>
      </c>
      <c r="H661">
        <v>45267</v>
      </c>
      <c r="I661">
        <v>401.27800000000002</v>
      </c>
      <c r="J661">
        <v>167396</v>
      </c>
      <c r="K661">
        <v>16.8522</v>
      </c>
      <c r="L661">
        <v>68.904300000000006</v>
      </c>
      <c r="M661">
        <v>1589.16</v>
      </c>
      <c r="N661">
        <v>616.52</v>
      </c>
      <c r="O661">
        <v>21413900</v>
      </c>
      <c r="P661">
        <v>0.31060300000000002</v>
      </c>
      <c r="Q661">
        <v>0.18360199999999999</v>
      </c>
      <c r="R661">
        <v>1.16689</v>
      </c>
      <c r="S661">
        <v>8.3844999999999992</v>
      </c>
      <c r="T661">
        <v>35.325099999999999</v>
      </c>
      <c r="U661">
        <v>54.045400000000001</v>
      </c>
      <c r="V661">
        <v>0.89455099999999999</v>
      </c>
      <c r="W661">
        <v>113.143</v>
      </c>
      <c r="X661">
        <v>0.404945</v>
      </c>
      <c r="Y661">
        <v>0.83130999999999999</v>
      </c>
      <c r="Z661">
        <v>1.9400599999999999</v>
      </c>
      <c r="AA661">
        <v>19.265999999999998</v>
      </c>
      <c r="AB661">
        <v>52.303199999999997</v>
      </c>
      <c r="AC661">
        <v>25.2545</v>
      </c>
      <c r="AD661">
        <v>1.6046499999999999</v>
      </c>
      <c r="AE661">
        <v>6.0456000000000003</v>
      </c>
      <c r="AF661">
        <v>0</v>
      </c>
      <c r="AG661">
        <v>99.968400000000003</v>
      </c>
      <c r="AH661">
        <v>3.16204E-2</v>
      </c>
      <c r="AI661">
        <v>0</v>
      </c>
      <c r="AJ661">
        <v>0</v>
      </c>
      <c r="AK661">
        <v>0</v>
      </c>
      <c r="AL661">
        <v>0.59941</v>
      </c>
      <c r="AM661">
        <v>0.122402</v>
      </c>
      <c r="AN661">
        <v>0.86905100000000002</v>
      </c>
      <c r="AO661">
        <v>2.2858499999999999</v>
      </c>
      <c r="AP661">
        <v>7.7735200000000004</v>
      </c>
      <c r="AQ661">
        <v>29.680299999999999</v>
      </c>
      <c r="AR661">
        <v>59.268900000000002</v>
      </c>
      <c r="AS661">
        <v>8.6290099999999995E-2</v>
      </c>
      <c r="AT661">
        <v>3.6088</v>
      </c>
      <c r="AU661">
        <v>28.597100000000001</v>
      </c>
      <c r="AV661">
        <v>45.106000000000002</v>
      </c>
      <c r="AW661">
        <v>17.542200000000001</v>
      </c>
      <c r="AX661">
        <v>3.6608299999999998</v>
      </c>
      <c r="AY661">
        <v>1.4851399999999999</v>
      </c>
      <c r="AZ661">
        <v>473.05799999999999</v>
      </c>
      <c r="BA661">
        <v>535.19899999999996</v>
      </c>
      <c r="BB661">
        <v>28209.9</v>
      </c>
      <c r="BC661">
        <v>3.2365400000000003E-2</v>
      </c>
      <c r="BD661">
        <v>9.18011E-3</v>
      </c>
      <c r="BE661">
        <v>7.6501E-2</v>
      </c>
      <c r="BF661">
        <v>0.67116799999999999</v>
      </c>
      <c r="BG661">
        <v>31.449000000000002</v>
      </c>
      <c r="BH661">
        <v>64.893199999999993</v>
      </c>
      <c r="BI661">
        <v>2.9009200000000002</v>
      </c>
      <c r="BJ661">
        <v>38.687399999999997</v>
      </c>
      <c r="BK661">
        <v>0</v>
      </c>
      <c r="BL661">
        <v>17.388200000000001</v>
      </c>
      <c r="BM661">
        <v>62.206499999999998</v>
      </c>
      <c r="BN661">
        <v>18.6142</v>
      </c>
      <c r="BO661">
        <v>1.3413200000000001</v>
      </c>
      <c r="BP661">
        <v>0.449826</v>
      </c>
      <c r="BQ661">
        <v>38.597900000000003</v>
      </c>
      <c r="BR661">
        <v>98038</v>
      </c>
    </row>
    <row r="662" spans="1:70" x14ac:dyDescent="0.25">
      <c r="A662">
        <v>48</v>
      </c>
      <c r="B662" s="7">
        <v>45973.570625</v>
      </c>
      <c r="C662" t="s">
        <v>183</v>
      </c>
      <c r="D662" s="6" t="s">
        <v>375</v>
      </c>
      <c r="E662" s="6" t="str">
        <f>VLOOKUP(F662,Germplasm!$A$1:$B$21,2,FALSE)</f>
        <v>Tore</v>
      </c>
      <c r="F662" t="s">
        <v>72</v>
      </c>
      <c r="G662" s="6" t="s">
        <v>113</v>
      </c>
      <c r="H662">
        <v>48817.3</v>
      </c>
      <c r="I662">
        <v>522.05899999999997</v>
      </c>
      <c r="J662">
        <v>203760</v>
      </c>
      <c r="K662">
        <v>15.1534</v>
      </c>
      <c r="L662">
        <v>65.344899999999996</v>
      </c>
      <c r="M662">
        <v>1728.44</v>
      </c>
      <c r="N662">
        <v>632.82799999999997</v>
      </c>
      <c r="O662">
        <v>28132700</v>
      </c>
      <c r="P662">
        <v>0.30814200000000003</v>
      </c>
      <c r="Q662">
        <v>0.20576700000000001</v>
      </c>
      <c r="R662">
        <v>1.49773</v>
      </c>
      <c r="S662">
        <v>8.6922899999999998</v>
      </c>
      <c r="T662">
        <v>34.733600000000003</v>
      </c>
      <c r="U662">
        <v>53.569499999999998</v>
      </c>
      <c r="V662">
        <v>1.3010699999999999</v>
      </c>
      <c r="W662">
        <v>110.548</v>
      </c>
      <c r="X662">
        <v>0.64643600000000001</v>
      </c>
      <c r="Y662">
        <v>1.3238300000000001</v>
      </c>
      <c r="Z662">
        <v>2.8324799999999999</v>
      </c>
      <c r="AA662">
        <v>22.5014</v>
      </c>
      <c r="AB662">
        <v>50.611400000000003</v>
      </c>
      <c r="AC662">
        <v>22.084399999999999</v>
      </c>
      <c r="AD662">
        <v>1.58104</v>
      </c>
      <c r="AE662">
        <v>6.3851100000000001</v>
      </c>
      <c r="AF662">
        <v>0</v>
      </c>
      <c r="AG662">
        <v>99.694100000000006</v>
      </c>
      <c r="AH662">
        <v>0.29226200000000002</v>
      </c>
      <c r="AI662">
        <v>1.18362E-2</v>
      </c>
      <c r="AJ662">
        <v>1.82095E-3</v>
      </c>
      <c r="AK662">
        <v>0</v>
      </c>
      <c r="AL662">
        <v>0.58350599999999997</v>
      </c>
      <c r="AM662">
        <v>0.28679900000000003</v>
      </c>
      <c r="AN662">
        <v>1.44401</v>
      </c>
      <c r="AO662">
        <v>3.7247499999999998</v>
      </c>
      <c r="AP662">
        <v>9.3978999999999999</v>
      </c>
      <c r="AQ662">
        <v>29.7652</v>
      </c>
      <c r="AR662">
        <v>55.381399999999999</v>
      </c>
      <c r="AS662">
        <v>0.107671</v>
      </c>
      <c r="AT662">
        <v>3.28681</v>
      </c>
      <c r="AU662">
        <v>25.6435</v>
      </c>
      <c r="AV662">
        <v>45.028399999999998</v>
      </c>
      <c r="AW662">
        <v>18.654699999999998</v>
      </c>
      <c r="AX662">
        <v>4.9921199999999999</v>
      </c>
      <c r="AY662">
        <v>2.3945400000000001</v>
      </c>
      <c r="AZ662">
        <v>576.28599999999994</v>
      </c>
      <c r="BA662">
        <v>660</v>
      </c>
      <c r="BB662">
        <v>30876.6</v>
      </c>
      <c r="BC662">
        <v>4.6049199999999998E-2</v>
      </c>
      <c r="BD662">
        <v>8.1942600000000001E-3</v>
      </c>
      <c r="BE662">
        <v>9.6510200000000004E-2</v>
      </c>
      <c r="BF662">
        <v>0.88862200000000002</v>
      </c>
      <c r="BG662">
        <v>27.937000000000001</v>
      </c>
      <c r="BH662">
        <v>65.412899999999993</v>
      </c>
      <c r="BI662">
        <v>5.6567699999999999</v>
      </c>
      <c r="BJ662">
        <v>39.377299999999998</v>
      </c>
      <c r="BK662">
        <v>0</v>
      </c>
      <c r="BL662">
        <v>16.246500000000001</v>
      </c>
      <c r="BM662">
        <v>63.2333</v>
      </c>
      <c r="BN662">
        <v>17.824300000000001</v>
      </c>
      <c r="BO662">
        <v>2.0248900000000001</v>
      </c>
      <c r="BP662">
        <v>0.67101900000000003</v>
      </c>
      <c r="BQ662">
        <v>39.285699999999999</v>
      </c>
      <c r="BR662">
        <v>109833</v>
      </c>
    </row>
    <row r="663" spans="1:70" x14ac:dyDescent="0.25">
      <c r="A663">
        <v>48</v>
      </c>
      <c r="B663" s="7">
        <v>45988.583032407405</v>
      </c>
      <c r="C663" t="s">
        <v>183</v>
      </c>
      <c r="D663" s="6" t="s">
        <v>376</v>
      </c>
      <c r="E663" s="6" t="str">
        <f>VLOOKUP(F663,Germplasm!$A$1:$B$21,2,FALSE)</f>
        <v>Tore</v>
      </c>
      <c r="F663" t="s">
        <v>72</v>
      </c>
      <c r="G663" s="6" t="s">
        <v>113</v>
      </c>
      <c r="H663">
        <v>90830.5</v>
      </c>
      <c r="I663">
        <v>493.57499999999999</v>
      </c>
      <c r="J663">
        <v>184948</v>
      </c>
      <c r="K663">
        <v>29.409099999999999</v>
      </c>
      <c r="L663">
        <v>72.1096</v>
      </c>
      <c r="M663">
        <v>1608.19</v>
      </c>
      <c r="N663">
        <v>582.11300000000006</v>
      </c>
      <c r="O663">
        <v>55232900</v>
      </c>
      <c r="P663">
        <v>0.21992800000000001</v>
      </c>
      <c r="Q663">
        <v>0.55530800000000002</v>
      </c>
      <c r="R663">
        <v>8.3954900000000006</v>
      </c>
      <c r="S663">
        <v>18.2027</v>
      </c>
      <c r="T663">
        <v>43.106000000000002</v>
      </c>
      <c r="U663">
        <v>29.107399999999998</v>
      </c>
      <c r="V663">
        <v>0.63315900000000003</v>
      </c>
      <c r="W663">
        <v>100.01900000000001</v>
      </c>
      <c r="X663">
        <v>5.2160799999999998</v>
      </c>
      <c r="Y663">
        <v>7.7525300000000001</v>
      </c>
      <c r="Z663">
        <v>6.6255800000000002</v>
      </c>
      <c r="AA663">
        <v>23.558700000000002</v>
      </c>
      <c r="AB663">
        <v>34.169899999999998</v>
      </c>
      <c r="AC663">
        <v>22.677199999999999</v>
      </c>
      <c r="AD663">
        <v>1.6699299999999999</v>
      </c>
      <c r="AE663">
        <v>7.8482000000000003</v>
      </c>
      <c r="AF663">
        <v>0</v>
      </c>
      <c r="AG663">
        <v>99.213300000000004</v>
      </c>
      <c r="AH663">
        <v>0.78124099999999996</v>
      </c>
      <c r="AI663">
        <v>5.4441899999999998E-3</v>
      </c>
      <c r="AJ663">
        <v>0</v>
      </c>
      <c r="AK663">
        <v>0</v>
      </c>
      <c r="AL663">
        <v>0.46268599999999999</v>
      </c>
      <c r="AM663">
        <v>0.88685899999999995</v>
      </c>
      <c r="AN663">
        <v>8.46082</v>
      </c>
      <c r="AO663">
        <v>9.7325800000000005</v>
      </c>
      <c r="AP663">
        <v>16.427800000000001</v>
      </c>
      <c r="AQ663">
        <v>42.647100000000002</v>
      </c>
      <c r="AR663">
        <v>21.844799999999999</v>
      </c>
      <c r="AS663">
        <v>0.136854</v>
      </c>
      <c r="AT663">
        <v>2.5554999999999999</v>
      </c>
      <c r="AU663">
        <v>24.159099999999999</v>
      </c>
      <c r="AV663">
        <v>38.101700000000001</v>
      </c>
      <c r="AW663">
        <v>24.923500000000001</v>
      </c>
      <c r="AX663">
        <v>8.1161999999999992</v>
      </c>
      <c r="AY663">
        <v>2.14392</v>
      </c>
      <c r="AZ663">
        <v>608.08799999999997</v>
      </c>
      <c r="BA663">
        <v>728.40099999999995</v>
      </c>
      <c r="BB663">
        <v>54391.7</v>
      </c>
      <c r="BC663">
        <v>9.4169900000000001E-2</v>
      </c>
      <c r="BD663">
        <v>2.341E-2</v>
      </c>
      <c r="BE663">
        <v>0.26077699999999998</v>
      </c>
      <c r="BF663">
        <v>1.2391000000000001</v>
      </c>
      <c r="BG663">
        <v>25.191400000000002</v>
      </c>
      <c r="BH663">
        <v>53.386299999999999</v>
      </c>
      <c r="BI663">
        <v>19.899100000000001</v>
      </c>
      <c r="BJ663">
        <v>34.666499999999999</v>
      </c>
      <c r="BK663">
        <v>0</v>
      </c>
      <c r="BL663">
        <v>24.918099999999999</v>
      </c>
      <c r="BM663">
        <v>62.719799999999999</v>
      </c>
      <c r="BN663">
        <v>10.6287</v>
      </c>
      <c r="BO663">
        <v>1.1634199999999999</v>
      </c>
      <c r="BP663">
        <v>0.57000700000000004</v>
      </c>
      <c r="BQ663">
        <v>36.842799999999997</v>
      </c>
      <c r="BR663">
        <v>183682</v>
      </c>
    </row>
    <row r="664" spans="1:70" x14ac:dyDescent="0.25">
      <c r="A664">
        <v>48</v>
      </c>
      <c r="B664" s="7">
        <v>45994.561041666668</v>
      </c>
      <c r="C664" t="s">
        <v>183</v>
      </c>
      <c r="D664" s="6" t="s">
        <v>377</v>
      </c>
      <c r="E664" s="6" t="str">
        <f>VLOOKUP(F664,Germplasm!$A$1:$B$21,2,FALSE)</f>
        <v>Tore</v>
      </c>
      <c r="F664" t="s">
        <v>72</v>
      </c>
      <c r="G664" s="6" t="s">
        <v>113</v>
      </c>
      <c r="H664">
        <v>83109.100000000006</v>
      </c>
      <c r="I664">
        <v>482.27699999999999</v>
      </c>
      <c r="J664">
        <v>193126</v>
      </c>
      <c r="K664">
        <v>25.5869</v>
      </c>
      <c r="L664">
        <v>67.436499999999995</v>
      </c>
      <c r="M664">
        <v>1659.66</v>
      </c>
      <c r="N664">
        <v>612.5</v>
      </c>
      <c r="O664">
        <v>54137700</v>
      </c>
      <c r="P664">
        <v>0.191357</v>
      </c>
      <c r="Q664">
        <v>0.66208400000000001</v>
      </c>
      <c r="R664">
        <v>9.2609200000000005</v>
      </c>
      <c r="S664">
        <v>23.256699999999999</v>
      </c>
      <c r="T664">
        <v>45.840600000000002</v>
      </c>
      <c r="U664">
        <v>20.664899999999999</v>
      </c>
      <c r="V664">
        <v>0.31482900000000003</v>
      </c>
      <c r="W664">
        <v>96.777600000000007</v>
      </c>
      <c r="X664">
        <v>5.8974399999999996</v>
      </c>
      <c r="Y664">
        <v>9.4041800000000002</v>
      </c>
      <c r="Z664">
        <v>9.0156600000000005</v>
      </c>
      <c r="AA664">
        <v>22.971299999999999</v>
      </c>
      <c r="AB664">
        <v>29.993600000000001</v>
      </c>
      <c r="AC664">
        <v>22.7178</v>
      </c>
      <c r="AD664">
        <v>1.6818599999999999</v>
      </c>
      <c r="AE664">
        <v>8.3757699999999993</v>
      </c>
      <c r="AF664">
        <v>0</v>
      </c>
      <c r="AG664">
        <v>99.137500000000003</v>
      </c>
      <c r="AH664">
        <v>0.860178</v>
      </c>
      <c r="AI664">
        <v>5.8956700000000004E-4</v>
      </c>
      <c r="AJ664">
        <v>1.7687E-3</v>
      </c>
      <c r="AK664">
        <v>0</v>
      </c>
      <c r="AL664">
        <v>0.42013699999999998</v>
      </c>
      <c r="AM664">
        <v>1.5517399999999999</v>
      </c>
      <c r="AN664">
        <v>11.267799999999999</v>
      </c>
      <c r="AO664">
        <v>11.5319</v>
      </c>
      <c r="AP664">
        <v>21.394200000000001</v>
      </c>
      <c r="AQ664">
        <v>40.497399999999999</v>
      </c>
      <c r="AR664">
        <v>13.757</v>
      </c>
      <c r="AS664">
        <v>0.14047899999999999</v>
      </c>
      <c r="AT664">
        <v>2.0104199999999999</v>
      </c>
      <c r="AU664">
        <v>24.0349</v>
      </c>
      <c r="AV664">
        <v>38.094299999999997</v>
      </c>
      <c r="AW664">
        <v>25.664999999999999</v>
      </c>
      <c r="AX664">
        <v>8.4649999999999999</v>
      </c>
      <c r="AY664">
        <v>1.73038</v>
      </c>
      <c r="AZ664">
        <v>651.40499999999997</v>
      </c>
      <c r="BA664">
        <v>766.79899999999998</v>
      </c>
      <c r="BB664">
        <v>49415</v>
      </c>
      <c r="BC664">
        <v>0.109111</v>
      </c>
      <c r="BD664">
        <v>3.4784500000000003E-2</v>
      </c>
      <c r="BE664">
        <v>0.25587199999999999</v>
      </c>
      <c r="BF664">
        <v>1.1797200000000001</v>
      </c>
      <c r="BG664">
        <v>24.572600000000001</v>
      </c>
      <c r="BH664">
        <v>49.633899999999997</v>
      </c>
      <c r="BI664">
        <v>24.3232</v>
      </c>
      <c r="BJ664">
        <v>32.410899999999998</v>
      </c>
      <c r="BK664">
        <v>0</v>
      </c>
      <c r="BL664">
        <v>29.8339</v>
      </c>
      <c r="BM664">
        <v>61.718800000000002</v>
      </c>
      <c r="BN664">
        <v>7.1968399999999999</v>
      </c>
      <c r="BO664">
        <v>0.65972500000000001</v>
      </c>
      <c r="BP664">
        <v>0.59074599999999999</v>
      </c>
      <c r="BQ664">
        <v>36.539900000000003</v>
      </c>
      <c r="BR664">
        <v>169616</v>
      </c>
    </row>
    <row r="665" spans="1:70" x14ac:dyDescent="0.25">
      <c r="A665">
        <v>48</v>
      </c>
      <c r="B665" s="7">
        <v>46002.588009259256</v>
      </c>
      <c r="C665" t="s">
        <v>183</v>
      </c>
      <c r="D665" s="6" t="s">
        <v>378</v>
      </c>
      <c r="E665" s="6" t="str">
        <f>VLOOKUP(F665,Germplasm!$A$1:$B$21,2,FALSE)</f>
        <v>Tore</v>
      </c>
      <c r="F665" t="s">
        <v>72</v>
      </c>
      <c r="G665" s="6" t="s">
        <v>113</v>
      </c>
      <c r="H665">
        <v>70931.8</v>
      </c>
      <c r="I665">
        <v>497.06099999999998</v>
      </c>
      <c r="J665">
        <v>173304</v>
      </c>
      <c r="K665">
        <v>24.4726</v>
      </c>
      <c r="L665">
        <v>77.018600000000006</v>
      </c>
      <c r="M665">
        <v>1549.75</v>
      </c>
      <c r="N665">
        <v>551.60799999999995</v>
      </c>
      <c r="O665">
        <v>47716400</v>
      </c>
      <c r="P665">
        <v>0.15361900000000001</v>
      </c>
      <c r="Q665">
        <v>0.73530399999999996</v>
      </c>
      <c r="R665">
        <v>14.774800000000001</v>
      </c>
      <c r="S665">
        <v>29.757300000000001</v>
      </c>
      <c r="T665">
        <v>40.859000000000002</v>
      </c>
      <c r="U665">
        <v>13.6349</v>
      </c>
      <c r="V665">
        <v>0.238709</v>
      </c>
      <c r="W665">
        <v>79.113500000000002</v>
      </c>
      <c r="X665">
        <v>9.2772600000000001</v>
      </c>
      <c r="Y665">
        <v>18.322399999999998</v>
      </c>
      <c r="Z665">
        <v>13.212999999999999</v>
      </c>
      <c r="AA665">
        <v>23.314800000000002</v>
      </c>
      <c r="AB665">
        <v>22.3461</v>
      </c>
      <c r="AC665">
        <v>13.526400000000001</v>
      </c>
      <c r="AD665">
        <v>1.67245</v>
      </c>
      <c r="AE665">
        <v>9.89663</v>
      </c>
      <c r="AF665">
        <v>0</v>
      </c>
      <c r="AG665">
        <v>97.438299999999998</v>
      </c>
      <c r="AH665">
        <v>2.5557099999999999</v>
      </c>
      <c r="AI665">
        <v>5.2899599999999998E-3</v>
      </c>
      <c r="AJ665">
        <v>6.6124399999999996E-4</v>
      </c>
      <c r="AK665">
        <v>0</v>
      </c>
      <c r="AL665">
        <v>0.32952500000000001</v>
      </c>
      <c r="AM665">
        <v>3.13496</v>
      </c>
      <c r="AN665">
        <v>21.702000000000002</v>
      </c>
      <c r="AO665">
        <v>17.927700000000002</v>
      </c>
      <c r="AP665">
        <v>23.323399999999999</v>
      </c>
      <c r="AQ665">
        <v>27.496500000000001</v>
      </c>
      <c r="AR665">
        <v>6.4153900000000004</v>
      </c>
      <c r="AS665">
        <v>0.211561</v>
      </c>
      <c r="AT665">
        <v>0.70157999999999998</v>
      </c>
      <c r="AU665">
        <v>14.196300000000001</v>
      </c>
      <c r="AV665">
        <v>33.792900000000003</v>
      </c>
      <c r="AW665">
        <v>34.327800000000003</v>
      </c>
      <c r="AX665">
        <v>14.610200000000001</v>
      </c>
      <c r="AY665">
        <v>2.3712200000000001</v>
      </c>
      <c r="AZ665">
        <v>672.70799999999997</v>
      </c>
      <c r="BA665">
        <v>758.99900000000002</v>
      </c>
      <c r="BB665">
        <v>42412</v>
      </c>
      <c r="BC665">
        <v>0.18995999999999999</v>
      </c>
      <c r="BD665">
        <v>2.1159799999999999E-2</v>
      </c>
      <c r="BE665">
        <v>0.14216799999999999</v>
      </c>
      <c r="BF665">
        <v>0.63876200000000005</v>
      </c>
      <c r="BG665">
        <v>14.0951</v>
      </c>
      <c r="BH665">
        <v>43.142899999999997</v>
      </c>
      <c r="BI665">
        <v>41.959899999999998</v>
      </c>
      <c r="BJ665">
        <v>33.241500000000002</v>
      </c>
      <c r="BK665">
        <v>0</v>
      </c>
      <c r="BL665">
        <v>28.253699999999998</v>
      </c>
      <c r="BM665">
        <v>61.740400000000001</v>
      </c>
      <c r="BN665">
        <v>8.7013200000000008</v>
      </c>
      <c r="BO665">
        <v>0.82589400000000002</v>
      </c>
      <c r="BP665">
        <v>0.47874100000000003</v>
      </c>
      <c r="BQ665">
        <v>36.775399999999998</v>
      </c>
      <c r="BR665">
        <v>151230</v>
      </c>
    </row>
    <row r="666" spans="1:70" x14ac:dyDescent="0.25">
      <c r="A666">
        <v>48</v>
      </c>
      <c r="B666" s="7">
        <v>46013.566400462965</v>
      </c>
      <c r="C666" t="s">
        <v>183</v>
      </c>
      <c r="D666" s="6" t="s">
        <v>379</v>
      </c>
      <c r="E666" s="6" t="str">
        <f>VLOOKUP(F666,Germplasm!$A$1:$B$21,2,FALSE)</f>
        <v>Tore</v>
      </c>
      <c r="F666" t="s">
        <v>72</v>
      </c>
      <c r="G666" s="6" t="s">
        <v>113</v>
      </c>
      <c r="H666">
        <v>58444.800000000003</v>
      </c>
      <c r="I666">
        <v>585.54700000000003</v>
      </c>
      <c r="J666">
        <v>149751</v>
      </c>
      <c r="K666">
        <v>22.167200000000001</v>
      </c>
      <c r="L666">
        <v>86.275000000000006</v>
      </c>
      <c r="M666">
        <v>1459.46</v>
      </c>
      <c r="N666">
        <v>506.46</v>
      </c>
      <c r="O666">
        <v>40302700</v>
      </c>
      <c r="P666">
        <v>8.2119600000000001E-2</v>
      </c>
      <c r="Q666">
        <v>1.0637000000000001</v>
      </c>
      <c r="R666">
        <v>23.9786</v>
      </c>
      <c r="S666">
        <v>46.271900000000002</v>
      </c>
      <c r="T666">
        <v>23.876999999999999</v>
      </c>
      <c r="U666">
        <v>4.6787099999999997</v>
      </c>
      <c r="V666">
        <v>0.130185</v>
      </c>
      <c r="W666">
        <v>54.1678</v>
      </c>
      <c r="X666">
        <v>13.9472</v>
      </c>
      <c r="Y666">
        <v>38.469499999999996</v>
      </c>
      <c r="Z666">
        <v>15.003</v>
      </c>
      <c r="AA666">
        <v>16.9954</v>
      </c>
      <c r="AB666">
        <v>7.9547499999999998</v>
      </c>
      <c r="AC666">
        <v>7.63009</v>
      </c>
      <c r="AD666">
        <v>1.7606200000000001</v>
      </c>
      <c r="AE666">
        <v>12.4207</v>
      </c>
      <c r="AF666">
        <v>0</v>
      </c>
      <c r="AG666">
        <v>94.637</v>
      </c>
      <c r="AH666">
        <v>5.3621699999999999</v>
      </c>
      <c r="AI666">
        <v>7.9380800000000001E-4</v>
      </c>
      <c r="AJ666">
        <v>0</v>
      </c>
      <c r="AK666">
        <v>0</v>
      </c>
      <c r="AL666">
        <v>0.20216999999999999</v>
      </c>
      <c r="AM666">
        <v>6.7846799999999998</v>
      </c>
      <c r="AN666">
        <v>41.314500000000002</v>
      </c>
      <c r="AO666">
        <v>24.160299999999999</v>
      </c>
      <c r="AP666">
        <v>16.570699999999999</v>
      </c>
      <c r="AQ666">
        <v>9.8979999999999997</v>
      </c>
      <c r="AR666">
        <v>1.2716799999999999</v>
      </c>
      <c r="AS666">
        <v>0.26909100000000002</v>
      </c>
      <c r="AT666">
        <v>0.61043899999999995</v>
      </c>
      <c r="AU666">
        <v>5.9607099999999997</v>
      </c>
      <c r="AV666">
        <v>24.3858</v>
      </c>
      <c r="AW666">
        <v>49.7821</v>
      </c>
      <c r="AX666">
        <v>16.848600000000001</v>
      </c>
      <c r="AY666">
        <v>2.4123800000000002</v>
      </c>
      <c r="AZ666">
        <v>689.58600000000001</v>
      </c>
      <c r="BA666">
        <v>751.8</v>
      </c>
      <c r="BB666">
        <v>33195.599999999999</v>
      </c>
      <c r="BC666">
        <v>0.28258299999999997</v>
      </c>
      <c r="BD666">
        <v>7.1442699999999998E-2</v>
      </c>
      <c r="BE666">
        <v>0.24052399999999999</v>
      </c>
      <c r="BF666">
        <v>0.70887100000000003</v>
      </c>
      <c r="BG666">
        <v>5.5503099999999996</v>
      </c>
      <c r="BH666">
        <v>25.436</v>
      </c>
      <c r="BI666">
        <v>67.992900000000006</v>
      </c>
      <c r="BJ666">
        <v>32.417700000000004</v>
      </c>
      <c r="BK666">
        <v>0</v>
      </c>
      <c r="BL666">
        <v>29.427299999999999</v>
      </c>
      <c r="BM666">
        <v>62.832299999999996</v>
      </c>
      <c r="BN666">
        <v>6.4068300000000002</v>
      </c>
      <c r="BO666">
        <v>0.84223099999999995</v>
      </c>
      <c r="BP666">
        <v>0.491367</v>
      </c>
      <c r="BQ666">
        <v>34.654000000000003</v>
      </c>
      <c r="BR666">
        <v>125975</v>
      </c>
    </row>
    <row r="667" spans="1:70" x14ac:dyDescent="0.25">
      <c r="A667">
        <v>48</v>
      </c>
      <c r="B667" s="7">
        <v>46024.563634259262</v>
      </c>
      <c r="C667" t="s">
        <v>183</v>
      </c>
      <c r="D667" s="6" t="s">
        <v>380</v>
      </c>
      <c r="E667" s="6" t="str">
        <f>VLOOKUP(F667,Germplasm!$A$1:$B$21,2,FALSE)</f>
        <v>Tore</v>
      </c>
      <c r="F667" t="s">
        <v>72</v>
      </c>
      <c r="G667" s="6" t="s">
        <v>113</v>
      </c>
      <c r="H667">
        <v>57007.6</v>
      </c>
      <c r="I667">
        <v>601.47400000000005</v>
      </c>
      <c r="J667">
        <v>145294</v>
      </c>
      <c r="K667">
        <v>20.999099999999999</v>
      </c>
      <c r="L667">
        <v>81.441500000000005</v>
      </c>
      <c r="M667">
        <v>1412.78</v>
      </c>
      <c r="N667">
        <v>503.56799999999998</v>
      </c>
      <c r="O667">
        <v>37968200</v>
      </c>
      <c r="P667">
        <v>1.7834800000000001E-2</v>
      </c>
      <c r="Q667">
        <v>0.860066</v>
      </c>
      <c r="R667">
        <v>39.335900000000002</v>
      </c>
      <c r="S667">
        <v>53.980899999999998</v>
      </c>
      <c r="T667">
        <v>4.92211</v>
      </c>
      <c r="U667">
        <v>0.88654299999999997</v>
      </c>
      <c r="V667">
        <v>1.4519499999999999E-2</v>
      </c>
      <c r="W667">
        <v>36.545099999999998</v>
      </c>
      <c r="X667">
        <v>22.2422</v>
      </c>
      <c r="Y667">
        <v>55.179200000000002</v>
      </c>
      <c r="Z667">
        <v>10.600899999999999</v>
      </c>
      <c r="AA667">
        <v>5.0203300000000004</v>
      </c>
      <c r="AB667">
        <v>1.54077</v>
      </c>
      <c r="AC667">
        <v>5.41662</v>
      </c>
      <c r="AD667">
        <v>1.8684700000000001</v>
      </c>
      <c r="AE667">
        <v>17.2425</v>
      </c>
      <c r="AF667">
        <v>0</v>
      </c>
      <c r="AG667">
        <v>83.279499999999999</v>
      </c>
      <c r="AH667">
        <v>16.452300000000001</v>
      </c>
      <c r="AI667">
        <v>0.26647500000000002</v>
      </c>
      <c r="AJ667">
        <v>1.7081799999999999E-3</v>
      </c>
      <c r="AK667">
        <v>0</v>
      </c>
      <c r="AL667">
        <v>0.10678700000000001</v>
      </c>
      <c r="AM667">
        <v>11.700100000000001</v>
      </c>
      <c r="AN667">
        <v>61.589100000000002</v>
      </c>
      <c r="AO667">
        <v>20.452000000000002</v>
      </c>
      <c r="AP667">
        <v>4.9067299999999996</v>
      </c>
      <c r="AQ667">
        <v>1.06846</v>
      </c>
      <c r="AR667">
        <v>0.283557</v>
      </c>
      <c r="AS667">
        <v>0.276978</v>
      </c>
      <c r="AT667">
        <v>0.34590599999999999</v>
      </c>
      <c r="AU667">
        <v>2.9098799999999998</v>
      </c>
      <c r="AV667">
        <v>26.0334</v>
      </c>
      <c r="AW667">
        <v>53.055100000000003</v>
      </c>
      <c r="AX667">
        <v>15.150700000000001</v>
      </c>
      <c r="AY667">
        <v>2.5050400000000002</v>
      </c>
      <c r="AZ667">
        <v>666.02</v>
      </c>
      <c r="BA667">
        <v>683.4</v>
      </c>
      <c r="BB667">
        <v>30510.400000000001</v>
      </c>
      <c r="BC667">
        <v>0.334399</v>
      </c>
      <c r="BD667">
        <v>6.0640199999999998E-2</v>
      </c>
      <c r="BE667">
        <v>0.26732899999999998</v>
      </c>
      <c r="BF667">
        <v>0.61665099999999995</v>
      </c>
      <c r="BG667">
        <v>2.3111600000000001</v>
      </c>
      <c r="BH667">
        <v>13.814</v>
      </c>
      <c r="BI667">
        <v>82.930199999999999</v>
      </c>
      <c r="BJ667">
        <v>29.298999999999999</v>
      </c>
      <c r="BK667">
        <v>0</v>
      </c>
      <c r="BL667">
        <v>40.4026</v>
      </c>
      <c r="BM667">
        <v>53.225000000000001</v>
      </c>
      <c r="BN667">
        <v>5.2876599999999998</v>
      </c>
      <c r="BO667">
        <v>0.79430199999999995</v>
      </c>
      <c r="BP667">
        <v>0.29038999999999998</v>
      </c>
      <c r="BQ667">
        <v>32.396599999999999</v>
      </c>
      <c r="BR667">
        <v>117084</v>
      </c>
    </row>
    <row r="668" spans="1:70" x14ac:dyDescent="0.25">
      <c r="A668">
        <v>49</v>
      </c>
      <c r="B668" s="7">
        <v>45952.578645833331</v>
      </c>
      <c r="C668" t="s">
        <v>188</v>
      </c>
      <c r="D668" s="6" t="s">
        <v>381</v>
      </c>
      <c r="E668" s="6" t="str">
        <f>VLOOKUP(F668,Germplasm!$A$1:$B$21,2,FALSE)</f>
        <v>Arild</v>
      </c>
      <c r="F668" t="s">
        <v>74</v>
      </c>
      <c r="G668" s="6" t="s">
        <v>113</v>
      </c>
      <c r="H668">
        <v>24939.1</v>
      </c>
      <c r="I668">
        <v>288.85300000000001</v>
      </c>
      <c r="J668">
        <v>80461.399999999994</v>
      </c>
      <c r="K668">
        <v>18.793199999999999</v>
      </c>
      <c r="L668">
        <v>41.191800000000001</v>
      </c>
      <c r="M668">
        <v>1189.1099999999999</v>
      </c>
      <c r="N668">
        <v>503.65300000000002</v>
      </c>
      <c r="O668">
        <v>8177650</v>
      </c>
      <c r="P668">
        <v>0.19139800000000001</v>
      </c>
      <c r="Q668">
        <v>0.46121899999999999</v>
      </c>
      <c r="R668">
        <v>8.5248699999999999</v>
      </c>
      <c r="S668">
        <v>27.619299999999999</v>
      </c>
      <c r="T668">
        <v>40.3202</v>
      </c>
      <c r="U668">
        <v>22.8842</v>
      </c>
      <c r="V668">
        <v>0.19025300000000001</v>
      </c>
      <c r="W668">
        <v>117.32299999999999</v>
      </c>
      <c r="X668">
        <v>2.6904499999999998</v>
      </c>
      <c r="Y668">
        <v>3.58406</v>
      </c>
      <c r="Z668">
        <v>5.1733399999999996</v>
      </c>
      <c r="AA668">
        <v>15.104900000000001</v>
      </c>
      <c r="AB668">
        <v>30.9862</v>
      </c>
      <c r="AC668">
        <v>42.460999999999999</v>
      </c>
      <c r="AD668">
        <v>1.64927</v>
      </c>
      <c r="AE668">
        <v>17.427900000000001</v>
      </c>
      <c r="AF668">
        <v>0</v>
      </c>
      <c r="AG668">
        <v>85.915499999999994</v>
      </c>
      <c r="AH668">
        <v>1.1338299999999999</v>
      </c>
      <c r="AI668">
        <v>2.4117899999999999</v>
      </c>
      <c r="AJ668">
        <v>10.5389</v>
      </c>
      <c r="AK668">
        <v>0</v>
      </c>
      <c r="AL668">
        <v>0.43804500000000002</v>
      </c>
      <c r="AM668">
        <v>12.527900000000001</v>
      </c>
      <c r="AN668">
        <v>4.9311999999999996</v>
      </c>
      <c r="AO668">
        <v>5.3386100000000001</v>
      </c>
      <c r="AP668">
        <v>12.9122</v>
      </c>
      <c r="AQ668">
        <v>35.692599999999999</v>
      </c>
      <c r="AR668">
        <v>28.5975</v>
      </c>
      <c r="AS668">
        <v>1.9727399999999999E-2</v>
      </c>
      <c r="AT668">
        <v>7.6735300000000004</v>
      </c>
      <c r="AU668">
        <v>39.267000000000003</v>
      </c>
      <c r="AV668">
        <v>40.790999999999997</v>
      </c>
      <c r="AW668">
        <v>9.1071600000000004</v>
      </c>
      <c r="AX668">
        <v>2.08894</v>
      </c>
      <c r="AY668">
        <v>1.07233</v>
      </c>
      <c r="AZ668">
        <v>327.904</v>
      </c>
      <c r="BA668">
        <v>344.399</v>
      </c>
      <c r="BB668">
        <v>15121.3</v>
      </c>
      <c r="BC668">
        <v>-9.6071999999999998E-3</v>
      </c>
      <c r="BD668">
        <v>0.93204699999999996</v>
      </c>
      <c r="BE668">
        <v>1.0165999999999999</v>
      </c>
      <c r="BF668">
        <v>3.6762999999999999</v>
      </c>
      <c r="BG668">
        <v>41.315600000000003</v>
      </c>
      <c r="BH668">
        <v>47.924500000000002</v>
      </c>
      <c r="BI668">
        <v>5.1349099999999996</v>
      </c>
      <c r="BJ668">
        <v>31.075099999999999</v>
      </c>
      <c r="BK668">
        <v>0</v>
      </c>
      <c r="BL668">
        <v>37.491399999999999</v>
      </c>
      <c r="BM668">
        <v>53.324599999999997</v>
      </c>
      <c r="BN668">
        <v>6.4493799999999997</v>
      </c>
      <c r="BO668">
        <v>1.3260099999999999</v>
      </c>
      <c r="BP668">
        <v>1.4086399999999999</v>
      </c>
      <c r="BQ668">
        <v>37.347099999999998</v>
      </c>
      <c r="BR668">
        <v>52036</v>
      </c>
    </row>
    <row r="669" spans="1:70" x14ac:dyDescent="0.25">
      <c r="A669">
        <v>49</v>
      </c>
      <c r="B669" s="7">
        <v>45959.547175925924</v>
      </c>
      <c r="C669" t="s">
        <v>188</v>
      </c>
      <c r="D669" s="6" t="s">
        <v>382</v>
      </c>
      <c r="E669" s="6" t="str">
        <f>VLOOKUP(F669,Germplasm!$A$1:$B$21,2,FALSE)</f>
        <v>Arild</v>
      </c>
      <c r="F669" t="s">
        <v>74</v>
      </c>
      <c r="G669" s="6" t="s">
        <v>113</v>
      </c>
      <c r="H669">
        <v>40982.199999999997</v>
      </c>
      <c r="I669">
        <v>364.17</v>
      </c>
      <c r="J669">
        <v>150658</v>
      </c>
      <c r="K669">
        <v>16.677299999999999</v>
      </c>
      <c r="L669">
        <v>69.766099999999994</v>
      </c>
      <c r="M669">
        <v>1470.15</v>
      </c>
      <c r="N669">
        <v>514.14400000000001</v>
      </c>
      <c r="O669">
        <v>16639300</v>
      </c>
      <c r="P669">
        <v>0.21062900000000001</v>
      </c>
      <c r="Q669">
        <v>0.63538700000000004</v>
      </c>
      <c r="R669">
        <v>6.5291100000000002</v>
      </c>
      <c r="S669">
        <v>25.110199999999999</v>
      </c>
      <c r="T669">
        <v>40.029400000000003</v>
      </c>
      <c r="U669">
        <v>27.1023</v>
      </c>
      <c r="V669">
        <v>0.59355599999999997</v>
      </c>
      <c r="W669">
        <v>118.23699999999999</v>
      </c>
      <c r="X669">
        <v>1.97174</v>
      </c>
      <c r="Y669">
        <v>3.2866</v>
      </c>
      <c r="Z669">
        <v>4.5845099999999999</v>
      </c>
      <c r="AA669">
        <v>15.1374</v>
      </c>
      <c r="AB669">
        <v>33.749000000000002</v>
      </c>
      <c r="AC669">
        <v>41.270800000000001</v>
      </c>
      <c r="AD669">
        <v>1.6310899999999999</v>
      </c>
      <c r="AE669">
        <v>12.471299999999999</v>
      </c>
      <c r="AF669">
        <v>0</v>
      </c>
      <c r="AG669">
        <v>91.713999999999999</v>
      </c>
      <c r="AH669">
        <v>1.0978000000000001</v>
      </c>
      <c r="AI669">
        <v>1.4437500000000001</v>
      </c>
      <c r="AJ669">
        <v>5.7444899999999999</v>
      </c>
      <c r="AK669">
        <v>0</v>
      </c>
      <c r="AL669">
        <v>0.461619</v>
      </c>
      <c r="AM669">
        <v>7.6155999999999997</v>
      </c>
      <c r="AN669">
        <v>4.7054799999999997</v>
      </c>
      <c r="AO669">
        <v>7.0944000000000003</v>
      </c>
      <c r="AP669">
        <v>15.1973</v>
      </c>
      <c r="AQ669">
        <v>35.8994</v>
      </c>
      <c r="AR669">
        <v>29.4878</v>
      </c>
      <c r="AS669">
        <v>2.8627900000000001E-2</v>
      </c>
      <c r="AT669">
        <v>8.3346499999999999</v>
      </c>
      <c r="AU669">
        <v>37.825899999999997</v>
      </c>
      <c r="AV669">
        <v>39.088700000000003</v>
      </c>
      <c r="AW669">
        <v>10.473699999999999</v>
      </c>
      <c r="AX669">
        <v>2.6229499999999999</v>
      </c>
      <c r="AY669">
        <v>1.65404</v>
      </c>
      <c r="AZ669">
        <v>406.01299999999998</v>
      </c>
      <c r="BA669">
        <v>413.399</v>
      </c>
      <c r="BB669">
        <v>25125.599999999999</v>
      </c>
      <c r="BC669" s="1" t="s">
        <v>82</v>
      </c>
      <c r="BD669">
        <v>0.62182000000000004</v>
      </c>
      <c r="BE669">
        <v>1.22668</v>
      </c>
      <c r="BF669">
        <v>3.91181</v>
      </c>
      <c r="BG669">
        <v>40.399099999999997</v>
      </c>
      <c r="BH669">
        <v>47.409799999999997</v>
      </c>
      <c r="BI669">
        <v>6.4307499999999997</v>
      </c>
      <c r="BJ669">
        <v>32.037300000000002</v>
      </c>
      <c r="BK669">
        <v>0</v>
      </c>
      <c r="BL669">
        <v>36.154899999999998</v>
      </c>
      <c r="BM669">
        <v>52.495199999999997</v>
      </c>
      <c r="BN669">
        <v>8.4137900000000005</v>
      </c>
      <c r="BO669">
        <v>1.38836</v>
      </c>
      <c r="BP669">
        <v>1.5477700000000001</v>
      </c>
      <c r="BQ669">
        <v>37.8551</v>
      </c>
      <c r="BR669">
        <v>88450</v>
      </c>
    </row>
    <row r="670" spans="1:70" x14ac:dyDescent="0.25">
      <c r="A670">
        <v>49</v>
      </c>
      <c r="B670" s="7">
        <v>45966.53398148148</v>
      </c>
      <c r="C670" t="s">
        <v>188</v>
      </c>
      <c r="D670" s="6" t="s">
        <v>383</v>
      </c>
      <c r="E670" s="6" t="str">
        <f>VLOOKUP(F670,Germplasm!$A$1:$B$21,2,FALSE)</f>
        <v>Arild</v>
      </c>
      <c r="F670" t="s">
        <v>74</v>
      </c>
      <c r="G670" s="6" t="s">
        <v>113</v>
      </c>
      <c r="H670">
        <v>0</v>
      </c>
      <c r="J670">
        <v>0</v>
      </c>
      <c r="M670">
        <v>0</v>
      </c>
      <c r="N670">
        <v>0</v>
      </c>
      <c r="O670">
        <v>0</v>
      </c>
      <c r="AZ670">
        <v>0</v>
      </c>
      <c r="BA670">
        <v>0</v>
      </c>
      <c r="BB670">
        <v>0</v>
      </c>
      <c r="BR670">
        <v>0</v>
      </c>
    </row>
    <row r="671" spans="1:70" x14ac:dyDescent="0.25">
      <c r="A671">
        <v>49</v>
      </c>
      <c r="B671" s="7">
        <v>45973.571631944447</v>
      </c>
      <c r="C671" t="s">
        <v>188</v>
      </c>
      <c r="D671" s="6" t="s">
        <v>384</v>
      </c>
      <c r="E671" s="6" t="str">
        <f>VLOOKUP(F671,Germplasm!$A$1:$B$21,2,FALSE)</f>
        <v>Arild</v>
      </c>
      <c r="F671" t="s">
        <v>74</v>
      </c>
      <c r="G671" s="6" t="s">
        <v>113</v>
      </c>
      <c r="H671">
        <v>45095.6</v>
      </c>
      <c r="I671">
        <v>411.77499999999998</v>
      </c>
      <c r="J671">
        <v>251025</v>
      </c>
      <c r="K671">
        <v>12.126899999999999</v>
      </c>
      <c r="L671">
        <v>76.161299999999997</v>
      </c>
      <c r="M671">
        <v>1884.4</v>
      </c>
      <c r="N671">
        <v>713.81500000000005</v>
      </c>
      <c r="O671">
        <v>24046500</v>
      </c>
      <c r="P671">
        <v>0.225221</v>
      </c>
      <c r="Q671">
        <v>0.63115200000000005</v>
      </c>
      <c r="R671">
        <v>5.86442</v>
      </c>
      <c r="S671">
        <v>21.759399999999999</v>
      </c>
      <c r="T671">
        <v>39.278300000000002</v>
      </c>
      <c r="U671">
        <v>31.9285</v>
      </c>
      <c r="V671">
        <v>0.53819899999999998</v>
      </c>
      <c r="W671">
        <v>110.938</v>
      </c>
      <c r="X671">
        <v>1.9464399999999999</v>
      </c>
      <c r="Y671">
        <v>4.6048999999999998</v>
      </c>
      <c r="Z671">
        <v>6.0512499999999996</v>
      </c>
      <c r="AA671">
        <v>18.1751</v>
      </c>
      <c r="AB671">
        <v>37.616300000000003</v>
      </c>
      <c r="AC671">
        <v>31.606000000000002</v>
      </c>
      <c r="AD671">
        <v>1.48139</v>
      </c>
      <c r="AE671">
        <v>10.472200000000001</v>
      </c>
      <c r="AF671">
        <v>0</v>
      </c>
      <c r="AG671">
        <v>93.859499999999997</v>
      </c>
      <c r="AH671">
        <v>1.0866199999999999</v>
      </c>
      <c r="AI671">
        <v>1.7047600000000001</v>
      </c>
      <c r="AJ671">
        <v>3.3491</v>
      </c>
      <c r="AK671">
        <v>0</v>
      </c>
      <c r="AL671">
        <v>0.47194900000000001</v>
      </c>
      <c r="AM671">
        <v>4.80661</v>
      </c>
      <c r="AN671">
        <v>6.1321199999999996</v>
      </c>
      <c r="AO671">
        <v>7.9196099999999996</v>
      </c>
      <c r="AP671">
        <v>14.431900000000001</v>
      </c>
      <c r="AQ671">
        <v>36.024900000000002</v>
      </c>
      <c r="AR671">
        <v>30.684799999999999</v>
      </c>
      <c r="AS671">
        <v>6.7634600000000003E-2</v>
      </c>
      <c r="AT671">
        <v>6.4444499999999998</v>
      </c>
      <c r="AU671">
        <v>30.215399999999999</v>
      </c>
      <c r="AV671">
        <v>42.363399999999999</v>
      </c>
      <c r="AW671">
        <v>14.740500000000001</v>
      </c>
      <c r="AX671">
        <v>4.41249</v>
      </c>
      <c r="AY671">
        <v>1.8237399999999999</v>
      </c>
      <c r="AZ671">
        <v>533.23299999999995</v>
      </c>
      <c r="BA671">
        <v>594</v>
      </c>
      <c r="BB671">
        <v>30441.5</v>
      </c>
      <c r="BC671">
        <v>2.9896499999999999E-2</v>
      </c>
      <c r="BD671">
        <v>0.54842400000000002</v>
      </c>
      <c r="BE671">
        <v>1.24</v>
      </c>
      <c r="BF671">
        <v>2.93825</v>
      </c>
      <c r="BG671">
        <v>31.9313</v>
      </c>
      <c r="BH671">
        <v>53.4146</v>
      </c>
      <c r="BI671">
        <v>9.9274000000000004</v>
      </c>
      <c r="BJ671">
        <v>33.481000000000002</v>
      </c>
      <c r="BK671">
        <v>0</v>
      </c>
      <c r="BL671">
        <v>29.8278</v>
      </c>
      <c r="BM671">
        <v>58.206400000000002</v>
      </c>
      <c r="BN671">
        <v>9.7935499999999998</v>
      </c>
      <c r="BO671">
        <v>1.24929</v>
      </c>
      <c r="BP671">
        <v>0.92302499999999998</v>
      </c>
      <c r="BQ671">
        <v>42.514499999999998</v>
      </c>
      <c r="BR671">
        <v>107581</v>
      </c>
    </row>
    <row r="672" spans="1:70" x14ac:dyDescent="0.25">
      <c r="A672">
        <v>49</v>
      </c>
      <c r="B672" s="7">
        <v>45988.586226851854</v>
      </c>
      <c r="C672" t="s">
        <v>188</v>
      </c>
      <c r="D672" s="6" t="s">
        <v>385</v>
      </c>
      <c r="E672" s="6" t="str">
        <f>VLOOKUP(F672,Germplasm!$A$1:$B$21,2,FALSE)</f>
        <v>Arild</v>
      </c>
      <c r="F672" t="s">
        <v>74</v>
      </c>
      <c r="G672" s="6" t="s">
        <v>113</v>
      </c>
      <c r="H672">
        <v>63156.2</v>
      </c>
      <c r="I672">
        <v>419.935</v>
      </c>
      <c r="J672">
        <v>210745</v>
      </c>
      <c r="K672">
        <v>16.4834</v>
      </c>
      <c r="L672">
        <v>81.313100000000006</v>
      </c>
      <c r="M672">
        <v>1687.14</v>
      </c>
      <c r="N672">
        <v>605.03300000000002</v>
      </c>
      <c r="O672">
        <v>37461600</v>
      </c>
      <c r="P672">
        <v>0.18298</v>
      </c>
      <c r="Q672">
        <v>0.78212000000000004</v>
      </c>
      <c r="R672">
        <v>10.627700000000001</v>
      </c>
      <c r="S672">
        <v>27.614000000000001</v>
      </c>
      <c r="T672">
        <v>39.068600000000004</v>
      </c>
      <c r="U672">
        <v>21.2151</v>
      </c>
      <c r="V672">
        <v>0.69247800000000004</v>
      </c>
      <c r="W672">
        <v>97.616399999999999</v>
      </c>
      <c r="X672">
        <v>5.6638299999999999</v>
      </c>
      <c r="Y672">
        <v>9.1060499999999998</v>
      </c>
      <c r="Z672">
        <v>7.5933599999999997</v>
      </c>
      <c r="AA672">
        <v>22.934699999999999</v>
      </c>
      <c r="AB672">
        <v>31.7517</v>
      </c>
      <c r="AC672">
        <v>22.950399999999998</v>
      </c>
      <c r="AD672">
        <v>1.8180700000000001</v>
      </c>
      <c r="AE672">
        <v>11.560700000000001</v>
      </c>
      <c r="AF672">
        <v>0</v>
      </c>
      <c r="AG672">
        <v>93.429299999999998</v>
      </c>
      <c r="AH672">
        <v>1.6449199999999999</v>
      </c>
      <c r="AI672">
        <v>0.93525700000000001</v>
      </c>
      <c r="AJ672">
        <v>3.9905300000000001</v>
      </c>
      <c r="AK672">
        <v>0</v>
      </c>
      <c r="AL672">
        <v>0.38480999999999999</v>
      </c>
      <c r="AM672">
        <v>8.1334499999999998</v>
      </c>
      <c r="AN672">
        <v>11.755699999999999</v>
      </c>
      <c r="AO672">
        <v>12.7403</v>
      </c>
      <c r="AP672">
        <v>17.459099999999999</v>
      </c>
      <c r="AQ672">
        <v>33.223300000000002</v>
      </c>
      <c r="AR672">
        <v>16.688199999999998</v>
      </c>
      <c r="AS672">
        <v>0.12681999999999999</v>
      </c>
      <c r="AT672">
        <v>2.2776299999999998</v>
      </c>
      <c r="AU672">
        <v>23.5047</v>
      </c>
      <c r="AV672">
        <v>43.231000000000002</v>
      </c>
      <c r="AW672">
        <v>22.847300000000001</v>
      </c>
      <c r="AX672">
        <v>5.8169700000000004</v>
      </c>
      <c r="AY672">
        <v>2.3224499999999999</v>
      </c>
      <c r="AZ672">
        <v>593.15800000000002</v>
      </c>
      <c r="BA672">
        <v>689.399</v>
      </c>
      <c r="BB672">
        <v>34738</v>
      </c>
      <c r="BC672">
        <v>9.0536599999999995E-2</v>
      </c>
      <c r="BD672">
        <v>0.40786800000000001</v>
      </c>
      <c r="BE672">
        <v>0.465387</v>
      </c>
      <c r="BF672">
        <v>1.62774</v>
      </c>
      <c r="BG672">
        <v>23.2806</v>
      </c>
      <c r="BH672">
        <v>53.569600000000001</v>
      </c>
      <c r="BI672">
        <v>20.648900000000001</v>
      </c>
      <c r="BJ672">
        <v>31.801600000000001</v>
      </c>
      <c r="BK672">
        <v>0</v>
      </c>
      <c r="BL672">
        <v>35.506900000000002</v>
      </c>
      <c r="BM672">
        <v>53.860199999999999</v>
      </c>
      <c r="BN672">
        <v>7.76891</v>
      </c>
      <c r="BO672">
        <v>1.5440700000000001</v>
      </c>
      <c r="BP672">
        <v>1.3199700000000001</v>
      </c>
      <c r="BQ672">
        <v>33.411799999999999</v>
      </c>
      <c r="BR672">
        <v>133867</v>
      </c>
    </row>
    <row r="673" spans="1:70" x14ac:dyDescent="0.25">
      <c r="A673">
        <v>49</v>
      </c>
      <c r="B673" s="7">
        <v>45994.562974537039</v>
      </c>
      <c r="C673" t="s">
        <v>188</v>
      </c>
      <c r="D673" s="6" t="s">
        <v>386</v>
      </c>
      <c r="E673" s="6" t="str">
        <f>VLOOKUP(F673,Germplasm!$A$1:$B$21,2,FALSE)</f>
        <v>Arild</v>
      </c>
      <c r="F673" t="s">
        <v>74</v>
      </c>
      <c r="G673" s="6" t="s">
        <v>113</v>
      </c>
      <c r="H673">
        <v>44965.1</v>
      </c>
      <c r="I673">
        <v>516.77</v>
      </c>
      <c r="J673">
        <v>173284</v>
      </c>
      <c r="K673">
        <v>14.4748</v>
      </c>
      <c r="L673">
        <v>88.037499999999994</v>
      </c>
      <c r="M673">
        <v>1566.99</v>
      </c>
      <c r="N673">
        <v>562.54100000000005</v>
      </c>
      <c r="O673">
        <v>26975100</v>
      </c>
      <c r="P673">
        <v>0.16520599999999999</v>
      </c>
      <c r="Q673">
        <v>0.80888199999999999</v>
      </c>
      <c r="R673">
        <v>13.3355</v>
      </c>
      <c r="S673">
        <v>30.373100000000001</v>
      </c>
      <c r="T673">
        <v>35.484699999999997</v>
      </c>
      <c r="U673">
        <v>19.519300000000001</v>
      </c>
      <c r="V673">
        <v>0.478522</v>
      </c>
      <c r="W673">
        <v>88.306799999999996</v>
      </c>
      <c r="X673">
        <v>7.1137499999999996</v>
      </c>
      <c r="Y673">
        <v>13.946199999999999</v>
      </c>
      <c r="Z673">
        <v>9.3031400000000009</v>
      </c>
      <c r="AA673">
        <v>24.2074</v>
      </c>
      <c r="AB673">
        <v>27.512</v>
      </c>
      <c r="AC673">
        <v>17.9175</v>
      </c>
      <c r="AD673">
        <v>1.7926899999999999</v>
      </c>
      <c r="AE673">
        <v>13.7493</v>
      </c>
      <c r="AF673">
        <v>0</v>
      </c>
      <c r="AG673">
        <v>90.78</v>
      </c>
      <c r="AH673">
        <v>2.63287</v>
      </c>
      <c r="AI673">
        <v>1.35348</v>
      </c>
      <c r="AJ673">
        <v>5.2336999999999998</v>
      </c>
      <c r="AK673">
        <v>0</v>
      </c>
      <c r="AL673">
        <v>0.337677</v>
      </c>
      <c r="AM673">
        <v>10.5505</v>
      </c>
      <c r="AN673">
        <v>17.325900000000001</v>
      </c>
      <c r="AO673">
        <v>13.365600000000001</v>
      </c>
      <c r="AP673">
        <v>16.495000000000001</v>
      </c>
      <c r="AQ673">
        <v>30.8566</v>
      </c>
      <c r="AR673">
        <v>11.4064</v>
      </c>
      <c r="AS673">
        <v>0.15906799999999999</v>
      </c>
      <c r="AT673">
        <v>2.0051899999999998</v>
      </c>
      <c r="AU673">
        <v>17.226800000000001</v>
      </c>
      <c r="AV673">
        <v>42.360199999999999</v>
      </c>
      <c r="AW673">
        <v>28.262799999999999</v>
      </c>
      <c r="AX673">
        <v>7.5512300000000003</v>
      </c>
      <c r="AY673">
        <v>2.5938300000000001</v>
      </c>
      <c r="AZ673">
        <v>599.91300000000001</v>
      </c>
      <c r="BA673">
        <v>699</v>
      </c>
      <c r="BB673">
        <v>25082.5</v>
      </c>
      <c r="BC673">
        <v>0.12768399999999999</v>
      </c>
      <c r="BD673">
        <v>0.51456100000000005</v>
      </c>
      <c r="BE673">
        <v>0.53958799999999996</v>
      </c>
      <c r="BF673">
        <v>1.49563</v>
      </c>
      <c r="BG673">
        <v>16.6812</v>
      </c>
      <c r="BH673">
        <v>51.742400000000004</v>
      </c>
      <c r="BI673">
        <v>29.026599999999998</v>
      </c>
      <c r="BJ673">
        <v>32.716000000000001</v>
      </c>
      <c r="BK673">
        <v>0</v>
      </c>
      <c r="BL673">
        <v>32.845799999999997</v>
      </c>
      <c r="BM673">
        <v>55.991</v>
      </c>
      <c r="BN673">
        <v>8.1919299999999993</v>
      </c>
      <c r="BO673">
        <v>1.4926299999999999</v>
      </c>
      <c r="BP673">
        <v>1.47861</v>
      </c>
      <c r="BQ673">
        <v>33.9407</v>
      </c>
      <c r="BR673">
        <v>99891</v>
      </c>
    </row>
    <row r="674" spans="1:70" x14ac:dyDescent="0.25">
      <c r="A674">
        <v>49</v>
      </c>
      <c r="B674" s="7">
        <v>45994.563750000001</v>
      </c>
      <c r="C674" t="s">
        <v>188</v>
      </c>
      <c r="D674" s="6" t="s">
        <v>387</v>
      </c>
      <c r="E674" s="6" t="str">
        <f>VLOOKUP(F674,Germplasm!$A$1:$B$21,2,FALSE)</f>
        <v>Arild</v>
      </c>
      <c r="F674" t="s">
        <v>74</v>
      </c>
      <c r="G674" s="6" t="s">
        <v>113</v>
      </c>
      <c r="H674">
        <v>46948.4</v>
      </c>
      <c r="I674">
        <v>513.48699999999997</v>
      </c>
      <c r="J674">
        <v>197784</v>
      </c>
      <c r="K674">
        <v>13.333399999999999</v>
      </c>
      <c r="L674">
        <v>86.450299999999999</v>
      </c>
      <c r="M674">
        <v>1672.61</v>
      </c>
      <c r="N674">
        <v>570.26300000000003</v>
      </c>
      <c r="O674">
        <v>28044000</v>
      </c>
      <c r="P674">
        <v>0.16700200000000001</v>
      </c>
      <c r="Q674">
        <v>0.80874699999999999</v>
      </c>
      <c r="R674">
        <v>13.3414</v>
      </c>
      <c r="S674">
        <v>29.697500000000002</v>
      </c>
      <c r="T674">
        <v>35.678800000000003</v>
      </c>
      <c r="U674">
        <v>19.9877</v>
      </c>
      <c r="V674">
        <v>0.485823</v>
      </c>
      <c r="W674">
        <v>89.279899999999998</v>
      </c>
      <c r="X674">
        <v>6.9433400000000001</v>
      </c>
      <c r="Y674">
        <v>13.562799999999999</v>
      </c>
      <c r="Z674">
        <v>8.9719099999999994</v>
      </c>
      <c r="AA674">
        <v>23.890599999999999</v>
      </c>
      <c r="AB674">
        <v>28.3751</v>
      </c>
      <c r="AC674">
        <v>18.2562</v>
      </c>
      <c r="AD674">
        <v>1.7802899999999999</v>
      </c>
      <c r="AE674">
        <v>13.5657</v>
      </c>
      <c r="AF674">
        <v>0</v>
      </c>
      <c r="AG674">
        <v>91.097999999999999</v>
      </c>
      <c r="AH674">
        <v>2.5536799999999999</v>
      </c>
      <c r="AI674">
        <v>1.29074</v>
      </c>
      <c r="AJ674">
        <v>5.0575400000000004</v>
      </c>
      <c r="AK674">
        <v>0</v>
      </c>
      <c r="AL674">
        <v>0.34077000000000002</v>
      </c>
      <c r="AM674">
        <v>10.3134</v>
      </c>
      <c r="AN674">
        <v>17.016300000000001</v>
      </c>
      <c r="AO674">
        <v>13.235099999999999</v>
      </c>
      <c r="AP674">
        <v>16.480599999999999</v>
      </c>
      <c r="AQ674">
        <v>31.718399999999999</v>
      </c>
      <c r="AR674">
        <v>11.2362</v>
      </c>
      <c r="AS674">
        <v>0.15565899999999999</v>
      </c>
      <c r="AT674">
        <v>2.1454800000000001</v>
      </c>
      <c r="AU674">
        <v>17.4877</v>
      </c>
      <c r="AV674">
        <v>42.923900000000003</v>
      </c>
      <c r="AW674">
        <v>27.433199999999999</v>
      </c>
      <c r="AX674">
        <v>7.5077400000000001</v>
      </c>
      <c r="AY674">
        <v>2.5019399999999998</v>
      </c>
      <c r="AZ674">
        <v>597.33699999999999</v>
      </c>
      <c r="BA674">
        <v>690.59900000000005</v>
      </c>
      <c r="BB674">
        <v>26371.200000000001</v>
      </c>
      <c r="BC674">
        <v>0.12407899999999999</v>
      </c>
      <c r="BD674">
        <v>0.51840299999999995</v>
      </c>
      <c r="BE674">
        <v>0.61805900000000003</v>
      </c>
      <c r="BF674">
        <v>1.56192</v>
      </c>
      <c r="BG674">
        <v>16.9329</v>
      </c>
      <c r="BH674">
        <v>52.156500000000001</v>
      </c>
      <c r="BI674">
        <v>28.212199999999999</v>
      </c>
      <c r="BJ674">
        <v>32.679400000000001</v>
      </c>
      <c r="BK674">
        <v>0</v>
      </c>
      <c r="BL674">
        <v>32.6785</v>
      </c>
      <c r="BM674">
        <v>56.3765</v>
      </c>
      <c r="BN674">
        <v>8.0309299999999997</v>
      </c>
      <c r="BO674">
        <v>1.43543</v>
      </c>
      <c r="BP674">
        <v>1.47855</v>
      </c>
      <c r="BQ674">
        <v>34.211199999999998</v>
      </c>
      <c r="BR674">
        <v>104359</v>
      </c>
    </row>
    <row r="675" spans="1:70" x14ac:dyDescent="0.25">
      <c r="A675">
        <v>49</v>
      </c>
      <c r="B675" s="7">
        <v>46002.589097222219</v>
      </c>
      <c r="C675" t="s">
        <v>188</v>
      </c>
      <c r="D675" s="6" t="s">
        <v>388</v>
      </c>
      <c r="E675" s="6" t="str">
        <f>VLOOKUP(F675,Germplasm!$A$1:$B$21,2,FALSE)</f>
        <v>Arild</v>
      </c>
      <c r="F675" t="s">
        <v>74</v>
      </c>
      <c r="G675" s="6" t="s">
        <v>113</v>
      </c>
      <c r="H675">
        <v>33292.400000000001</v>
      </c>
      <c r="I675">
        <v>574.31700000000001</v>
      </c>
      <c r="J675">
        <v>126642</v>
      </c>
      <c r="K675">
        <v>13.668900000000001</v>
      </c>
      <c r="L675">
        <v>66.896799999999999</v>
      </c>
      <c r="M675">
        <v>1389.62</v>
      </c>
      <c r="N675">
        <v>531.14800000000002</v>
      </c>
      <c r="O675">
        <v>21847900</v>
      </c>
      <c r="P675">
        <v>0.107289</v>
      </c>
      <c r="Q675">
        <v>1.1288199999999999</v>
      </c>
      <c r="R675">
        <v>19.964300000000001</v>
      </c>
      <c r="S675">
        <v>41.965299999999999</v>
      </c>
      <c r="T675">
        <v>27.5456</v>
      </c>
      <c r="U675">
        <v>9.0973500000000005</v>
      </c>
      <c r="V675">
        <v>0.298564</v>
      </c>
      <c r="W675">
        <v>67.323700000000002</v>
      </c>
      <c r="X675">
        <v>11.421799999999999</v>
      </c>
      <c r="Y675">
        <v>25.6084</v>
      </c>
      <c r="Z675">
        <v>14.446999999999999</v>
      </c>
      <c r="AA675">
        <v>22.0365</v>
      </c>
      <c r="AB675">
        <v>13.5799</v>
      </c>
      <c r="AC675">
        <v>12.9064</v>
      </c>
      <c r="AD675">
        <v>1.9232400000000001</v>
      </c>
      <c r="AE675">
        <v>16.901199999999999</v>
      </c>
      <c r="AF675">
        <v>0</v>
      </c>
      <c r="AG675">
        <v>88.2333</v>
      </c>
      <c r="AH675">
        <v>2.77433</v>
      </c>
      <c r="AI675">
        <v>1.55962</v>
      </c>
      <c r="AJ675">
        <v>7.4327500000000004</v>
      </c>
      <c r="AK675">
        <v>0</v>
      </c>
      <c r="AL675">
        <v>0.22109200000000001</v>
      </c>
      <c r="AM675">
        <v>16.132000000000001</v>
      </c>
      <c r="AN675">
        <v>28.078700000000001</v>
      </c>
      <c r="AO675">
        <v>19.613900000000001</v>
      </c>
      <c r="AP675">
        <v>18.6937</v>
      </c>
      <c r="AQ675">
        <v>13.252700000000001</v>
      </c>
      <c r="AR675">
        <v>4.22898</v>
      </c>
      <c r="AS675">
        <v>0.217722</v>
      </c>
      <c r="AT675">
        <v>1.5064599999999999</v>
      </c>
      <c r="AU675">
        <v>10.9528</v>
      </c>
      <c r="AV675">
        <v>32.866599999999998</v>
      </c>
      <c r="AW675">
        <v>39.043799999999997</v>
      </c>
      <c r="AX675">
        <v>12.6706</v>
      </c>
      <c r="AY675">
        <v>2.95974</v>
      </c>
      <c r="AZ675">
        <v>656.24300000000005</v>
      </c>
      <c r="BA675">
        <v>714.59900000000005</v>
      </c>
      <c r="BB675">
        <v>17310.599999999999</v>
      </c>
      <c r="BC675">
        <v>0.21090800000000001</v>
      </c>
      <c r="BD675">
        <v>0.60121899999999995</v>
      </c>
      <c r="BE675">
        <v>0.545323</v>
      </c>
      <c r="BF675">
        <v>1.34422</v>
      </c>
      <c r="BG675">
        <v>9.9685100000000002</v>
      </c>
      <c r="BH675">
        <v>37.437800000000003</v>
      </c>
      <c r="BI675">
        <v>50.102899999999998</v>
      </c>
      <c r="BJ675">
        <v>32.881399999999999</v>
      </c>
      <c r="BK675">
        <v>0</v>
      </c>
      <c r="BL675">
        <v>33.642299999999999</v>
      </c>
      <c r="BM675">
        <v>55.124000000000002</v>
      </c>
      <c r="BN675">
        <v>7.9658100000000003</v>
      </c>
      <c r="BO675">
        <v>1.6605099999999999</v>
      </c>
      <c r="BP675">
        <v>1.60734</v>
      </c>
      <c r="BQ675">
        <v>31.3508</v>
      </c>
      <c r="BR675">
        <v>73351</v>
      </c>
    </row>
    <row r="676" spans="1:70" x14ac:dyDescent="0.25">
      <c r="A676">
        <v>49</v>
      </c>
      <c r="B676" s="7">
        <v>46013.568240740744</v>
      </c>
      <c r="C676" t="s">
        <v>188</v>
      </c>
      <c r="D676" s="6" t="s">
        <v>389</v>
      </c>
      <c r="E676" s="6" t="str">
        <f>VLOOKUP(F676,Germplasm!$A$1:$B$21,2,FALSE)</f>
        <v>Arild</v>
      </c>
      <c r="F676" t="s">
        <v>74</v>
      </c>
      <c r="G676" s="6" t="s">
        <v>113</v>
      </c>
      <c r="H676">
        <v>31300.400000000001</v>
      </c>
      <c r="I676">
        <v>555.85400000000004</v>
      </c>
      <c r="J676">
        <v>107850</v>
      </c>
      <c r="K676">
        <v>16.5183</v>
      </c>
      <c r="L676">
        <v>71.850800000000007</v>
      </c>
      <c r="M676">
        <v>1247.1300000000001</v>
      </c>
      <c r="N676">
        <v>434.72399999999999</v>
      </c>
      <c r="O676">
        <v>19970600</v>
      </c>
      <c r="P676">
        <v>5.1128300000000002E-2</v>
      </c>
      <c r="Q676">
        <v>1.03121</v>
      </c>
      <c r="R676">
        <v>25.382000000000001</v>
      </c>
      <c r="S676">
        <v>59.985900000000001</v>
      </c>
      <c r="T676">
        <v>10.4533</v>
      </c>
      <c r="U676">
        <v>3.0319799999999999</v>
      </c>
      <c r="V676">
        <v>0.115577</v>
      </c>
      <c r="W676">
        <v>50.068300000000001</v>
      </c>
      <c r="X676">
        <v>12.8779</v>
      </c>
      <c r="Y676">
        <v>42.008499999999998</v>
      </c>
      <c r="Z676">
        <v>17.752700000000001</v>
      </c>
      <c r="AA676">
        <v>11.611700000000001</v>
      </c>
      <c r="AB676">
        <v>4.6320800000000002</v>
      </c>
      <c r="AC676">
        <v>11.1172</v>
      </c>
      <c r="AD676">
        <v>1.7569699999999999</v>
      </c>
      <c r="AE676">
        <v>18.9023</v>
      </c>
      <c r="AF676">
        <v>0</v>
      </c>
      <c r="AG676">
        <v>83.554599999999994</v>
      </c>
      <c r="AH676">
        <v>7.5972799999999996</v>
      </c>
      <c r="AI676">
        <v>1.6553199999999999</v>
      </c>
      <c r="AJ676">
        <v>7.1927599999999998</v>
      </c>
      <c r="AK676">
        <v>0</v>
      </c>
      <c r="AL676">
        <v>0.134271</v>
      </c>
      <c r="AM676">
        <v>16.779199999999999</v>
      </c>
      <c r="AN676">
        <v>45.144500000000001</v>
      </c>
      <c r="AO676">
        <v>24.2532</v>
      </c>
      <c r="AP676">
        <v>9.4105600000000003</v>
      </c>
      <c r="AQ676">
        <v>3.36972</v>
      </c>
      <c r="AR676">
        <v>1.0427599999999999</v>
      </c>
      <c r="AS676">
        <v>0.23871899999999999</v>
      </c>
      <c r="AT676">
        <v>1.3124400000000001</v>
      </c>
      <c r="AU676">
        <v>8.1931399999999996</v>
      </c>
      <c r="AV676">
        <v>27.878499999999999</v>
      </c>
      <c r="AW676">
        <v>47.836100000000002</v>
      </c>
      <c r="AX676">
        <v>12.116300000000001</v>
      </c>
      <c r="AY676">
        <v>2.6634099999999998</v>
      </c>
      <c r="AZ676">
        <v>638.029</v>
      </c>
      <c r="BA676">
        <v>678.601</v>
      </c>
      <c r="BB676">
        <v>17815</v>
      </c>
      <c r="BC676">
        <v>0.262131</v>
      </c>
      <c r="BD676">
        <v>0.57660199999999995</v>
      </c>
      <c r="BE676">
        <v>0.665211</v>
      </c>
      <c r="BF676">
        <v>1.35354</v>
      </c>
      <c r="BG676">
        <v>6.9102300000000003</v>
      </c>
      <c r="BH676">
        <v>22.545300000000001</v>
      </c>
      <c r="BI676">
        <v>67.949100000000001</v>
      </c>
      <c r="BJ676">
        <v>30.283300000000001</v>
      </c>
      <c r="BK676">
        <v>0</v>
      </c>
      <c r="BL676">
        <v>39.854900000000001</v>
      </c>
      <c r="BM676">
        <v>51.462699999999998</v>
      </c>
      <c r="BN676">
        <v>5.8905900000000004</v>
      </c>
      <c r="BO676">
        <v>1.44343</v>
      </c>
      <c r="BP676">
        <v>1.3484</v>
      </c>
      <c r="BQ676">
        <v>34.717300000000002</v>
      </c>
      <c r="BR676">
        <v>77870</v>
      </c>
    </row>
    <row r="677" spans="1:70" x14ac:dyDescent="0.25">
      <c r="A677">
        <v>49</v>
      </c>
      <c r="B677" s="7">
        <v>46024.564953703702</v>
      </c>
      <c r="C677" t="s">
        <v>188</v>
      </c>
      <c r="D677" s="6" t="s">
        <v>390</v>
      </c>
      <c r="E677" s="6" t="str">
        <f>VLOOKUP(F677,Germplasm!$A$1:$B$21,2,FALSE)</f>
        <v>Arild</v>
      </c>
      <c r="F677" t="s">
        <v>74</v>
      </c>
      <c r="G677" s="6" t="s">
        <v>113</v>
      </c>
      <c r="H677">
        <v>41099.9</v>
      </c>
      <c r="I677">
        <v>394.75700000000001</v>
      </c>
      <c r="J677">
        <v>156136</v>
      </c>
      <c r="K677">
        <v>14.7872</v>
      </c>
      <c r="L677">
        <v>60.570099999999996</v>
      </c>
      <c r="M677">
        <v>1525.76</v>
      </c>
      <c r="N677">
        <v>601.779</v>
      </c>
      <c r="O677">
        <v>19542400</v>
      </c>
      <c r="P677">
        <v>8.3136500000000006E-3</v>
      </c>
      <c r="Q677">
        <v>0.91098999999999997</v>
      </c>
      <c r="R677">
        <v>37.527200000000001</v>
      </c>
      <c r="S677">
        <v>59.683199999999999</v>
      </c>
      <c r="T677">
        <v>1.6131200000000001</v>
      </c>
      <c r="U677">
        <v>0.24996699999999999</v>
      </c>
      <c r="V677">
        <v>1.55535E-2</v>
      </c>
      <c r="W677">
        <v>37.443300000000001</v>
      </c>
      <c r="X677">
        <v>19.220800000000001</v>
      </c>
      <c r="Y677">
        <v>55.3371</v>
      </c>
      <c r="Z677">
        <v>9.4931800000000006</v>
      </c>
      <c r="AA677">
        <v>3.99058</v>
      </c>
      <c r="AB677">
        <v>1.88642</v>
      </c>
      <c r="AC677">
        <v>10.071999999999999</v>
      </c>
      <c r="AD677">
        <v>1.78013</v>
      </c>
      <c r="AE677">
        <v>25.212</v>
      </c>
      <c r="AF677">
        <v>0</v>
      </c>
      <c r="AG677">
        <v>63.758200000000002</v>
      </c>
      <c r="AH677">
        <v>28.669499999999999</v>
      </c>
      <c r="AI677">
        <v>1.4220299999999999</v>
      </c>
      <c r="AJ677">
        <v>6.15029</v>
      </c>
      <c r="AK677">
        <v>0</v>
      </c>
      <c r="AL677">
        <v>6.2004999999999998E-2</v>
      </c>
      <c r="AM677">
        <v>27.327500000000001</v>
      </c>
      <c r="AN677">
        <v>55.6526</v>
      </c>
      <c r="AO677">
        <v>12.765000000000001</v>
      </c>
      <c r="AP677">
        <v>3.1262500000000002</v>
      </c>
      <c r="AQ677">
        <v>0.88876999999999995</v>
      </c>
      <c r="AR677">
        <v>0.23996799999999999</v>
      </c>
      <c r="AS677">
        <v>0.22470599999999999</v>
      </c>
      <c r="AT677">
        <v>1.14985</v>
      </c>
      <c r="AU677">
        <v>6.7591000000000001</v>
      </c>
      <c r="AV677">
        <v>34.837600000000002</v>
      </c>
      <c r="AW677">
        <v>46.109400000000001</v>
      </c>
      <c r="AX677">
        <v>8.76661</v>
      </c>
      <c r="AY677">
        <v>2.3774600000000001</v>
      </c>
      <c r="AZ677">
        <v>475.48500000000001</v>
      </c>
      <c r="BA677">
        <v>510.6</v>
      </c>
      <c r="BB677">
        <v>23088.1</v>
      </c>
      <c r="BC677">
        <v>0.28842800000000002</v>
      </c>
      <c r="BD677">
        <v>0.59769799999999995</v>
      </c>
      <c r="BE677">
        <v>0.62436100000000005</v>
      </c>
      <c r="BF677">
        <v>1.40537</v>
      </c>
      <c r="BG677">
        <v>5.2815200000000004</v>
      </c>
      <c r="BH677">
        <v>17.463200000000001</v>
      </c>
      <c r="BI677">
        <v>74.627799999999993</v>
      </c>
      <c r="BJ677">
        <v>26.781700000000001</v>
      </c>
      <c r="BK677">
        <v>0</v>
      </c>
      <c r="BL677">
        <v>52.222999999999999</v>
      </c>
      <c r="BM677">
        <v>41.6233</v>
      </c>
      <c r="BN677">
        <v>3.65951</v>
      </c>
      <c r="BO677">
        <v>1.2676099999999999</v>
      </c>
      <c r="BP677">
        <v>1.2264999999999999</v>
      </c>
      <c r="BQ677">
        <v>34.211199999999998</v>
      </c>
      <c r="BR677">
        <v>90012</v>
      </c>
    </row>
    <row r="678" spans="1:70" x14ac:dyDescent="0.25">
      <c r="A678">
        <v>49</v>
      </c>
      <c r="B678" s="7">
        <v>45952.578645833331</v>
      </c>
      <c r="C678" t="s">
        <v>187</v>
      </c>
      <c r="D678" s="6" t="s">
        <v>381</v>
      </c>
      <c r="E678" s="6" t="str">
        <f>VLOOKUP(F678,Germplasm!$A$1:$B$21,2,FALSE)</f>
        <v>Sunnita</v>
      </c>
      <c r="F678" t="s">
        <v>65</v>
      </c>
      <c r="G678" s="6" t="s">
        <v>113</v>
      </c>
      <c r="H678">
        <v>29293.7</v>
      </c>
      <c r="I678">
        <v>304.36599999999999</v>
      </c>
      <c r="J678">
        <v>122046</v>
      </c>
      <c r="K678">
        <v>13.698399999999999</v>
      </c>
      <c r="L678">
        <v>67.310699999999997</v>
      </c>
      <c r="M678">
        <v>1375.61</v>
      </c>
      <c r="N678">
        <v>535.827</v>
      </c>
      <c r="O678">
        <v>10686000</v>
      </c>
      <c r="P678">
        <v>0.218365</v>
      </c>
      <c r="Q678">
        <v>0.47327399999999997</v>
      </c>
      <c r="R678">
        <v>4.4358899999999997</v>
      </c>
      <c r="S678">
        <v>22.254100000000001</v>
      </c>
      <c r="T678">
        <v>46.672699999999999</v>
      </c>
      <c r="U678">
        <v>25.999600000000001</v>
      </c>
      <c r="V678">
        <v>0.16454299999999999</v>
      </c>
      <c r="W678">
        <v>118.09099999999999</v>
      </c>
      <c r="X678">
        <v>1.1416299999999999</v>
      </c>
      <c r="Y678">
        <v>2.31379</v>
      </c>
      <c r="Z678">
        <v>4.07287</v>
      </c>
      <c r="AA678">
        <v>16.522200000000002</v>
      </c>
      <c r="AB678">
        <v>35.322600000000001</v>
      </c>
      <c r="AC678">
        <v>40.627000000000002</v>
      </c>
      <c r="AD678">
        <v>1.7521899999999999</v>
      </c>
      <c r="AE678">
        <v>7.19191</v>
      </c>
      <c r="AF678">
        <v>0</v>
      </c>
      <c r="AG678">
        <v>99.630200000000002</v>
      </c>
      <c r="AH678">
        <v>0.347746</v>
      </c>
      <c r="AI678">
        <v>2.2052200000000001E-2</v>
      </c>
      <c r="AJ678">
        <v>0</v>
      </c>
      <c r="AK678">
        <v>0</v>
      </c>
      <c r="AL678">
        <v>0.49526900000000001</v>
      </c>
      <c r="AM678">
        <v>1.0432399999999999</v>
      </c>
      <c r="AN678">
        <v>3.6403099999999999</v>
      </c>
      <c r="AO678">
        <v>7.8777299999999997</v>
      </c>
      <c r="AP678">
        <v>18.5578</v>
      </c>
      <c r="AQ678">
        <v>39.860199999999999</v>
      </c>
      <c r="AR678">
        <v>29.020700000000001</v>
      </c>
      <c r="AS678">
        <v>2.4593199999999999E-2</v>
      </c>
      <c r="AT678">
        <v>7.50284</v>
      </c>
      <c r="AU678">
        <v>38.530299999999997</v>
      </c>
      <c r="AV678">
        <v>40.995100000000001</v>
      </c>
      <c r="AW678">
        <v>10.013400000000001</v>
      </c>
      <c r="AX678">
        <v>2.0237099999999999</v>
      </c>
      <c r="AY678">
        <v>0.93467500000000003</v>
      </c>
      <c r="AZ678">
        <v>364.78800000000001</v>
      </c>
      <c r="BA678">
        <v>386.399</v>
      </c>
      <c r="BB678">
        <v>16718.3</v>
      </c>
      <c r="BC678">
        <v>9.7981700000000001E-3</v>
      </c>
      <c r="BD678">
        <v>5.9371300000000002E-2</v>
      </c>
      <c r="BE678">
        <v>0.46988200000000002</v>
      </c>
      <c r="BF678">
        <v>3.6454</v>
      </c>
      <c r="BG678">
        <v>41.858499999999999</v>
      </c>
      <c r="BH678">
        <v>48.260399999999997</v>
      </c>
      <c r="BI678">
        <v>5.7064300000000001</v>
      </c>
      <c r="BJ678">
        <v>29.875900000000001</v>
      </c>
      <c r="BK678">
        <v>0</v>
      </c>
      <c r="BL678">
        <v>37.393799999999999</v>
      </c>
      <c r="BM678">
        <v>56.014299999999999</v>
      </c>
      <c r="BN678">
        <v>5.9032099999999996</v>
      </c>
      <c r="BO678">
        <v>0.515683</v>
      </c>
      <c r="BP678">
        <v>0.17302500000000001</v>
      </c>
      <c r="BQ678">
        <v>34.824199999999998</v>
      </c>
      <c r="BR678">
        <v>58951</v>
      </c>
    </row>
    <row r="679" spans="1:70" x14ac:dyDescent="0.25">
      <c r="A679">
        <v>49</v>
      </c>
      <c r="B679" s="7">
        <v>45959.547175925924</v>
      </c>
      <c r="C679" t="s">
        <v>187</v>
      </c>
      <c r="D679" s="6" t="s">
        <v>382</v>
      </c>
      <c r="E679" s="6" t="str">
        <f>VLOOKUP(F679,Germplasm!$A$1:$B$21,2,FALSE)</f>
        <v>Sunnita</v>
      </c>
      <c r="F679" t="s">
        <v>65</v>
      </c>
      <c r="G679" s="6" t="s">
        <v>113</v>
      </c>
      <c r="H679">
        <v>39770.6</v>
      </c>
      <c r="I679">
        <v>409.58100000000002</v>
      </c>
      <c r="J679">
        <v>209537</v>
      </c>
      <c r="K679">
        <v>10.241899999999999</v>
      </c>
      <c r="L679">
        <v>88.547399999999996</v>
      </c>
      <c r="M679">
        <v>1708</v>
      </c>
      <c r="N679">
        <v>582.88900000000001</v>
      </c>
      <c r="O679">
        <v>19121000</v>
      </c>
      <c r="P679">
        <v>0.197577</v>
      </c>
      <c r="Q679">
        <v>1.56663</v>
      </c>
      <c r="R679">
        <v>5.0245100000000003</v>
      </c>
      <c r="S679">
        <v>25.502300000000002</v>
      </c>
      <c r="T679">
        <v>45.2744</v>
      </c>
      <c r="U679">
        <v>21.959800000000001</v>
      </c>
      <c r="V679">
        <v>0.67232899999999995</v>
      </c>
      <c r="W679">
        <v>121.011</v>
      </c>
      <c r="X679">
        <v>1.7898799999999999</v>
      </c>
      <c r="Y679">
        <v>2.8214700000000001</v>
      </c>
      <c r="Z679">
        <v>4.1494499999999999</v>
      </c>
      <c r="AA679">
        <v>14.2126</v>
      </c>
      <c r="AB679">
        <v>30.4575</v>
      </c>
      <c r="AC679">
        <v>46.569099999999999</v>
      </c>
      <c r="AD679">
        <v>1.8531899999999999</v>
      </c>
      <c r="AE679">
        <v>6.5463800000000001</v>
      </c>
      <c r="AF679">
        <v>0</v>
      </c>
      <c r="AG679">
        <v>99.620199999999997</v>
      </c>
      <c r="AH679">
        <v>0.36439199999999999</v>
      </c>
      <c r="AI679">
        <v>1.53969E-2</v>
      </c>
      <c r="AJ679">
        <v>0</v>
      </c>
      <c r="AK679">
        <v>0</v>
      </c>
      <c r="AL679">
        <v>0.47738999999999998</v>
      </c>
      <c r="AM679">
        <v>1.3947000000000001</v>
      </c>
      <c r="AN679">
        <v>5.2593100000000002</v>
      </c>
      <c r="AO679">
        <v>9.1110900000000008</v>
      </c>
      <c r="AP679">
        <v>19.146000000000001</v>
      </c>
      <c r="AQ679">
        <v>39.800899999999999</v>
      </c>
      <c r="AR679">
        <v>25.288</v>
      </c>
      <c r="AS679">
        <v>2.3460000000000002E-2</v>
      </c>
      <c r="AT679">
        <v>8.5965799999999994</v>
      </c>
      <c r="AU679">
        <v>42.390099999999997</v>
      </c>
      <c r="AV679">
        <v>35.385800000000003</v>
      </c>
      <c r="AW679">
        <v>8.7492599999999996</v>
      </c>
      <c r="AX679">
        <v>2.2915700000000001</v>
      </c>
      <c r="AY679">
        <v>2.5866699999999998</v>
      </c>
      <c r="AZ679">
        <v>480.78199999999998</v>
      </c>
      <c r="BA679">
        <v>517.19899999999996</v>
      </c>
      <c r="BB679">
        <v>21460.6</v>
      </c>
      <c r="BC679">
        <v>7.1996200000000003E-3</v>
      </c>
      <c r="BD679">
        <v>0.155252</v>
      </c>
      <c r="BE679">
        <v>0.76599300000000003</v>
      </c>
      <c r="BF679">
        <v>4.1520200000000003</v>
      </c>
      <c r="BG679">
        <v>45.903199999999998</v>
      </c>
      <c r="BH679">
        <v>41.3521</v>
      </c>
      <c r="BI679">
        <v>7.6714799999999999</v>
      </c>
      <c r="BJ679">
        <v>30.3902</v>
      </c>
      <c r="BK679">
        <v>0</v>
      </c>
      <c r="BL679">
        <v>40.822200000000002</v>
      </c>
      <c r="BM679">
        <v>50.466999999999999</v>
      </c>
      <c r="BN679">
        <v>5.77895</v>
      </c>
      <c r="BO679">
        <v>1.03159</v>
      </c>
      <c r="BP679">
        <v>1.9002300000000001</v>
      </c>
      <c r="BQ679">
        <v>32.688099999999999</v>
      </c>
      <c r="BR679">
        <v>77938</v>
      </c>
    </row>
    <row r="680" spans="1:70" x14ac:dyDescent="0.25">
      <c r="A680">
        <v>49</v>
      </c>
      <c r="B680" s="7">
        <v>45966.53398148148</v>
      </c>
      <c r="C680" t="s">
        <v>187</v>
      </c>
      <c r="D680" s="6" t="s">
        <v>383</v>
      </c>
      <c r="E680" s="6" t="str">
        <f>VLOOKUP(F680,Germplasm!$A$1:$B$21,2,FALSE)</f>
        <v>Sunnita</v>
      </c>
      <c r="F680" t="s">
        <v>65</v>
      </c>
      <c r="G680" s="6" t="s">
        <v>113</v>
      </c>
      <c r="H680">
        <v>0</v>
      </c>
      <c r="J680">
        <v>0</v>
      </c>
      <c r="M680">
        <v>0</v>
      </c>
      <c r="N680">
        <v>0</v>
      </c>
      <c r="O680">
        <v>0</v>
      </c>
      <c r="AZ680">
        <v>0</v>
      </c>
      <c r="BA680">
        <v>0</v>
      </c>
      <c r="BB680">
        <v>0</v>
      </c>
      <c r="BR680">
        <v>0</v>
      </c>
    </row>
    <row r="681" spans="1:70" x14ac:dyDescent="0.25">
      <c r="A681">
        <v>49</v>
      </c>
      <c r="B681" s="7">
        <v>45973.571631944447</v>
      </c>
      <c r="C681" t="s">
        <v>187</v>
      </c>
      <c r="D681" s="6" t="s">
        <v>384</v>
      </c>
      <c r="E681" s="6" t="str">
        <f>VLOOKUP(F681,Germplasm!$A$1:$B$21,2,FALSE)</f>
        <v>Sunnita</v>
      </c>
      <c r="F681" t="s">
        <v>65</v>
      </c>
      <c r="G681" s="6" t="s">
        <v>113</v>
      </c>
      <c r="H681">
        <v>49081.599999999999</v>
      </c>
      <c r="I681">
        <v>388.24</v>
      </c>
      <c r="J681">
        <v>186135</v>
      </c>
      <c r="K681">
        <v>16.150300000000001</v>
      </c>
      <c r="L681">
        <v>83.885400000000004</v>
      </c>
      <c r="M681">
        <v>1611.09</v>
      </c>
      <c r="N681">
        <v>559.91300000000001</v>
      </c>
      <c r="O681">
        <v>23359900</v>
      </c>
      <c r="P681">
        <v>0.218695</v>
      </c>
      <c r="Q681">
        <v>0.841229</v>
      </c>
      <c r="R681">
        <v>7.0468599999999997</v>
      </c>
      <c r="S681">
        <v>24.475100000000001</v>
      </c>
      <c r="T681">
        <v>36.007599999999996</v>
      </c>
      <c r="U681">
        <v>30.855799999999999</v>
      </c>
      <c r="V681">
        <v>0.77335900000000002</v>
      </c>
      <c r="W681">
        <v>104.85299999999999</v>
      </c>
      <c r="X681">
        <v>2.7567699999999999</v>
      </c>
      <c r="Y681">
        <v>6.5699800000000002</v>
      </c>
      <c r="Z681">
        <v>7.3102999999999998</v>
      </c>
      <c r="AA681">
        <v>22.7971</v>
      </c>
      <c r="AB681">
        <v>32.809699999999999</v>
      </c>
      <c r="AC681">
        <v>27.7561</v>
      </c>
      <c r="AD681">
        <v>1.6327100000000001</v>
      </c>
      <c r="AE681">
        <v>8.0125799999999998</v>
      </c>
      <c r="AF681">
        <v>0</v>
      </c>
      <c r="AG681">
        <v>99.001599999999996</v>
      </c>
      <c r="AH681">
        <v>0.98768500000000004</v>
      </c>
      <c r="AI681">
        <v>8.0372199999999994E-3</v>
      </c>
      <c r="AJ681">
        <v>2.67907E-3</v>
      </c>
      <c r="AK681">
        <v>0</v>
      </c>
      <c r="AL681">
        <v>0.44400400000000001</v>
      </c>
      <c r="AM681">
        <v>1.26631</v>
      </c>
      <c r="AN681">
        <v>6.8852200000000003</v>
      </c>
      <c r="AO681">
        <v>13.916</v>
      </c>
      <c r="AP681">
        <v>22.961400000000001</v>
      </c>
      <c r="AQ681">
        <v>33.792000000000002</v>
      </c>
      <c r="AR681">
        <v>21.178999999999998</v>
      </c>
      <c r="AS681">
        <v>0.117645</v>
      </c>
      <c r="AT681">
        <v>4.1588200000000004</v>
      </c>
      <c r="AU681">
        <v>26.752300000000002</v>
      </c>
      <c r="AV681">
        <v>38.1205</v>
      </c>
      <c r="AW681">
        <v>21.4237</v>
      </c>
      <c r="AX681">
        <v>6.6217800000000002</v>
      </c>
      <c r="AY681">
        <v>2.9228700000000001</v>
      </c>
      <c r="AZ681">
        <v>475.94</v>
      </c>
      <c r="BA681">
        <v>546.6</v>
      </c>
      <c r="BB681">
        <v>30061.4</v>
      </c>
      <c r="BC681">
        <v>6.5642599999999995E-2</v>
      </c>
      <c r="BD681">
        <v>8.2158300000000004E-2</v>
      </c>
      <c r="BE681">
        <v>0.64922899999999995</v>
      </c>
      <c r="BF681">
        <v>2.8567900000000002</v>
      </c>
      <c r="BG681">
        <v>27.323</v>
      </c>
      <c r="BH681">
        <v>53.041200000000003</v>
      </c>
      <c r="BI681">
        <v>16.047699999999999</v>
      </c>
      <c r="BJ681">
        <v>33.966000000000001</v>
      </c>
      <c r="BK681">
        <v>0</v>
      </c>
      <c r="BL681">
        <v>32.332000000000001</v>
      </c>
      <c r="BM681">
        <v>52.348199999999999</v>
      </c>
      <c r="BN681">
        <v>12.789</v>
      </c>
      <c r="BO681">
        <v>1.6806700000000001</v>
      </c>
      <c r="BP681">
        <v>0.850159</v>
      </c>
      <c r="BQ681">
        <v>37.817399999999999</v>
      </c>
      <c r="BR681">
        <v>111979</v>
      </c>
    </row>
    <row r="682" spans="1:70" x14ac:dyDescent="0.25">
      <c r="A682">
        <v>49</v>
      </c>
      <c r="B682" s="7">
        <v>45988.586226851854</v>
      </c>
      <c r="C682" t="s">
        <v>187</v>
      </c>
      <c r="D682" s="6" t="s">
        <v>385</v>
      </c>
      <c r="E682" s="6" t="str">
        <f>VLOOKUP(F682,Germplasm!$A$1:$B$21,2,FALSE)</f>
        <v>Sunnita</v>
      </c>
      <c r="F682" t="s">
        <v>65</v>
      </c>
      <c r="G682" s="6" t="s">
        <v>113</v>
      </c>
      <c r="H682">
        <v>63804.800000000003</v>
      </c>
      <c r="I682">
        <v>335.23700000000002</v>
      </c>
      <c r="J682">
        <v>199162</v>
      </c>
      <c r="K682">
        <v>18.7806</v>
      </c>
      <c r="L682">
        <v>75.333200000000005</v>
      </c>
      <c r="M682">
        <v>1703.25</v>
      </c>
      <c r="N682">
        <v>588.73099999999999</v>
      </c>
      <c r="O682">
        <v>32599600</v>
      </c>
      <c r="P682">
        <v>0.16572600000000001</v>
      </c>
      <c r="Q682">
        <v>1.12595</v>
      </c>
      <c r="R682">
        <v>12.9459</v>
      </c>
      <c r="S682">
        <v>29.484000000000002</v>
      </c>
      <c r="T682">
        <v>38.080100000000002</v>
      </c>
      <c r="U682">
        <v>17.495000000000001</v>
      </c>
      <c r="V682">
        <v>0.86910200000000004</v>
      </c>
      <c r="W682">
        <v>85.297799999999995</v>
      </c>
      <c r="X682">
        <v>7.2427599999999996</v>
      </c>
      <c r="Y682">
        <v>13.9941</v>
      </c>
      <c r="Z682">
        <v>9.6831499999999995</v>
      </c>
      <c r="AA682">
        <v>29.610600000000002</v>
      </c>
      <c r="AB682">
        <v>24.575900000000001</v>
      </c>
      <c r="AC682">
        <v>14.8934</v>
      </c>
      <c r="AD682">
        <v>1.70584</v>
      </c>
      <c r="AE682">
        <v>9.4796999999999993</v>
      </c>
      <c r="AF682">
        <v>0</v>
      </c>
      <c r="AG682">
        <v>98.564700000000002</v>
      </c>
      <c r="AH682">
        <v>1.4281200000000001</v>
      </c>
      <c r="AI682">
        <v>5.7556400000000002E-3</v>
      </c>
      <c r="AJ682">
        <v>1.4389100000000001E-3</v>
      </c>
      <c r="AK682">
        <v>0</v>
      </c>
      <c r="AL682">
        <v>0.36337700000000001</v>
      </c>
      <c r="AM682">
        <v>3.1728000000000001</v>
      </c>
      <c r="AN682">
        <v>13.413500000000001</v>
      </c>
      <c r="AO682">
        <v>18.720199999999998</v>
      </c>
      <c r="AP682">
        <v>28.0185</v>
      </c>
      <c r="AQ682">
        <v>27.412700000000001</v>
      </c>
      <c r="AR682">
        <v>9.2622699999999991</v>
      </c>
      <c r="AS682">
        <v>0.18770300000000001</v>
      </c>
      <c r="AT682">
        <v>1.40222</v>
      </c>
      <c r="AU682">
        <v>14.234400000000001</v>
      </c>
      <c r="AV682">
        <v>39.918999999999997</v>
      </c>
      <c r="AW682">
        <v>32.813600000000001</v>
      </c>
      <c r="AX682">
        <v>8.4413699999999992</v>
      </c>
      <c r="AY682">
        <v>3.1893500000000001</v>
      </c>
      <c r="AZ682">
        <v>510.92700000000002</v>
      </c>
      <c r="BA682">
        <v>587.47299999999996</v>
      </c>
      <c r="BB682">
        <v>37403.800000000003</v>
      </c>
      <c r="BC682">
        <v>0.14172599999999999</v>
      </c>
      <c r="BD682">
        <v>0.11942999999999999</v>
      </c>
      <c r="BE682">
        <v>0.28850199999999998</v>
      </c>
      <c r="BF682">
        <v>1.1727099999999999</v>
      </c>
      <c r="BG682">
        <v>14.055300000000001</v>
      </c>
      <c r="BH682">
        <v>54.375</v>
      </c>
      <c r="BI682">
        <v>29.989100000000001</v>
      </c>
      <c r="BJ682">
        <v>32.641199999999998</v>
      </c>
      <c r="BK682">
        <v>0</v>
      </c>
      <c r="BL682">
        <v>34.007899999999999</v>
      </c>
      <c r="BM682">
        <v>54.618200000000002</v>
      </c>
      <c r="BN682">
        <v>8.5075599999999998</v>
      </c>
      <c r="BO682">
        <v>1.6259699999999999</v>
      </c>
      <c r="BP682">
        <v>1.24034</v>
      </c>
      <c r="BQ682">
        <v>35.938200000000002</v>
      </c>
      <c r="BR682">
        <v>138994</v>
      </c>
    </row>
    <row r="683" spans="1:70" x14ac:dyDescent="0.25">
      <c r="A683">
        <v>49</v>
      </c>
      <c r="B683" s="7">
        <v>45994.562974537039</v>
      </c>
      <c r="C683" t="s">
        <v>187</v>
      </c>
      <c r="D683" s="6" t="s">
        <v>386</v>
      </c>
      <c r="E683" s="6" t="str">
        <f>VLOOKUP(F683,Germplasm!$A$1:$B$21,2,FALSE)</f>
        <v>Sunnita</v>
      </c>
      <c r="F683" t="s">
        <v>65</v>
      </c>
      <c r="G683" s="6" t="s">
        <v>113</v>
      </c>
      <c r="H683">
        <v>52609</v>
      </c>
      <c r="I683">
        <v>352.35700000000003</v>
      </c>
      <c r="J683">
        <v>196608</v>
      </c>
      <c r="K683">
        <v>15.777699999999999</v>
      </c>
      <c r="L683">
        <v>58.341200000000001</v>
      </c>
      <c r="M683">
        <v>1713.69</v>
      </c>
      <c r="N683">
        <v>682.71100000000001</v>
      </c>
      <c r="O683">
        <v>28198100</v>
      </c>
      <c r="P683">
        <v>0.156477</v>
      </c>
      <c r="Q683">
        <v>1.1447400000000001</v>
      </c>
      <c r="R683">
        <v>12.588699999999999</v>
      </c>
      <c r="S683">
        <v>33.622199999999999</v>
      </c>
      <c r="T683">
        <v>35.165599999999998</v>
      </c>
      <c r="U683">
        <v>17.012599999999999</v>
      </c>
      <c r="V683">
        <v>0.46621699999999999</v>
      </c>
      <c r="W683">
        <v>78.909800000000004</v>
      </c>
      <c r="X683">
        <v>6.9559899999999999</v>
      </c>
      <c r="Y683">
        <v>17.758700000000001</v>
      </c>
      <c r="Z683">
        <v>13.0974</v>
      </c>
      <c r="AA683">
        <v>30.09</v>
      </c>
      <c r="AB683">
        <v>21.088899999999999</v>
      </c>
      <c r="AC683">
        <v>11.009</v>
      </c>
      <c r="AD683">
        <v>1.6959599999999999</v>
      </c>
      <c r="AE683">
        <v>9.3679400000000008</v>
      </c>
      <c r="AF683">
        <v>0</v>
      </c>
      <c r="AG683">
        <v>97.376000000000005</v>
      </c>
      <c r="AH683">
        <v>2.60839</v>
      </c>
      <c r="AI683">
        <v>1.5598300000000001E-2</v>
      </c>
      <c r="AJ683">
        <v>0</v>
      </c>
      <c r="AK683">
        <v>0</v>
      </c>
      <c r="AL683">
        <v>0.34196599999999999</v>
      </c>
      <c r="AM683">
        <v>4.0988899999999999</v>
      </c>
      <c r="AN683">
        <v>17.110499999999998</v>
      </c>
      <c r="AO683">
        <v>19.3567</v>
      </c>
      <c r="AP683">
        <v>24.697299999999998</v>
      </c>
      <c r="AQ683">
        <v>26.4938</v>
      </c>
      <c r="AR683">
        <v>8.2428500000000007</v>
      </c>
      <c r="AS683">
        <v>0.21621399999999999</v>
      </c>
      <c r="AT683">
        <v>0.99915900000000002</v>
      </c>
      <c r="AU683">
        <v>10.046200000000001</v>
      </c>
      <c r="AV683">
        <v>38.051299999999998</v>
      </c>
      <c r="AW683">
        <v>36.415199999999999</v>
      </c>
      <c r="AX683">
        <v>10.9665</v>
      </c>
      <c r="AY683">
        <v>3.52176</v>
      </c>
      <c r="AZ683">
        <v>535.995</v>
      </c>
      <c r="BA683">
        <v>612</v>
      </c>
      <c r="BB683">
        <v>31020.2</v>
      </c>
      <c r="BC683">
        <v>0.17299800000000001</v>
      </c>
      <c r="BD683">
        <v>9.0123700000000001E-2</v>
      </c>
      <c r="BE683">
        <v>0.27556999999999998</v>
      </c>
      <c r="BF683">
        <v>0.93936600000000003</v>
      </c>
      <c r="BG683">
        <v>9.7359600000000004</v>
      </c>
      <c r="BH683">
        <v>53.106200000000001</v>
      </c>
      <c r="BI683">
        <v>35.852800000000002</v>
      </c>
      <c r="BJ683">
        <v>33.3782</v>
      </c>
      <c r="BK683">
        <v>0</v>
      </c>
      <c r="BL683">
        <v>32.091000000000001</v>
      </c>
      <c r="BM683">
        <v>55.548200000000001</v>
      </c>
      <c r="BN683">
        <v>9.8772099999999998</v>
      </c>
      <c r="BO683">
        <v>1.2756000000000001</v>
      </c>
      <c r="BP683">
        <v>1.208</v>
      </c>
      <c r="BQ683">
        <v>36.176099999999998</v>
      </c>
      <c r="BR683">
        <v>115397</v>
      </c>
    </row>
    <row r="684" spans="1:70" x14ac:dyDescent="0.25">
      <c r="A684">
        <v>49</v>
      </c>
      <c r="B684" s="7">
        <v>45994.563750000001</v>
      </c>
      <c r="C684" t="s">
        <v>187</v>
      </c>
      <c r="D684" s="6" t="s">
        <v>387</v>
      </c>
      <c r="E684" s="6" t="str">
        <f>VLOOKUP(F684,Germplasm!$A$1:$B$21,2,FALSE)</f>
        <v>Sunnita</v>
      </c>
      <c r="F684" t="s">
        <v>65</v>
      </c>
      <c r="G684" s="6" t="s">
        <v>113</v>
      </c>
      <c r="H684">
        <v>50392.2</v>
      </c>
      <c r="I684">
        <v>357.72500000000002</v>
      </c>
      <c r="J684">
        <v>174201</v>
      </c>
      <c r="K684">
        <v>16.805399999999999</v>
      </c>
      <c r="L684">
        <v>66.177000000000007</v>
      </c>
      <c r="M684">
        <v>1575.08</v>
      </c>
      <c r="N684">
        <v>590.62099999999998</v>
      </c>
      <c r="O684">
        <v>27182900</v>
      </c>
      <c r="P684">
        <v>0.154198</v>
      </c>
      <c r="Q684">
        <v>1.20364</v>
      </c>
      <c r="R684">
        <v>12.8089</v>
      </c>
      <c r="S684">
        <v>34.446199999999997</v>
      </c>
      <c r="T684">
        <v>34.057699999999997</v>
      </c>
      <c r="U684">
        <v>16.971699999999998</v>
      </c>
      <c r="V684">
        <v>0.51195500000000005</v>
      </c>
      <c r="W684">
        <v>77.629300000000001</v>
      </c>
      <c r="X684">
        <v>7.1392300000000004</v>
      </c>
      <c r="Y684">
        <v>18.68</v>
      </c>
      <c r="Z684">
        <v>13.6539</v>
      </c>
      <c r="AA684">
        <v>29.758700000000001</v>
      </c>
      <c r="AB684">
        <v>19.618600000000001</v>
      </c>
      <c r="AC684">
        <v>11.1495</v>
      </c>
      <c r="AD684">
        <v>1.72133</v>
      </c>
      <c r="AE684">
        <v>9.2049900000000004</v>
      </c>
      <c r="AF684">
        <v>0</v>
      </c>
      <c r="AG684">
        <v>97.196100000000001</v>
      </c>
      <c r="AH684">
        <v>2.8012299999999999</v>
      </c>
      <c r="AI684">
        <v>2.7231600000000001E-3</v>
      </c>
      <c r="AJ684">
        <v>0</v>
      </c>
      <c r="AK684">
        <v>0</v>
      </c>
      <c r="AL684">
        <v>0.339449</v>
      </c>
      <c r="AM684">
        <v>4.08202</v>
      </c>
      <c r="AN684">
        <v>17.765899999999998</v>
      </c>
      <c r="AO684">
        <v>19.679400000000001</v>
      </c>
      <c r="AP684">
        <v>24.364999999999998</v>
      </c>
      <c r="AQ684">
        <v>25.5623</v>
      </c>
      <c r="AR684">
        <v>8.5452899999999996</v>
      </c>
      <c r="AS684">
        <v>0.22007099999999999</v>
      </c>
      <c r="AT684">
        <v>1.14191</v>
      </c>
      <c r="AU684">
        <v>9.9422700000000006</v>
      </c>
      <c r="AV684">
        <v>36.338799999999999</v>
      </c>
      <c r="AW684">
        <v>37.671300000000002</v>
      </c>
      <c r="AX684">
        <v>11.3955</v>
      </c>
      <c r="AY684">
        <v>3.5101599999999999</v>
      </c>
      <c r="AZ684">
        <v>539.42700000000002</v>
      </c>
      <c r="BA684">
        <v>611.99900000000002</v>
      </c>
      <c r="BB684">
        <v>29275.200000000001</v>
      </c>
      <c r="BC684">
        <v>0.17740800000000001</v>
      </c>
      <c r="BD684">
        <v>9.3495300000000003E-2</v>
      </c>
      <c r="BE684">
        <v>0.26051600000000003</v>
      </c>
      <c r="BF684">
        <v>0.94493799999999994</v>
      </c>
      <c r="BG684">
        <v>9.7761600000000008</v>
      </c>
      <c r="BH684">
        <v>51.679299999999998</v>
      </c>
      <c r="BI684">
        <v>37.245600000000003</v>
      </c>
      <c r="BJ684">
        <v>33.6267</v>
      </c>
      <c r="BK684">
        <v>0</v>
      </c>
      <c r="BL684">
        <v>31.574200000000001</v>
      </c>
      <c r="BM684">
        <v>55.550699999999999</v>
      </c>
      <c r="BN684">
        <v>10.371600000000001</v>
      </c>
      <c r="BO684">
        <v>1.2326900000000001</v>
      </c>
      <c r="BP684">
        <v>1.27081</v>
      </c>
      <c r="BQ684">
        <v>35.56</v>
      </c>
      <c r="BR684">
        <v>110166</v>
      </c>
    </row>
    <row r="685" spans="1:70" x14ac:dyDescent="0.25">
      <c r="A685">
        <v>49</v>
      </c>
      <c r="B685" s="7">
        <v>46002.589097222219</v>
      </c>
      <c r="C685" t="s">
        <v>187</v>
      </c>
      <c r="D685" s="6" t="s">
        <v>388</v>
      </c>
      <c r="E685" s="6" t="str">
        <f>VLOOKUP(F685,Germplasm!$A$1:$B$21,2,FALSE)</f>
        <v>Sunnita</v>
      </c>
      <c r="F685" t="s">
        <v>65</v>
      </c>
      <c r="G685" s="6" t="s">
        <v>113</v>
      </c>
      <c r="H685">
        <v>44223.1</v>
      </c>
      <c r="I685">
        <v>401.76</v>
      </c>
      <c r="J685">
        <v>157074</v>
      </c>
      <c r="K685">
        <v>15.8285</v>
      </c>
      <c r="L685">
        <v>58.689399999999999</v>
      </c>
      <c r="M685">
        <v>1555.28</v>
      </c>
      <c r="N685">
        <v>632.96</v>
      </c>
      <c r="O685">
        <v>22794900</v>
      </c>
      <c r="P685">
        <v>0.12693499999999999</v>
      </c>
      <c r="Q685">
        <v>1.3578699999999999</v>
      </c>
      <c r="R685">
        <v>16.0059</v>
      </c>
      <c r="S685">
        <v>39.056899999999999</v>
      </c>
      <c r="T685">
        <v>31.883500000000002</v>
      </c>
      <c r="U685">
        <v>11.239599999999999</v>
      </c>
      <c r="V685">
        <v>0.45616099999999998</v>
      </c>
      <c r="W685">
        <v>67.831599999999995</v>
      </c>
      <c r="X685">
        <v>9.0871499999999994</v>
      </c>
      <c r="Y685">
        <v>24.574300000000001</v>
      </c>
      <c r="Z685">
        <v>16.7422</v>
      </c>
      <c r="AA685">
        <v>29.751200000000001</v>
      </c>
      <c r="AB685">
        <v>10.8863</v>
      </c>
      <c r="AC685">
        <v>8.9587900000000005</v>
      </c>
      <c r="AD685">
        <v>1.77871</v>
      </c>
      <c r="AE685">
        <v>10.3405</v>
      </c>
      <c r="AF685">
        <v>0</v>
      </c>
      <c r="AG685">
        <v>96.9268</v>
      </c>
      <c r="AH685">
        <v>3.0361199999999999</v>
      </c>
      <c r="AI685">
        <v>3.6068500000000003E-2</v>
      </c>
      <c r="AJ685">
        <v>1.06084E-3</v>
      </c>
      <c r="AK685">
        <v>0</v>
      </c>
      <c r="AL685">
        <v>0.295873</v>
      </c>
      <c r="AM685">
        <v>5.1896199999999997</v>
      </c>
      <c r="AN685">
        <v>21.784300000000002</v>
      </c>
      <c r="AO685">
        <v>22.670100000000001</v>
      </c>
      <c r="AP685">
        <v>25.8049</v>
      </c>
      <c r="AQ685">
        <v>20.477399999999999</v>
      </c>
      <c r="AR685">
        <v>4.07362</v>
      </c>
      <c r="AS685">
        <v>0.253168</v>
      </c>
      <c r="AT685">
        <v>1.19557</v>
      </c>
      <c r="AU685">
        <v>7.1108000000000002</v>
      </c>
      <c r="AV685">
        <v>29.521000000000001</v>
      </c>
      <c r="AW685">
        <v>43.649299999999997</v>
      </c>
      <c r="AX685">
        <v>14.4147</v>
      </c>
      <c r="AY685">
        <v>4.1086299999999998</v>
      </c>
      <c r="AZ685">
        <v>515.45100000000002</v>
      </c>
      <c r="BA685">
        <v>577.19899999999996</v>
      </c>
      <c r="BB685">
        <v>24862.400000000001</v>
      </c>
      <c r="BC685">
        <v>0.212424</v>
      </c>
      <c r="BD685">
        <v>0.14003099999999999</v>
      </c>
      <c r="BE685">
        <v>0.42433599999999999</v>
      </c>
      <c r="BF685">
        <v>0.97172899999999995</v>
      </c>
      <c r="BG685">
        <v>6.7607299999999997</v>
      </c>
      <c r="BH685">
        <v>43.756399999999999</v>
      </c>
      <c r="BI685">
        <v>47.9467</v>
      </c>
      <c r="BJ685">
        <v>34.008000000000003</v>
      </c>
      <c r="BK685">
        <v>0</v>
      </c>
      <c r="BL685">
        <v>31.3446</v>
      </c>
      <c r="BM685">
        <v>55.025700000000001</v>
      </c>
      <c r="BN685">
        <v>10.660399999999999</v>
      </c>
      <c r="BO685">
        <v>1.4703200000000001</v>
      </c>
      <c r="BP685">
        <v>1.4989699999999999</v>
      </c>
      <c r="BQ685">
        <v>34.245399999999997</v>
      </c>
      <c r="BR685">
        <v>94265</v>
      </c>
    </row>
    <row r="686" spans="1:70" x14ac:dyDescent="0.25">
      <c r="A686">
        <v>49</v>
      </c>
      <c r="B686" s="7">
        <v>46013.568240740744</v>
      </c>
      <c r="C686" t="s">
        <v>187</v>
      </c>
      <c r="D686" s="6" t="s">
        <v>389</v>
      </c>
      <c r="E686" s="6" t="str">
        <f>VLOOKUP(F686,Germplasm!$A$1:$B$21,2,FALSE)</f>
        <v>Sunnita</v>
      </c>
      <c r="F686" t="s">
        <v>65</v>
      </c>
      <c r="G686" s="6" t="s">
        <v>113</v>
      </c>
      <c r="H686">
        <v>42344.1</v>
      </c>
      <c r="I686">
        <v>384.76100000000002</v>
      </c>
      <c r="J686">
        <v>136094</v>
      </c>
      <c r="K686">
        <v>17.736699999999999</v>
      </c>
      <c r="L686">
        <v>55.286999999999999</v>
      </c>
      <c r="M686">
        <v>1510.24</v>
      </c>
      <c r="N686">
        <v>603.49900000000002</v>
      </c>
      <c r="O686">
        <v>21136500</v>
      </c>
      <c r="P686">
        <v>5.7660099999999999E-2</v>
      </c>
      <c r="Q686">
        <v>1.61669</v>
      </c>
      <c r="R686">
        <v>23.2286</v>
      </c>
      <c r="S686">
        <v>58.6614</v>
      </c>
      <c r="T686">
        <v>13.339499999999999</v>
      </c>
      <c r="U686">
        <v>2.93276</v>
      </c>
      <c r="V686">
        <v>0.22106799999999999</v>
      </c>
      <c r="W686">
        <v>49.500700000000002</v>
      </c>
      <c r="X686">
        <v>12.406599999999999</v>
      </c>
      <c r="Y686">
        <v>46.078099999999999</v>
      </c>
      <c r="Z686">
        <v>15.901400000000001</v>
      </c>
      <c r="AA686">
        <v>10.7982</v>
      </c>
      <c r="AB686">
        <v>5.7921800000000001</v>
      </c>
      <c r="AC686">
        <v>9.0234799999999993</v>
      </c>
      <c r="AD686">
        <v>1.75421</v>
      </c>
      <c r="AE686">
        <v>12.703799999999999</v>
      </c>
      <c r="AF686">
        <v>0</v>
      </c>
      <c r="AG686">
        <v>94.579700000000003</v>
      </c>
      <c r="AH686">
        <v>5.3985900000000004</v>
      </c>
      <c r="AI686">
        <v>1.85945E-2</v>
      </c>
      <c r="AJ686">
        <v>3.0990800000000002E-3</v>
      </c>
      <c r="AK686">
        <v>0</v>
      </c>
      <c r="AL686">
        <v>0.18106800000000001</v>
      </c>
      <c r="AM686">
        <v>6.8458600000000001</v>
      </c>
      <c r="AN686">
        <v>40.623699999999999</v>
      </c>
      <c r="AO686">
        <v>34.155999999999999</v>
      </c>
      <c r="AP686">
        <v>13.0709</v>
      </c>
      <c r="AQ686">
        <v>3.7695099999999999</v>
      </c>
      <c r="AR686">
        <v>1.5340400000000001</v>
      </c>
      <c r="AS686">
        <v>0.26793800000000001</v>
      </c>
      <c r="AT686">
        <v>0.83881700000000003</v>
      </c>
      <c r="AU686">
        <v>6.7239699999999996</v>
      </c>
      <c r="AV686">
        <v>25.867000000000001</v>
      </c>
      <c r="AW686">
        <v>45.1267</v>
      </c>
      <c r="AX686">
        <v>18.089300000000001</v>
      </c>
      <c r="AY686">
        <v>3.3542299999999998</v>
      </c>
      <c r="AZ686">
        <v>499.161</v>
      </c>
      <c r="BA686">
        <v>559.80100000000004</v>
      </c>
      <c r="BB686">
        <v>24138.5</v>
      </c>
      <c r="BC686">
        <v>0.28031400000000001</v>
      </c>
      <c r="BD686">
        <v>8.2642099999999996E-2</v>
      </c>
      <c r="BE686">
        <v>0.29234599999999999</v>
      </c>
      <c r="BF686">
        <v>0.91422800000000004</v>
      </c>
      <c r="BG686">
        <v>6.2632399999999997</v>
      </c>
      <c r="BH686">
        <v>21.7349</v>
      </c>
      <c r="BI686">
        <v>70.712699999999998</v>
      </c>
      <c r="BJ686">
        <v>31.227799999999998</v>
      </c>
      <c r="BK686">
        <v>0</v>
      </c>
      <c r="BL686">
        <v>37.534999999999997</v>
      </c>
      <c r="BM686">
        <v>53.193600000000004</v>
      </c>
      <c r="BN686">
        <v>7.1237500000000002</v>
      </c>
      <c r="BO686">
        <v>1.1538900000000001</v>
      </c>
      <c r="BP686">
        <v>0.99377099999999996</v>
      </c>
      <c r="BQ686">
        <v>34.7898</v>
      </c>
      <c r="BR686">
        <v>96803</v>
      </c>
    </row>
    <row r="687" spans="1:70" x14ac:dyDescent="0.25">
      <c r="A687">
        <v>49</v>
      </c>
      <c r="B687" s="7">
        <v>46024.564953703702</v>
      </c>
      <c r="C687" t="s">
        <v>187</v>
      </c>
      <c r="D687" s="6" t="s">
        <v>390</v>
      </c>
      <c r="E687" s="6" t="str">
        <f>VLOOKUP(F687,Germplasm!$A$1:$B$21,2,FALSE)</f>
        <v>Sunnita</v>
      </c>
      <c r="F687" t="s">
        <v>65</v>
      </c>
      <c r="G687" s="6" t="s">
        <v>113</v>
      </c>
      <c r="H687">
        <v>37104.9</v>
      </c>
      <c r="I687">
        <v>381.18599999999998</v>
      </c>
      <c r="J687">
        <v>160742</v>
      </c>
      <c r="K687">
        <v>12.959199999999999</v>
      </c>
      <c r="L687">
        <v>53.182899999999997</v>
      </c>
      <c r="M687">
        <v>1628.92</v>
      </c>
      <c r="N687">
        <v>647.66800000000001</v>
      </c>
      <c r="O687">
        <v>17184800</v>
      </c>
      <c r="P687">
        <v>1.50116E-2</v>
      </c>
      <c r="Q687">
        <v>1.2597499999999999</v>
      </c>
      <c r="R687">
        <v>39.639499999999998</v>
      </c>
      <c r="S687">
        <v>53.587000000000003</v>
      </c>
      <c r="T687">
        <v>4.7015000000000002</v>
      </c>
      <c r="U687">
        <v>0.78008100000000002</v>
      </c>
      <c r="V687">
        <v>3.2142799999999999E-2</v>
      </c>
      <c r="W687">
        <v>37.613100000000003</v>
      </c>
      <c r="X687">
        <v>21.5122</v>
      </c>
      <c r="Y687">
        <v>55.6145</v>
      </c>
      <c r="Z687">
        <v>8.2186699999999995</v>
      </c>
      <c r="AA687">
        <v>5.0179900000000002</v>
      </c>
      <c r="AB687">
        <v>3.1339199999999998</v>
      </c>
      <c r="AC687">
        <v>6.5027400000000002</v>
      </c>
      <c r="AD687">
        <v>1.78125</v>
      </c>
      <c r="AE687">
        <v>17.116700000000002</v>
      </c>
      <c r="AF687">
        <v>0</v>
      </c>
      <c r="AG687">
        <v>83.575000000000003</v>
      </c>
      <c r="AH687">
        <v>16.283999999999999</v>
      </c>
      <c r="AI687">
        <v>0.13228000000000001</v>
      </c>
      <c r="AJ687">
        <v>8.6538299999999995E-3</v>
      </c>
      <c r="AK687">
        <v>0</v>
      </c>
      <c r="AL687">
        <v>0.119296</v>
      </c>
      <c r="AM687">
        <v>11.7507</v>
      </c>
      <c r="AN687">
        <v>56.780299999999997</v>
      </c>
      <c r="AO687">
        <v>23.544599999999999</v>
      </c>
      <c r="AP687">
        <v>5.5681200000000004</v>
      </c>
      <c r="AQ687">
        <v>1.8136000000000001</v>
      </c>
      <c r="AR687">
        <v>0.54271899999999995</v>
      </c>
      <c r="AS687">
        <v>0.27804899999999999</v>
      </c>
      <c r="AT687">
        <v>0.576098</v>
      </c>
      <c r="AU687">
        <v>4.28118</v>
      </c>
      <c r="AV687">
        <v>25.138200000000001</v>
      </c>
      <c r="AW687">
        <v>51.437199999999997</v>
      </c>
      <c r="AX687">
        <v>14.7103</v>
      </c>
      <c r="AY687">
        <v>3.8571399999999998</v>
      </c>
      <c r="AZ687">
        <v>463.14</v>
      </c>
      <c r="BA687">
        <v>547.20000000000005</v>
      </c>
      <c r="BB687">
        <v>20830.8</v>
      </c>
      <c r="BC687">
        <v>0.324071</v>
      </c>
      <c r="BD687">
        <v>7.1703199999999995E-2</v>
      </c>
      <c r="BE687">
        <v>0.31771899999999997</v>
      </c>
      <c r="BF687">
        <v>0.65027400000000002</v>
      </c>
      <c r="BG687">
        <v>3.81758</v>
      </c>
      <c r="BH687">
        <v>14.606400000000001</v>
      </c>
      <c r="BI687">
        <v>80.536299999999997</v>
      </c>
      <c r="BJ687">
        <v>30.021899999999999</v>
      </c>
      <c r="BK687">
        <v>0</v>
      </c>
      <c r="BL687">
        <v>39.493600000000001</v>
      </c>
      <c r="BM687">
        <v>52.764899999999997</v>
      </c>
      <c r="BN687">
        <v>5.7028800000000004</v>
      </c>
      <c r="BO687">
        <v>1.41923</v>
      </c>
      <c r="BP687">
        <v>0.619367</v>
      </c>
      <c r="BQ687">
        <v>34.1843</v>
      </c>
      <c r="BR687">
        <v>80889</v>
      </c>
    </row>
    <row r="688" spans="1:70" x14ac:dyDescent="0.25">
      <c r="A688">
        <v>49</v>
      </c>
      <c r="B688" s="7">
        <v>45952.578645833331</v>
      </c>
      <c r="C688" t="s">
        <v>186</v>
      </c>
      <c r="D688" s="6" t="s">
        <v>381</v>
      </c>
      <c r="E688" s="6" t="str">
        <f>VLOOKUP(F688,Germplasm!$A$1:$B$21,2,FALSE)</f>
        <v>Edel</v>
      </c>
      <c r="F688" t="s">
        <v>67</v>
      </c>
      <c r="G688" s="6" t="s">
        <v>113</v>
      </c>
      <c r="H688">
        <v>29940.3</v>
      </c>
      <c r="I688">
        <v>174.72200000000001</v>
      </c>
      <c r="J688">
        <v>75547.199999999997</v>
      </c>
      <c r="K688">
        <v>22.687100000000001</v>
      </c>
      <c r="L688">
        <v>75.927599999999998</v>
      </c>
      <c r="M688">
        <v>1051.75</v>
      </c>
      <c r="N688">
        <v>359.15600000000001</v>
      </c>
      <c r="O688">
        <v>5815550</v>
      </c>
      <c r="P688">
        <v>0.26815299999999997</v>
      </c>
      <c r="Q688">
        <v>0.29102499999999998</v>
      </c>
      <c r="R688">
        <v>2.13592</v>
      </c>
      <c r="S688">
        <v>13.4824</v>
      </c>
      <c r="T688">
        <v>42.900199999999998</v>
      </c>
      <c r="U688">
        <v>40.863</v>
      </c>
      <c r="V688">
        <v>0.327403</v>
      </c>
      <c r="W688">
        <v>112.37</v>
      </c>
      <c r="X688">
        <v>0.64441300000000001</v>
      </c>
      <c r="Y688">
        <v>1.6093</v>
      </c>
      <c r="Z688">
        <v>4.3671100000000003</v>
      </c>
      <c r="AA688">
        <v>21.963699999999999</v>
      </c>
      <c r="AB688">
        <v>41.97</v>
      </c>
      <c r="AC688">
        <v>29.445499999999999</v>
      </c>
      <c r="AD688">
        <v>1.7468600000000001</v>
      </c>
      <c r="AE688">
        <v>7.3697600000000003</v>
      </c>
      <c r="AF688">
        <v>0</v>
      </c>
      <c r="AG688">
        <v>99.837199999999996</v>
      </c>
      <c r="AH688">
        <v>0.16283500000000001</v>
      </c>
      <c r="AI688">
        <v>0</v>
      </c>
      <c r="AJ688">
        <v>0</v>
      </c>
      <c r="AK688">
        <v>0</v>
      </c>
      <c r="AL688">
        <v>0.54896500000000004</v>
      </c>
      <c r="AM688">
        <v>0.23732400000000001</v>
      </c>
      <c r="AN688">
        <v>1.3044199999999999</v>
      </c>
      <c r="AO688">
        <v>4.2752999999999997</v>
      </c>
      <c r="AP688">
        <v>12.794700000000001</v>
      </c>
      <c r="AQ688">
        <v>41.152299999999997</v>
      </c>
      <c r="AR688">
        <v>40.235900000000001</v>
      </c>
      <c r="AS688">
        <v>6.6470500000000002E-2</v>
      </c>
      <c r="AT688">
        <v>6.3055399999999997</v>
      </c>
      <c r="AU688">
        <v>29.173500000000001</v>
      </c>
      <c r="AV688">
        <v>43.736899999999999</v>
      </c>
      <c r="AW688">
        <v>16.768599999999999</v>
      </c>
      <c r="AX688">
        <v>2.9847399999999999</v>
      </c>
      <c r="AY688">
        <v>1.03071</v>
      </c>
      <c r="AZ688">
        <v>194.239</v>
      </c>
      <c r="BA688">
        <v>199.19900000000001</v>
      </c>
      <c r="BB688">
        <v>17139.5</v>
      </c>
      <c r="BC688">
        <v>2.9921699999999999E-2</v>
      </c>
      <c r="BD688">
        <v>3.8110400000000003E-2</v>
      </c>
      <c r="BE688">
        <v>0.223466</v>
      </c>
      <c r="BF688">
        <v>1.81891</v>
      </c>
      <c r="BG688">
        <v>33.398600000000002</v>
      </c>
      <c r="BH688">
        <v>59.7849</v>
      </c>
      <c r="BI688">
        <v>4.7360899999999999</v>
      </c>
      <c r="BJ688">
        <v>35.052</v>
      </c>
      <c r="BK688">
        <v>0</v>
      </c>
      <c r="BL688">
        <v>23.235199999999999</v>
      </c>
      <c r="BM688">
        <v>64.110399999999998</v>
      </c>
      <c r="BN688">
        <v>11.693</v>
      </c>
      <c r="BO688">
        <v>0.78646000000000005</v>
      </c>
      <c r="BP688">
        <v>0.17496100000000001</v>
      </c>
      <c r="BQ688">
        <v>34.946800000000003</v>
      </c>
      <c r="BR688">
        <v>57727</v>
      </c>
    </row>
    <row r="689" spans="1:70" x14ac:dyDescent="0.25">
      <c r="A689">
        <v>49</v>
      </c>
      <c r="B689" s="7">
        <v>45959.547175925924</v>
      </c>
      <c r="C689" t="s">
        <v>186</v>
      </c>
      <c r="D689" s="6" t="s">
        <v>382</v>
      </c>
      <c r="E689" s="6" t="str">
        <f>VLOOKUP(F689,Germplasm!$A$1:$B$21,2,FALSE)</f>
        <v>Edel</v>
      </c>
      <c r="F689" t="s">
        <v>67</v>
      </c>
      <c r="G689" s="6" t="s">
        <v>113</v>
      </c>
      <c r="H689">
        <v>52253</v>
      </c>
      <c r="I689">
        <v>269.17399999999998</v>
      </c>
      <c r="J689">
        <v>141101</v>
      </c>
      <c r="K689">
        <v>22.094100000000001</v>
      </c>
      <c r="L689">
        <v>60.087400000000002</v>
      </c>
      <c r="M689">
        <v>1433.23</v>
      </c>
      <c r="N689">
        <v>537.80499999999995</v>
      </c>
      <c r="O689">
        <v>16349600</v>
      </c>
      <c r="P689">
        <v>0.27050800000000003</v>
      </c>
      <c r="Q689">
        <v>0.55688400000000005</v>
      </c>
      <c r="R689">
        <v>2.8496600000000001</v>
      </c>
      <c r="S689">
        <v>13.4503</v>
      </c>
      <c r="T689">
        <v>39.596499999999999</v>
      </c>
      <c r="U689">
        <v>42.784599999999998</v>
      </c>
      <c r="V689">
        <v>0.76205199999999995</v>
      </c>
      <c r="W689">
        <v>117.983</v>
      </c>
      <c r="X689">
        <v>0.76772499999999999</v>
      </c>
      <c r="Y689">
        <v>1.3321700000000001</v>
      </c>
      <c r="Z689">
        <v>2.67475</v>
      </c>
      <c r="AA689">
        <v>15.5871</v>
      </c>
      <c r="AB689">
        <v>42.871600000000001</v>
      </c>
      <c r="AC689">
        <v>36.7667</v>
      </c>
      <c r="AD689">
        <v>1.6761200000000001</v>
      </c>
      <c r="AE689">
        <v>6.5888799999999996</v>
      </c>
      <c r="AF689">
        <v>0</v>
      </c>
      <c r="AG689">
        <v>99.896000000000001</v>
      </c>
      <c r="AH689">
        <v>0.10211099999999999</v>
      </c>
      <c r="AI689">
        <v>1.89095E-3</v>
      </c>
      <c r="AJ689">
        <v>0</v>
      </c>
      <c r="AK689">
        <v>0</v>
      </c>
      <c r="AL689">
        <v>0.56842999999999999</v>
      </c>
      <c r="AM689">
        <v>0.47841</v>
      </c>
      <c r="AN689">
        <v>1.95902</v>
      </c>
      <c r="AO689">
        <v>3.64575</v>
      </c>
      <c r="AP689">
        <v>9.2637599999999996</v>
      </c>
      <c r="AQ689">
        <v>35.921399999999998</v>
      </c>
      <c r="AR689">
        <v>48.7316</v>
      </c>
      <c r="AS689">
        <v>3.4701900000000001E-2</v>
      </c>
      <c r="AT689">
        <v>8.2984299999999998</v>
      </c>
      <c r="AU689">
        <v>35.268999999999998</v>
      </c>
      <c r="AV689">
        <v>40.7821</v>
      </c>
      <c r="AW689">
        <v>12.1645</v>
      </c>
      <c r="AX689">
        <v>2.0450599999999999</v>
      </c>
      <c r="AY689">
        <v>1.4409000000000001</v>
      </c>
      <c r="AZ689">
        <v>312.89400000000001</v>
      </c>
      <c r="BA689">
        <v>368.024</v>
      </c>
      <c r="BB689">
        <v>31175</v>
      </c>
      <c r="BC689">
        <v>7.9727700000000006E-3</v>
      </c>
      <c r="BD689">
        <v>8.0365300000000001E-2</v>
      </c>
      <c r="BE689">
        <v>0.54270200000000002</v>
      </c>
      <c r="BF689">
        <v>2.5962700000000001</v>
      </c>
      <c r="BG689">
        <v>40.345300000000002</v>
      </c>
      <c r="BH689">
        <v>53.352200000000003</v>
      </c>
      <c r="BI689">
        <v>3.0831900000000001</v>
      </c>
      <c r="BJ689">
        <v>35.350200000000001</v>
      </c>
      <c r="BK689">
        <v>0</v>
      </c>
      <c r="BL689">
        <v>23.787199999999999</v>
      </c>
      <c r="BM689">
        <v>62.814500000000002</v>
      </c>
      <c r="BN689">
        <v>11.6615</v>
      </c>
      <c r="BO689">
        <v>1.02017</v>
      </c>
      <c r="BP689">
        <v>0.71667000000000003</v>
      </c>
      <c r="BQ689">
        <v>36.674700000000001</v>
      </c>
      <c r="BR689">
        <v>105767</v>
      </c>
    </row>
    <row r="690" spans="1:70" x14ac:dyDescent="0.25">
      <c r="A690">
        <v>49</v>
      </c>
      <c r="B690" s="7">
        <v>45966.53398148148</v>
      </c>
      <c r="C690" t="s">
        <v>186</v>
      </c>
      <c r="D690" s="6" t="s">
        <v>383</v>
      </c>
      <c r="E690" s="6" t="str">
        <f>VLOOKUP(F690,Germplasm!$A$1:$B$21,2,FALSE)</f>
        <v>Edel</v>
      </c>
      <c r="F690" t="s">
        <v>67</v>
      </c>
      <c r="G690" s="6" t="s">
        <v>113</v>
      </c>
      <c r="H690">
        <v>0</v>
      </c>
      <c r="J690">
        <v>0</v>
      </c>
      <c r="M690">
        <v>0</v>
      </c>
      <c r="N690">
        <v>0</v>
      </c>
      <c r="O690">
        <v>0</v>
      </c>
      <c r="AZ690">
        <v>0</v>
      </c>
      <c r="BA690">
        <v>0</v>
      </c>
      <c r="BB690">
        <v>0</v>
      </c>
      <c r="BR690">
        <v>0</v>
      </c>
    </row>
    <row r="691" spans="1:70" x14ac:dyDescent="0.25">
      <c r="A691">
        <v>49</v>
      </c>
      <c r="B691" s="7">
        <v>45973.571631944447</v>
      </c>
      <c r="C691" t="s">
        <v>186</v>
      </c>
      <c r="D691" s="6" t="s">
        <v>384</v>
      </c>
      <c r="E691" s="6" t="str">
        <f>VLOOKUP(F691,Germplasm!$A$1:$B$21,2,FALSE)</f>
        <v>Edel</v>
      </c>
      <c r="F691" t="s">
        <v>67</v>
      </c>
      <c r="G691" s="6" t="s">
        <v>113</v>
      </c>
      <c r="H691">
        <v>52316.7</v>
      </c>
      <c r="I691">
        <v>346.13499999999999</v>
      </c>
      <c r="J691">
        <v>192001</v>
      </c>
      <c r="K691">
        <v>18.522200000000002</v>
      </c>
      <c r="L691">
        <v>73.384</v>
      </c>
      <c r="M691">
        <v>1681.56</v>
      </c>
      <c r="N691">
        <v>584.303</v>
      </c>
      <c r="O691">
        <v>23307700</v>
      </c>
      <c r="P691">
        <v>0.271254</v>
      </c>
      <c r="Q691">
        <v>0.51894300000000004</v>
      </c>
      <c r="R691">
        <v>3.2720899999999999</v>
      </c>
      <c r="S691">
        <v>14.507</v>
      </c>
      <c r="T691">
        <v>37.521500000000003</v>
      </c>
      <c r="U691">
        <v>43.111899999999999</v>
      </c>
      <c r="V691">
        <v>1.0686</v>
      </c>
      <c r="W691">
        <v>115.628</v>
      </c>
      <c r="X691">
        <v>0.89319599999999999</v>
      </c>
      <c r="Y691">
        <v>1.9537199999999999</v>
      </c>
      <c r="Z691">
        <v>3.5032700000000001</v>
      </c>
      <c r="AA691">
        <v>17.6311</v>
      </c>
      <c r="AB691">
        <v>42.340699999999998</v>
      </c>
      <c r="AC691">
        <v>33.677900000000001</v>
      </c>
      <c r="AD691">
        <v>1.4711099999999999</v>
      </c>
      <c r="AE691">
        <v>7.06778</v>
      </c>
      <c r="AF691">
        <v>0</v>
      </c>
      <c r="AG691">
        <v>99.327500000000001</v>
      </c>
      <c r="AH691">
        <v>0.67171599999999998</v>
      </c>
      <c r="AI691">
        <v>8.0832300000000001E-4</v>
      </c>
      <c r="AJ691">
        <v>0</v>
      </c>
      <c r="AK691">
        <v>0</v>
      </c>
      <c r="AL691">
        <v>0.53764000000000001</v>
      </c>
      <c r="AM691">
        <v>0.68788199999999999</v>
      </c>
      <c r="AN691">
        <v>2.4839699999999998</v>
      </c>
      <c r="AO691">
        <v>5.3195699999999997</v>
      </c>
      <c r="AP691">
        <v>13.4214</v>
      </c>
      <c r="AQ691">
        <v>38.622500000000002</v>
      </c>
      <c r="AR691">
        <v>39.464700000000001</v>
      </c>
      <c r="AS691">
        <v>6.15478E-2</v>
      </c>
      <c r="AT691">
        <v>6.9362199999999996</v>
      </c>
      <c r="AU691">
        <v>32.761299999999999</v>
      </c>
      <c r="AV691">
        <v>39.257800000000003</v>
      </c>
      <c r="AW691">
        <v>15.4244</v>
      </c>
      <c r="AX691">
        <v>3.63503</v>
      </c>
      <c r="AY691">
        <v>1.9852399999999999</v>
      </c>
      <c r="AZ691">
        <v>445.51100000000002</v>
      </c>
      <c r="BA691">
        <v>492</v>
      </c>
      <c r="BB691">
        <v>35562.9</v>
      </c>
      <c r="BC691">
        <v>2.15464E-2</v>
      </c>
      <c r="BD691">
        <v>9.0532100000000004E-2</v>
      </c>
      <c r="BE691">
        <v>0.61028300000000002</v>
      </c>
      <c r="BF691">
        <v>2.7830499999999998</v>
      </c>
      <c r="BG691">
        <v>36.213700000000003</v>
      </c>
      <c r="BH691">
        <v>54.633699999999997</v>
      </c>
      <c r="BI691">
        <v>5.6687700000000003</v>
      </c>
      <c r="BJ691">
        <v>36.212400000000002</v>
      </c>
      <c r="BK691">
        <v>0</v>
      </c>
      <c r="BL691">
        <v>23.4284</v>
      </c>
      <c r="BM691">
        <v>60.4221</v>
      </c>
      <c r="BN691">
        <v>13.9589</v>
      </c>
      <c r="BO691">
        <v>1.54955</v>
      </c>
      <c r="BP691">
        <v>0.64100000000000001</v>
      </c>
      <c r="BQ691">
        <v>42.886000000000003</v>
      </c>
      <c r="BR691">
        <v>123713</v>
      </c>
    </row>
    <row r="692" spans="1:70" x14ac:dyDescent="0.25">
      <c r="A692">
        <v>49</v>
      </c>
      <c r="B692" s="7">
        <v>45988.586226851854</v>
      </c>
      <c r="C692" t="s">
        <v>186</v>
      </c>
      <c r="D692" s="6" t="s">
        <v>385</v>
      </c>
      <c r="E692" s="6" t="str">
        <f>VLOOKUP(F692,Germplasm!$A$1:$B$21,2,FALSE)</f>
        <v>Edel</v>
      </c>
      <c r="F692" t="s">
        <v>67</v>
      </c>
      <c r="G692" s="6" t="s">
        <v>113</v>
      </c>
      <c r="H692">
        <v>64273.1</v>
      </c>
      <c r="I692">
        <v>355.04199999999997</v>
      </c>
      <c r="J692">
        <v>182087</v>
      </c>
      <c r="K692">
        <v>19.572800000000001</v>
      </c>
      <c r="L692">
        <v>78.775700000000001</v>
      </c>
      <c r="M692">
        <v>1577.89</v>
      </c>
      <c r="N692">
        <v>563.37199999999996</v>
      </c>
      <c r="O692">
        <v>28830900</v>
      </c>
      <c r="P692">
        <v>0.23499600000000001</v>
      </c>
      <c r="Q692">
        <v>0.55016600000000004</v>
      </c>
      <c r="R692">
        <v>4.76938</v>
      </c>
      <c r="S692">
        <v>18.080100000000002</v>
      </c>
      <c r="T692">
        <v>44.9544</v>
      </c>
      <c r="U692">
        <v>30.7743</v>
      </c>
      <c r="V692">
        <v>0.87173199999999995</v>
      </c>
      <c r="W692">
        <v>108.54900000000001</v>
      </c>
      <c r="X692">
        <v>2.6350099999999999</v>
      </c>
      <c r="Y692">
        <v>4.3197999999999999</v>
      </c>
      <c r="Z692">
        <v>5.3751699999999998</v>
      </c>
      <c r="AA692">
        <v>21.003900000000002</v>
      </c>
      <c r="AB692">
        <v>37.996499999999997</v>
      </c>
      <c r="AC692">
        <v>28.669599999999999</v>
      </c>
      <c r="AD692">
        <v>1.80342</v>
      </c>
      <c r="AE692">
        <v>7.6877399999999998</v>
      </c>
      <c r="AF692">
        <v>0</v>
      </c>
      <c r="AG692">
        <v>99.343199999999996</v>
      </c>
      <c r="AH692">
        <v>0.65303699999999998</v>
      </c>
      <c r="AI692">
        <v>3.8100199999999999E-3</v>
      </c>
      <c r="AJ692">
        <v>0</v>
      </c>
      <c r="AK692">
        <v>0</v>
      </c>
      <c r="AL692">
        <v>0.463007</v>
      </c>
      <c r="AM692">
        <v>1.6947000000000001</v>
      </c>
      <c r="AN692">
        <v>7.27637</v>
      </c>
      <c r="AO692">
        <v>8.9268699999999992</v>
      </c>
      <c r="AP692">
        <v>18.5929</v>
      </c>
      <c r="AQ692">
        <v>41.074300000000001</v>
      </c>
      <c r="AR692">
        <v>22.434899999999999</v>
      </c>
      <c r="AS692">
        <v>9.7610100000000005E-2</v>
      </c>
      <c r="AT692">
        <v>3.41987</v>
      </c>
      <c r="AU692">
        <v>30.200500000000002</v>
      </c>
      <c r="AV692">
        <v>40.527900000000002</v>
      </c>
      <c r="AW692">
        <v>18.526599999999998</v>
      </c>
      <c r="AX692">
        <v>5.06656</v>
      </c>
      <c r="AY692">
        <v>2.2585799999999998</v>
      </c>
      <c r="AZ692">
        <v>448.56900000000002</v>
      </c>
      <c r="BA692">
        <v>529.19899999999996</v>
      </c>
      <c r="BB692">
        <v>35639.599999999999</v>
      </c>
      <c r="BC692">
        <v>6.4743700000000001E-2</v>
      </c>
      <c r="BD692">
        <v>5.18162E-2</v>
      </c>
      <c r="BE692">
        <v>0.25755699999999998</v>
      </c>
      <c r="BF692">
        <v>1.61392</v>
      </c>
      <c r="BG692">
        <v>31.695499999999999</v>
      </c>
      <c r="BH692">
        <v>52.117199999999997</v>
      </c>
      <c r="BI692">
        <v>14.2639</v>
      </c>
      <c r="BJ692">
        <v>33.647799999999997</v>
      </c>
      <c r="BK692">
        <v>0</v>
      </c>
      <c r="BL692">
        <v>28.926400000000001</v>
      </c>
      <c r="BM692">
        <v>59.204599999999999</v>
      </c>
      <c r="BN692">
        <v>9.7010699999999996</v>
      </c>
      <c r="BO692">
        <v>1.29464</v>
      </c>
      <c r="BP692">
        <v>0.87325600000000003</v>
      </c>
      <c r="BQ692">
        <v>33.72</v>
      </c>
      <c r="BR692">
        <v>131233</v>
      </c>
    </row>
    <row r="693" spans="1:70" x14ac:dyDescent="0.25">
      <c r="A693">
        <v>49</v>
      </c>
      <c r="B693" s="7">
        <v>45994.562974537039</v>
      </c>
      <c r="C693" t="s">
        <v>186</v>
      </c>
      <c r="D693" s="6" t="s">
        <v>386</v>
      </c>
      <c r="E693" s="6" t="str">
        <f>VLOOKUP(F693,Germplasm!$A$1:$B$21,2,FALSE)</f>
        <v>Edel</v>
      </c>
      <c r="F693" t="s">
        <v>67</v>
      </c>
      <c r="G693" s="6" t="s">
        <v>113</v>
      </c>
      <c r="H693">
        <v>54990</v>
      </c>
      <c r="I693">
        <v>359.74299999999999</v>
      </c>
      <c r="J693">
        <v>165940</v>
      </c>
      <c r="K693">
        <v>18.281500000000001</v>
      </c>
      <c r="L693">
        <v>78.088999999999999</v>
      </c>
      <c r="M693">
        <v>1496.8</v>
      </c>
      <c r="N693">
        <v>520.64800000000002</v>
      </c>
      <c r="O693">
        <v>24926500</v>
      </c>
      <c r="P693">
        <v>0.212531</v>
      </c>
      <c r="Q693">
        <v>0.65983000000000003</v>
      </c>
      <c r="R693">
        <v>7.9867900000000001</v>
      </c>
      <c r="S693">
        <v>21.5</v>
      </c>
      <c r="T693">
        <v>42.284199999999998</v>
      </c>
      <c r="U693">
        <v>26.624600000000001</v>
      </c>
      <c r="V693">
        <v>0.944581</v>
      </c>
      <c r="W693">
        <v>99.718599999999995</v>
      </c>
      <c r="X693">
        <v>5.0911</v>
      </c>
      <c r="Y693">
        <v>7.4938500000000001</v>
      </c>
      <c r="Z693">
        <v>7.7656999999999998</v>
      </c>
      <c r="AA693">
        <v>23.8752</v>
      </c>
      <c r="AB693">
        <v>32.556199999999997</v>
      </c>
      <c r="AC693">
        <v>23.2179</v>
      </c>
      <c r="AD693">
        <v>1.8126800000000001</v>
      </c>
      <c r="AE693">
        <v>8.7298799999999996</v>
      </c>
      <c r="AF693">
        <v>0</v>
      </c>
      <c r="AG693">
        <v>98.262200000000007</v>
      </c>
      <c r="AH693">
        <v>1.7377499999999999</v>
      </c>
      <c r="AI693">
        <v>0</v>
      </c>
      <c r="AJ693">
        <v>0</v>
      </c>
      <c r="AK693">
        <v>0</v>
      </c>
      <c r="AL693">
        <v>0.40356700000000001</v>
      </c>
      <c r="AM693">
        <v>3.1262400000000001</v>
      </c>
      <c r="AN693">
        <v>13.3566</v>
      </c>
      <c r="AO693">
        <v>12.2529</v>
      </c>
      <c r="AP693">
        <v>20.584599999999998</v>
      </c>
      <c r="AQ693">
        <v>35.042400000000001</v>
      </c>
      <c r="AR693">
        <v>15.6372</v>
      </c>
      <c r="AS693">
        <v>0.139122</v>
      </c>
      <c r="AT693">
        <v>2.3081200000000002</v>
      </c>
      <c r="AU693">
        <v>24.571999999999999</v>
      </c>
      <c r="AV693">
        <v>37.967300000000002</v>
      </c>
      <c r="AW693">
        <v>25.369499999999999</v>
      </c>
      <c r="AX693">
        <v>7.0645699999999998</v>
      </c>
      <c r="AY693">
        <v>2.7184699999999999</v>
      </c>
      <c r="AZ693">
        <v>453.291</v>
      </c>
      <c r="BA693">
        <v>532.20000000000005</v>
      </c>
      <c r="BB693">
        <v>30336.3</v>
      </c>
      <c r="BC693">
        <v>0.10976900000000001</v>
      </c>
      <c r="BD693">
        <v>4.7315099999999999E-2</v>
      </c>
      <c r="BE693">
        <v>0.22883300000000001</v>
      </c>
      <c r="BF693">
        <v>1.3446100000000001</v>
      </c>
      <c r="BG693">
        <v>25.259399999999999</v>
      </c>
      <c r="BH693">
        <v>48.641599999999997</v>
      </c>
      <c r="BI693">
        <v>24.478200000000001</v>
      </c>
      <c r="BJ693">
        <v>33.735500000000002</v>
      </c>
      <c r="BK693">
        <v>0</v>
      </c>
      <c r="BL693">
        <v>29.306100000000001</v>
      </c>
      <c r="BM693">
        <v>58.253500000000003</v>
      </c>
      <c r="BN693">
        <v>10.052300000000001</v>
      </c>
      <c r="BO693">
        <v>1.5097799999999999</v>
      </c>
      <c r="BP693">
        <v>0.87834000000000001</v>
      </c>
      <c r="BQ693">
        <v>33.522300000000001</v>
      </c>
      <c r="BR693">
        <v>116242</v>
      </c>
    </row>
    <row r="694" spans="1:70" x14ac:dyDescent="0.25">
      <c r="A694">
        <v>49</v>
      </c>
      <c r="B694" s="7">
        <v>45994.563750000001</v>
      </c>
      <c r="C694" t="s">
        <v>186</v>
      </c>
      <c r="D694" s="6" t="s">
        <v>387</v>
      </c>
      <c r="E694" s="6" t="str">
        <f>VLOOKUP(F694,Germplasm!$A$1:$B$21,2,FALSE)</f>
        <v>Edel</v>
      </c>
      <c r="F694" t="s">
        <v>67</v>
      </c>
      <c r="G694" s="6" t="s">
        <v>113</v>
      </c>
      <c r="H694">
        <v>55513.4</v>
      </c>
      <c r="I694">
        <v>358.19600000000003</v>
      </c>
      <c r="J694">
        <v>165406</v>
      </c>
      <c r="K694">
        <v>18.4419</v>
      </c>
      <c r="L694">
        <v>78.185500000000005</v>
      </c>
      <c r="M694">
        <v>1492.91</v>
      </c>
      <c r="N694">
        <v>520.26499999999999</v>
      </c>
      <c r="O694">
        <v>25091500</v>
      </c>
      <c r="P694">
        <v>0.213509</v>
      </c>
      <c r="Q694">
        <v>0.71605600000000003</v>
      </c>
      <c r="R694">
        <v>7.8902799999999997</v>
      </c>
      <c r="S694">
        <v>21.434699999999999</v>
      </c>
      <c r="T694">
        <v>41.881599999999999</v>
      </c>
      <c r="U694">
        <v>27.0871</v>
      </c>
      <c r="V694">
        <v>0.990344</v>
      </c>
      <c r="W694">
        <v>99.742199999999997</v>
      </c>
      <c r="X694">
        <v>4.9739399999999998</v>
      </c>
      <c r="Y694">
        <v>7.51004</v>
      </c>
      <c r="Z694">
        <v>7.8654999999999999</v>
      </c>
      <c r="AA694">
        <v>23.498200000000001</v>
      </c>
      <c r="AB694">
        <v>33.012900000000002</v>
      </c>
      <c r="AC694">
        <v>23.139399999999998</v>
      </c>
      <c r="AD694">
        <v>1.8198700000000001</v>
      </c>
      <c r="AE694">
        <v>8.7239100000000001</v>
      </c>
      <c r="AF694">
        <v>0</v>
      </c>
      <c r="AG694">
        <v>98.274799999999999</v>
      </c>
      <c r="AH694">
        <v>1.7252000000000001</v>
      </c>
      <c r="AI694">
        <v>0</v>
      </c>
      <c r="AJ694">
        <v>0</v>
      </c>
      <c r="AK694">
        <v>0</v>
      </c>
      <c r="AL694">
        <v>0.40448200000000001</v>
      </c>
      <c r="AM694">
        <v>3.1487699999999998</v>
      </c>
      <c r="AN694">
        <v>13.4367</v>
      </c>
      <c r="AO694">
        <v>12.2499</v>
      </c>
      <c r="AP694">
        <v>20.296500000000002</v>
      </c>
      <c r="AQ694">
        <v>34.820999999999998</v>
      </c>
      <c r="AR694">
        <v>16.0472</v>
      </c>
      <c r="AS694">
        <v>0.13880700000000001</v>
      </c>
      <c r="AT694">
        <v>2.3464100000000001</v>
      </c>
      <c r="AU694">
        <v>24.406600000000001</v>
      </c>
      <c r="AV694">
        <v>38.1312</v>
      </c>
      <c r="AW694">
        <v>25.402899999999999</v>
      </c>
      <c r="AX694">
        <v>7.0520399999999999</v>
      </c>
      <c r="AY694">
        <v>2.66086</v>
      </c>
      <c r="AZ694">
        <v>451.99</v>
      </c>
      <c r="BA694">
        <v>532.19899999999996</v>
      </c>
      <c r="BB694">
        <v>30504.1</v>
      </c>
      <c r="BC694">
        <v>0.109261</v>
      </c>
      <c r="BD694">
        <v>4.2724100000000001E-2</v>
      </c>
      <c r="BE694">
        <v>0.234128</v>
      </c>
      <c r="BF694">
        <v>1.3398300000000001</v>
      </c>
      <c r="BG694">
        <v>25.136299999999999</v>
      </c>
      <c r="BH694">
        <v>48.831099999999999</v>
      </c>
      <c r="BI694">
        <v>24.416</v>
      </c>
      <c r="BJ694">
        <v>33.792099999999998</v>
      </c>
      <c r="BK694">
        <v>0</v>
      </c>
      <c r="BL694">
        <v>29.283899999999999</v>
      </c>
      <c r="BM694">
        <v>58.071399999999997</v>
      </c>
      <c r="BN694">
        <v>10.243499999999999</v>
      </c>
      <c r="BO694">
        <v>1.5124299999999999</v>
      </c>
      <c r="BP694">
        <v>0.88866100000000003</v>
      </c>
      <c r="BQ694">
        <v>33.372199999999999</v>
      </c>
      <c r="BR694">
        <v>117030</v>
      </c>
    </row>
    <row r="695" spans="1:70" x14ac:dyDescent="0.25">
      <c r="A695">
        <v>49</v>
      </c>
      <c r="B695" s="7">
        <v>46002.589097222219</v>
      </c>
      <c r="C695" t="s">
        <v>186</v>
      </c>
      <c r="D695" s="6" t="s">
        <v>388</v>
      </c>
      <c r="E695" s="6" t="str">
        <f>VLOOKUP(F695,Germplasm!$A$1:$B$21,2,FALSE)</f>
        <v>Edel</v>
      </c>
      <c r="F695" t="s">
        <v>67</v>
      </c>
      <c r="G695" s="6" t="s">
        <v>113</v>
      </c>
      <c r="H695">
        <v>38582.199999999997</v>
      </c>
      <c r="I695">
        <v>343.31200000000001</v>
      </c>
      <c r="J695">
        <v>119381</v>
      </c>
      <c r="K695">
        <v>16.607800000000001</v>
      </c>
      <c r="L695">
        <v>61.289000000000001</v>
      </c>
      <c r="M695">
        <v>1371.84</v>
      </c>
      <c r="N695">
        <v>552.00300000000004</v>
      </c>
      <c r="O695">
        <v>16507900</v>
      </c>
      <c r="P695">
        <v>0.16670499999999999</v>
      </c>
      <c r="Q695">
        <v>0.76402599999999998</v>
      </c>
      <c r="R695">
        <v>13.969200000000001</v>
      </c>
      <c r="S695">
        <v>28.974299999999999</v>
      </c>
      <c r="T695">
        <v>39.455100000000002</v>
      </c>
      <c r="U695">
        <v>15.7799</v>
      </c>
      <c r="V695">
        <v>1.05742</v>
      </c>
      <c r="W695">
        <v>84.6785</v>
      </c>
      <c r="X695">
        <v>8.6342099999999995</v>
      </c>
      <c r="Y695">
        <v>13.251899999999999</v>
      </c>
      <c r="Z695">
        <v>11.4819</v>
      </c>
      <c r="AA695">
        <v>27.513300000000001</v>
      </c>
      <c r="AB695">
        <v>22.990200000000002</v>
      </c>
      <c r="AC695">
        <v>16.128399999999999</v>
      </c>
      <c r="AD695">
        <v>1.9459900000000001</v>
      </c>
      <c r="AE695">
        <v>10.8001</v>
      </c>
      <c r="AF695">
        <v>0</v>
      </c>
      <c r="AG695">
        <v>96.456500000000005</v>
      </c>
      <c r="AH695">
        <v>3.5339200000000002</v>
      </c>
      <c r="AI695">
        <v>9.5802600000000002E-3</v>
      </c>
      <c r="AJ695">
        <v>0</v>
      </c>
      <c r="AK695">
        <v>0</v>
      </c>
      <c r="AL695">
        <v>0.31504799999999999</v>
      </c>
      <c r="AM695">
        <v>3.7662399999999998</v>
      </c>
      <c r="AN695">
        <v>21.282599999999999</v>
      </c>
      <c r="AO695">
        <v>20.991599999999998</v>
      </c>
      <c r="AP695">
        <v>26.4236</v>
      </c>
      <c r="AQ695">
        <v>20.8215</v>
      </c>
      <c r="AR695">
        <v>6.7145700000000001</v>
      </c>
      <c r="AS695">
        <v>0.19137199999999999</v>
      </c>
      <c r="AT695">
        <v>1.2418400000000001</v>
      </c>
      <c r="AU695">
        <v>15.860099999999999</v>
      </c>
      <c r="AV695">
        <v>37.681600000000003</v>
      </c>
      <c r="AW695">
        <v>31.8185</v>
      </c>
      <c r="AX695">
        <v>9.7287599999999994</v>
      </c>
      <c r="AY695">
        <v>3.6692399999999998</v>
      </c>
      <c r="AZ695">
        <v>427.86399999999998</v>
      </c>
      <c r="BA695">
        <v>473.99900000000002</v>
      </c>
      <c r="BB695">
        <v>19826.5</v>
      </c>
      <c r="BC695">
        <v>0.16250000000000001</v>
      </c>
      <c r="BD695">
        <v>2.5148199999999999E-2</v>
      </c>
      <c r="BE695">
        <v>0.273038</v>
      </c>
      <c r="BF695">
        <v>1.2753699999999999</v>
      </c>
      <c r="BG695">
        <v>15.5284</v>
      </c>
      <c r="BH695">
        <v>46.132599999999996</v>
      </c>
      <c r="BI695">
        <v>36.765500000000003</v>
      </c>
      <c r="BJ695">
        <v>32.4559</v>
      </c>
      <c r="BK695">
        <v>0</v>
      </c>
      <c r="BL695">
        <v>35.367899999999999</v>
      </c>
      <c r="BM695">
        <v>52.412399999999998</v>
      </c>
      <c r="BN695">
        <v>9.2940500000000004</v>
      </c>
      <c r="BO695">
        <v>2.1399900000000001</v>
      </c>
      <c r="BP695">
        <v>0.785582</v>
      </c>
      <c r="BQ695">
        <v>30.948399999999999</v>
      </c>
      <c r="BR695">
        <v>83505</v>
      </c>
    </row>
    <row r="696" spans="1:70" x14ac:dyDescent="0.25">
      <c r="A696">
        <v>49</v>
      </c>
      <c r="B696" s="7">
        <v>46013.568240740744</v>
      </c>
      <c r="C696" t="s">
        <v>186</v>
      </c>
      <c r="D696" s="6" t="s">
        <v>389</v>
      </c>
      <c r="E696" s="6" t="str">
        <f>VLOOKUP(F696,Germplasm!$A$1:$B$21,2,FALSE)</f>
        <v>Edel</v>
      </c>
      <c r="F696" t="s">
        <v>67</v>
      </c>
      <c r="G696" s="6" t="s">
        <v>113</v>
      </c>
      <c r="H696">
        <v>34478.800000000003</v>
      </c>
      <c r="I696">
        <v>382.41199999999998</v>
      </c>
      <c r="J696">
        <v>94659.9</v>
      </c>
      <c r="K696">
        <v>18.967099999999999</v>
      </c>
      <c r="L696">
        <v>54.455599999999997</v>
      </c>
      <c r="M696">
        <v>1206.52</v>
      </c>
      <c r="N696">
        <v>481.58699999999999</v>
      </c>
      <c r="O696">
        <v>15729800</v>
      </c>
      <c r="P696">
        <v>8.2972400000000002E-2</v>
      </c>
      <c r="Q696">
        <v>0.92746600000000001</v>
      </c>
      <c r="R696">
        <v>22.7211</v>
      </c>
      <c r="S696">
        <v>50.526600000000002</v>
      </c>
      <c r="T696">
        <v>20.5139</v>
      </c>
      <c r="U696">
        <v>5.1755800000000001</v>
      </c>
      <c r="V696">
        <v>0.135486</v>
      </c>
      <c r="W696">
        <v>52.992800000000003</v>
      </c>
      <c r="X696">
        <v>13.1052</v>
      </c>
      <c r="Y696">
        <v>35.909999999999997</v>
      </c>
      <c r="Z696">
        <v>22.2074</v>
      </c>
      <c r="AA696">
        <v>16.283000000000001</v>
      </c>
      <c r="AB696">
        <v>5.3172199999999998</v>
      </c>
      <c r="AC696">
        <v>7.1770800000000001</v>
      </c>
      <c r="AD696">
        <v>1.9203699999999999</v>
      </c>
      <c r="AE696">
        <v>14.8049</v>
      </c>
      <c r="AF696">
        <v>0</v>
      </c>
      <c r="AG696">
        <v>88.377700000000004</v>
      </c>
      <c r="AH696">
        <v>11.566800000000001</v>
      </c>
      <c r="AI696">
        <v>5.5426200000000002E-2</v>
      </c>
      <c r="AJ696">
        <v>0</v>
      </c>
      <c r="AK696">
        <v>0</v>
      </c>
      <c r="AL696">
        <v>0.15124199999999999</v>
      </c>
      <c r="AM696">
        <v>9.8437000000000001</v>
      </c>
      <c r="AN696">
        <v>51.556199999999997</v>
      </c>
      <c r="AO696">
        <v>21.7209</v>
      </c>
      <c r="AP696">
        <v>10.7416</v>
      </c>
      <c r="AQ696">
        <v>5.1891299999999996</v>
      </c>
      <c r="AR696">
        <v>0.94840400000000002</v>
      </c>
      <c r="AS696">
        <v>0.26421499999999998</v>
      </c>
      <c r="AT696">
        <v>0.69467500000000004</v>
      </c>
      <c r="AU696">
        <v>4.9477099999999998</v>
      </c>
      <c r="AV696">
        <v>25.817499999999999</v>
      </c>
      <c r="AW696">
        <v>52.488599999999998</v>
      </c>
      <c r="AX696">
        <v>13.2272</v>
      </c>
      <c r="AY696">
        <v>2.8242699999999998</v>
      </c>
      <c r="AZ696">
        <v>456.21899999999999</v>
      </c>
      <c r="BA696">
        <v>499.80099999999999</v>
      </c>
      <c r="BB696">
        <v>17954.2</v>
      </c>
      <c r="BC696">
        <v>0.30254500000000001</v>
      </c>
      <c r="BD696">
        <v>4.4340999999999998E-2</v>
      </c>
      <c r="BE696">
        <v>0.28698499999999999</v>
      </c>
      <c r="BF696">
        <v>0.94347800000000004</v>
      </c>
      <c r="BG696">
        <v>4.3675899999999999</v>
      </c>
      <c r="BH696">
        <v>20.448599999999999</v>
      </c>
      <c r="BI696">
        <v>73.909000000000006</v>
      </c>
      <c r="BJ696">
        <v>31.1067</v>
      </c>
      <c r="BK696">
        <v>0</v>
      </c>
      <c r="BL696">
        <v>34.9604</v>
      </c>
      <c r="BM696">
        <v>56.294600000000003</v>
      </c>
      <c r="BN696">
        <v>7.1894</v>
      </c>
      <c r="BO696">
        <v>1.1984399999999999</v>
      </c>
      <c r="BP696">
        <v>0.35719099999999998</v>
      </c>
      <c r="BQ696">
        <v>31.404299999999999</v>
      </c>
      <c r="BR696">
        <v>81189</v>
      </c>
    </row>
    <row r="697" spans="1:70" x14ac:dyDescent="0.25">
      <c r="A697">
        <v>49</v>
      </c>
      <c r="B697" s="7">
        <v>46024.564953703702</v>
      </c>
      <c r="C697" t="s">
        <v>186</v>
      </c>
      <c r="D697" s="6" t="s">
        <v>390</v>
      </c>
      <c r="E697" s="6" t="str">
        <f>VLOOKUP(F697,Germplasm!$A$1:$B$21,2,FALSE)</f>
        <v>Edel</v>
      </c>
      <c r="F697" t="s">
        <v>67</v>
      </c>
      <c r="G697" s="6" t="s">
        <v>113</v>
      </c>
      <c r="H697">
        <v>28764.2</v>
      </c>
      <c r="I697">
        <v>365.495</v>
      </c>
      <c r="J697">
        <v>149496</v>
      </c>
      <c r="K697">
        <v>9.6348900000000004</v>
      </c>
      <c r="L697">
        <v>54.931199999999997</v>
      </c>
      <c r="M697">
        <v>1543</v>
      </c>
      <c r="N697">
        <v>588.03099999999995</v>
      </c>
      <c r="O697">
        <v>11333800</v>
      </c>
      <c r="P697">
        <v>-1.5218600000000001E-3</v>
      </c>
      <c r="Q697">
        <v>0.722298</v>
      </c>
      <c r="R697">
        <v>47.525500000000001</v>
      </c>
      <c r="S697">
        <v>50.700200000000002</v>
      </c>
      <c r="T697">
        <v>0.93133900000000003</v>
      </c>
      <c r="U697">
        <v>0.113868</v>
      </c>
      <c r="V697">
        <v>6.7980999999999996E-3</v>
      </c>
      <c r="W697">
        <v>31.7926</v>
      </c>
      <c r="X697">
        <v>28.023499999999999</v>
      </c>
      <c r="Y697">
        <v>54.352499999999999</v>
      </c>
      <c r="Z697">
        <v>7.5798800000000002</v>
      </c>
      <c r="AA697">
        <v>2.0037400000000001</v>
      </c>
      <c r="AB697">
        <v>0.81747099999999995</v>
      </c>
      <c r="AC697">
        <v>7.2229799999999997</v>
      </c>
      <c r="AD697">
        <v>1.9970000000000001</v>
      </c>
      <c r="AE697">
        <v>21.595300000000002</v>
      </c>
      <c r="AF697">
        <v>0</v>
      </c>
      <c r="AG697">
        <v>66.726699999999994</v>
      </c>
      <c r="AH697">
        <v>32.8977</v>
      </c>
      <c r="AI697">
        <v>0.37559500000000001</v>
      </c>
      <c r="AJ697">
        <v>0</v>
      </c>
      <c r="AK697">
        <v>0</v>
      </c>
      <c r="AL697">
        <v>4.9687299999999997E-2</v>
      </c>
      <c r="AM697">
        <v>24.665199999999999</v>
      </c>
      <c r="AN697">
        <v>63.6404</v>
      </c>
      <c r="AO697">
        <v>9.4102599999999992</v>
      </c>
      <c r="AP697">
        <v>1.8847700000000001</v>
      </c>
      <c r="AQ697">
        <v>0.35350100000000001</v>
      </c>
      <c r="AR697">
        <v>4.58871E-2</v>
      </c>
      <c r="AS697">
        <v>0.22617899999999999</v>
      </c>
      <c r="AT697">
        <v>0.55914299999999995</v>
      </c>
      <c r="AU697">
        <v>3.4500299999999999</v>
      </c>
      <c r="AV697">
        <v>38.968400000000003</v>
      </c>
      <c r="AW697">
        <v>49.167200000000001</v>
      </c>
      <c r="AX697">
        <v>5.74099</v>
      </c>
      <c r="AY697">
        <v>2.1142099999999999</v>
      </c>
      <c r="AZ697">
        <v>394.02300000000002</v>
      </c>
      <c r="BA697">
        <v>398.4</v>
      </c>
      <c r="BB697">
        <v>14403.7</v>
      </c>
      <c r="BC697">
        <v>0.31384699999999999</v>
      </c>
      <c r="BD697">
        <v>0.113868</v>
      </c>
      <c r="BE697">
        <v>0.46906900000000001</v>
      </c>
      <c r="BF697">
        <v>0.80387500000000001</v>
      </c>
      <c r="BG697">
        <v>2.6223700000000001</v>
      </c>
      <c r="BH697">
        <v>13.8375</v>
      </c>
      <c r="BI697">
        <v>82.153300000000002</v>
      </c>
      <c r="BJ697">
        <v>23.882899999999999</v>
      </c>
      <c r="BK697">
        <v>0</v>
      </c>
      <c r="BL697">
        <v>61.650199999999998</v>
      </c>
      <c r="BM697">
        <v>34.556399999999996</v>
      </c>
      <c r="BN697">
        <v>2.7175400000000001</v>
      </c>
      <c r="BO697">
        <v>0.84126400000000001</v>
      </c>
      <c r="BP697">
        <v>0.23453399999999999</v>
      </c>
      <c r="BQ697">
        <v>30.0642</v>
      </c>
      <c r="BR697">
        <v>58840</v>
      </c>
    </row>
    <row r="698" spans="1:70" x14ac:dyDescent="0.25">
      <c r="A698">
        <v>49</v>
      </c>
      <c r="B698" s="7">
        <v>45952.578645833331</v>
      </c>
      <c r="C698" t="s">
        <v>189</v>
      </c>
      <c r="D698" s="6" t="s">
        <v>381</v>
      </c>
      <c r="E698" s="6" t="str">
        <f>VLOOKUP(F698,Germplasm!$A$1:$B$21,2,FALSE)</f>
        <v>Annika</v>
      </c>
      <c r="F698" t="s">
        <v>66</v>
      </c>
      <c r="G698" s="6" t="s">
        <v>113</v>
      </c>
      <c r="H698">
        <v>14619.4</v>
      </c>
      <c r="I698">
        <v>266.18</v>
      </c>
      <c r="J698">
        <v>46302.1</v>
      </c>
      <c r="K698">
        <v>16.927800000000001</v>
      </c>
      <c r="L698">
        <v>68.891199999999998</v>
      </c>
      <c r="M698">
        <v>840.86599999999999</v>
      </c>
      <c r="N698">
        <v>316.38200000000001</v>
      </c>
      <c r="O698">
        <v>4347620</v>
      </c>
      <c r="P698">
        <v>0.211452</v>
      </c>
      <c r="Q698">
        <v>0.69456499999999999</v>
      </c>
      <c r="R698">
        <v>4.3722899999999996</v>
      </c>
      <c r="S698">
        <v>22.052399999999999</v>
      </c>
      <c r="T698">
        <v>50.421900000000001</v>
      </c>
      <c r="U698">
        <v>22.177499999999998</v>
      </c>
      <c r="V698">
        <v>0.28129900000000002</v>
      </c>
      <c r="W698">
        <v>120.593</v>
      </c>
      <c r="X698">
        <v>0.93766300000000002</v>
      </c>
      <c r="Y698">
        <v>1.8892199999999999</v>
      </c>
      <c r="Z698">
        <v>3.7332900000000002</v>
      </c>
      <c r="AA698">
        <v>15.9298</v>
      </c>
      <c r="AB698">
        <v>34.5199</v>
      </c>
      <c r="AC698">
        <v>42.990099999999998</v>
      </c>
      <c r="AD698">
        <v>1.86521</v>
      </c>
      <c r="AE698">
        <v>7.1245599999999998</v>
      </c>
      <c r="AF698">
        <v>0</v>
      </c>
      <c r="AG698">
        <v>99.708299999999994</v>
      </c>
      <c r="AH698">
        <v>0.25004300000000002</v>
      </c>
      <c r="AI698">
        <v>4.16739E-2</v>
      </c>
      <c r="AJ698">
        <v>0</v>
      </c>
      <c r="AK698">
        <v>0</v>
      </c>
      <c r="AL698">
        <v>0.50146999999999997</v>
      </c>
      <c r="AM698">
        <v>0.46188600000000002</v>
      </c>
      <c r="AN698">
        <v>2.23997</v>
      </c>
      <c r="AO698">
        <v>5.2057599999999997</v>
      </c>
      <c r="AP698">
        <v>20.104199999999999</v>
      </c>
      <c r="AQ698">
        <v>49.963500000000003</v>
      </c>
      <c r="AR698">
        <v>22.024699999999999</v>
      </c>
      <c r="AS698">
        <v>1.6332900000000001E-2</v>
      </c>
      <c r="AT698">
        <v>9.18215</v>
      </c>
      <c r="AU698">
        <v>38.923400000000001</v>
      </c>
      <c r="AV698">
        <v>39.440899999999999</v>
      </c>
      <c r="AW698">
        <v>9.0953300000000006</v>
      </c>
      <c r="AX698">
        <v>1.8683799999999999</v>
      </c>
      <c r="AY698">
        <v>1.4898400000000001</v>
      </c>
      <c r="AZ698">
        <v>297.387</v>
      </c>
      <c r="BA698">
        <v>356.399</v>
      </c>
      <c r="BB698">
        <v>7837.92</v>
      </c>
      <c r="BC698">
        <v>-2.7610199999999999E-3</v>
      </c>
      <c r="BD698">
        <v>6.9456500000000004E-2</v>
      </c>
      <c r="BE698">
        <v>0.652891</v>
      </c>
      <c r="BF698">
        <v>4.9140499999999996</v>
      </c>
      <c r="BG698">
        <v>42.469200000000001</v>
      </c>
      <c r="BH698">
        <v>47.685400000000001</v>
      </c>
      <c r="BI698">
        <v>4.20906</v>
      </c>
      <c r="BJ698">
        <v>30.010400000000001</v>
      </c>
      <c r="BK698">
        <v>0</v>
      </c>
      <c r="BL698">
        <v>37.888500000000001</v>
      </c>
      <c r="BM698">
        <v>55.085999999999999</v>
      </c>
      <c r="BN698">
        <v>5.7266899999999996</v>
      </c>
      <c r="BO698">
        <v>0.91682600000000003</v>
      </c>
      <c r="BP698">
        <v>0.38201099999999999</v>
      </c>
      <c r="BQ698">
        <v>32.404400000000003</v>
      </c>
      <c r="BR698">
        <v>28795</v>
      </c>
    </row>
    <row r="699" spans="1:70" x14ac:dyDescent="0.25">
      <c r="A699">
        <v>49</v>
      </c>
      <c r="B699" s="7">
        <v>45959.547175925924</v>
      </c>
      <c r="C699" t="s">
        <v>189</v>
      </c>
      <c r="D699" s="6" t="s">
        <v>382</v>
      </c>
      <c r="E699" s="6" t="str">
        <f>VLOOKUP(F699,Germplasm!$A$1:$B$21,2,FALSE)</f>
        <v>Annika</v>
      </c>
      <c r="F699" t="s">
        <v>66</v>
      </c>
      <c r="G699" s="6" t="s">
        <v>113</v>
      </c>
      <c r="H699">
        <v>38617.300000000003</v>
      </c>
      <c r="I699">
        <v>368.58699999999999</v>
      </c>
      <c r="J699">
        <v>142847</v>
      </c>
      <c r="K699">
        <v>15.2044</v>
      </c>
      <c r="L699">
        <v>69.606300000000005</v>
      </c>
      <c r="M699">
        <v>1462.05</v>
      </c>
      <c r="N699">
        <v>549.32000000000005</v>
      </c>
      <c r="O699">
        <v>16673900</v>
      </c>
      <c r="P699">
        <v>0.219279</v>
      </c>
      <c r="Q699">
        <v>0.83811199999999997</v>
      </c>
      <c r="R699">
        <v>4.0274799999999997</v>
      </c>
      <c r="S699">
        <v>21.797599999999999</v>
      </c>
      <c r="T699">
        <v>47.017200000000003</v>
      </c>
      <c r="U699">
        <v>25.6968</v>
      </c>
      <c r="V699">
        <v>0.62290299999999998</v>
      </c>
      <c r="W699">
        <v>124.25700000000001</v>
      </c>
      <c r="X699">
        <v>1.0733699999999999</v>
      </c>
      <c r="Y699">
        <v>1.47305</v>
      </c>
      <c r="Z699">
        <v>2.95411</v>
      </c>
      <c r="AA699">
        <v>12.3284</v>
      </c>
      <c r="AB699">
        <v>33.356099999999998</v>
      </c>
      <c r="AC699">
        <v>48.814999999999998</v>
      </c>
      <c r="AD699">
        <v>1.7780400000000001</v>
      </c>
      <c r="AE699">
        <v>6.6556499999999996</v>
      </c>
      <c r="AF699">
        <v>0</v>
      </c>
      <c r="AG699">
        <v>99.863699999999994</v>
      </c>
      <c r="AH699">
        <v>0.122977</v>
      </c>
      <c r="AI699">
        <v>1.3367E-2</v>
      </c>
      <c r="AJ699">
        <v>0</v>
      </c>
      <c r="AK699">
        <v>0</v>
      </c>
      <c r="AL699">
        <v>0.51436800000000005</v>
      </c>
      <c r="AM699">
        <v>0.59884199999999999</v>
      </c>
      <c r="AN699">
        <v>3.1519400000000002</v>
      </c>
      <c r="AO699">
        <v>6.3079000000000001</v>
      </c>
      <c r="AP699">
        <v>16.862500000000001</v>
      </c>
      <c r="AQ699">
        <v>41.368200000000002</v>
      </c>
      <c r="AR699">
        <v>31.710599999999999</v>
      </c>
      <c r="AS699">
        <v>-1.0038E-3</v>
      </c>
      <c r="AT699">
        <v>9.4264200000000002</v>
      </c>
      <c r="AU699">
        <v>45.096299999999999</v>
      </c>
      <c r="AV699">
        <v>35.173999999999999</v>
      </c>
      <c r="AW699">
        <v>7.2582899999999997</v>
      </c>
      <c r="AX699">
        <v>1.48508</v>
      </c>
      <c r="AY699">
        <v>1.55993</v>
      </c>
      <c r="AZ699">
        <v>431.77300000000002</v>
      </c>
      <c r="BA699">
        <v>474.59899999999999</v>
      </c>
      <c r="BB699">
        <v>21719</v>
      </c>
      <c r="BC699">
        <v>-1.2626399999999999E-2</v>
      </c>
      <c r="BD699">
        <v>0.14971100000000001</v>
      </c>
      <c r="BE699">
        <v>0.70176799999999995</v>
      </c>
      <c r="BF699">
        <v>3.9218799999999998</v>
      </c>
      <c r="BG699">
        <v>49.742699999999999</v>
      </c>
      <c r="BH699">
        <v>41.361600000000003</v>
      </c>
      <c r="BI699">
        <v>4.1223900000000002</v>
      </c>
      <c r="BJ699">
        <v>30.5413</v>
      </c>
      <c r="BK699">
        <v>0</v>
      </c>
      <c r="BL699">
        <v>37.620100000000001</v>
      </c>
      <c r="BM699">
        <v>54.679099999999998</v>
      </c>
      <c r="BN699">
        <v>5.7397999999999998</v>
      </c>
      <c r="BO699">
        <v>0.87821300000000002</v>
      </c>
      <c r="BP699">
        <v>1.08273</v>
      </c>
      <c r="BQ699">
        <v>34.256300000000003</v>
      </c>
      <c r="BR699">
        <v>74811</v>
      </c>
    </row>
    <row r="700" spans="1:70" x14ac:dyDescent="0.25">
      <c r="A700">
        <v>49</v>
      </c>
      <c r="B700" s="7">
        <v>45966.53398148148</v>
      </c>
      <c r="C700" t="s">
        <v>189</v>
      </c>
      <c r="D700" s="6" t="s">
        <v>383</v>
      </c>
      <c r="E700" s="6" t="str">
        <f>VLOOKUP(F700,Germplasm!$A$1:$B$21,2,FALSE)</f>
        <v>Annika</v>
      </c>
      <c r="F700" t="s">
        <v>66</v>
      </c>
      <c r="G700" s="6" t="s">
        <v>113</v>
      </c>
      <c r="H700">
        <v>0</v>
      </c>
      <c r="J700">
        <v>0</v>
      </c>
      <c r="M700">
        <v>0</v>
      </c>
      <c r="N700">
        <v>0</v>
      </c>
      <c r="O700">
        <v>0</v>
      </c>
      <c r="AZ700">
        <v>0</v>
      </c>
      <c r="BA700">
        <v>0</v>
      </c>
      <c r="BB700">
        <v>0</v>
      </c>
      <c r="BR700">
        <v>0</v>
      </c>
    </row>
    <row r="701" spans="1:70" x14ac:dyDescent="0.25">
      <c r="A701">
        <v>49</v>
      </c>
      <c r="B701" s="7">
        <v>45973.571631944447</v>
      </c>
      <c r="C701" t="s">
        <v>189</v>
      </c>
      <c r="D701" s="6" t="s">
        <v>384</v>
      </c>
      <c r="E701" s="6" t="str">
        <f>VLOOKUP(F701,Germplasm!$A$1:$B$21,2,FALSE)</f>
        <v>Annika</v>
      </c>
      <c r="F701" t="s">
        <v>66</v>
      </c>
      <c r="G701" s="6" t="s">
        <v>113</v>
      </c>
      <c r="H701">
        <v>35260.400000000001</v>
      </c>
      <c r="I701">
        <v>463.83699999999999</v>
      </c>
      <c r="J701">
        <v>132373</v>
      </c>
      <c r="K701">
        <v>17.072199999999999</v>
      </c>
      <c r="L701">
        <v>79.704599999999999</v>
      </c>
      <c r="M701">
        <v>1364.98</v>
      </c>
      <c r="N701">
        <v>478.68799999999999</v>
      </c>
      <c r="O701">
        <v>19868800</v>
      </c>
      <c r="P701">
        <v>0.24776899999999999</v>
      </c>
      <c r="Q701">
        <v>0.65164299999999997</v>
      </c>
      <c r="R701">
        <v>3.64846</v>
      </c>
      <c r="S701">
        <v>17.979700000000001</v>
      </c>
      <c r="T701">
        <v>41.459899999999998</v>
      </c>
      <c r="U701">
        <v>35.389400000000002</v>
      </c>
      <c r="V701">
        <v>0.870923</v>
      </c>
      <c r="W701">
        <v>117.139</v>
      </c>
      <c r="X701">
        <v>0.97250999999999999</v>
      </c>
      <c r="Y701">
        <v>1.71831</v>
      </c>
      <c r="Z701">
        <v>3.8479199999999998</v>
      </c>
      <c r="AA701">
        <v>16.572299999999998</v>
      </c>
      <c r="AB701">
        <v>39.7044</v>
      </c>
      <c r="AC701">
        <v>37.184600000000003</v>
      </c>
      <c r="AD701">
        <v>1.56027</v>
      </c>
      <c r="AE701">
        <v>6.5084499999999998</v>
      </c>
      <c r="AF701">
        <v>0</v>
      </c>
      <c r="AG701">
        <v>99.974000000000004</v>
      </c>
      <c r="AH701">
        <v>2.4777299999999999E-2</v>
      </c>
      <c r="AI701">
        <v>1.23887E-3</v>
      </c>
      <c r="AJ701">
        <v>0</v>
      </c>
      <c r="AK701">
        <v>0</v>
      </c>
      <c r="AL701">
        <v>0.52241099999999996</v>
      </c>
      <c r="AM701">
        <v>0.42988599999999999</v>
      </c>
      <c r="AN701">
        <v>2.5842700000000001</v>
      </c>
      <c r="AO701">
        <v>6.3690100000000003</v>
      </c>
      <c r="AP701">
        <v>15.912000000000001</v>
      </c>
      <c r="AQ701">
        <v>40.612499999999997</v>
      </c>
      <c r="AR701">
        <v>34.092300000000002</v>
      </c>
      <c r="AS701">
        <v>4.70321E-2</v>
      </c>
      <c r="AT701">
        <v>6.4507700000000003</v>
      </c>
      <c r="AU701">
        <v>36.804200000000002</v>
      </c>
      <c r="AV701">
        <v>39.296799999999998</v>
      </c>
      <c r="AW701">
        <v>12.6439</v>
      </c>
      <c r="AX701">
        <v>2.8952300000000002</v>
      </c>
      <c r="AY701">
        <v>1.90909</v>
      </c>
      <c r="AZ701">
        <v>563.48599999999999</v>
      </c>
      <c r="BA701">
        <v>638.4</v>
      </c>
      <c r="BB701">
        <v>22599</v>
      </c>
      <c r="BC701">
        <v>1.51641E-2</v>
      </c>
      <c r="BD701">
        <v>4.7076899999999998E-2</v>
      </c>
      <c r="BE701">
        <v>0.35927100000000001</v>
      </c>
      <c r="BF701">
        <v>3.0377000000000001</v>
      </c>
      <c r="BG701">
        <v>39.810899999999997</v>
      </c>
      <c r="BH701">
        <v>51.336100000000002</v>
      </c>
      <c r="BI701">
        <v>5.4088900000000004</v>
      </c>
      <c r="BJ701">
        <v>33.442999999999998</v>
      </c>
      <c r="BK701">
        <v>0</v>
      </c>
      <c r="BL701">
        <v>30.6248</v>
      </c>
      <c r="BM701">
        <v>57.131500000000003</v>
      </c>
      <c r="BN701">
        <v>10.180999999999999</v>
      </c>
      <c r="BO701">
        <v>1.29461</v>
      </c>
      <c r="BP701">
        <v>0.76809700000000003</v>
      </c>
      <c r="BQ701">
        <v>39.903100000000002</v>
      </c>
      <c r="BR701">
        <v>80719</v>
      </c>
    </row>
    <row r="702" spans="1:70" x14ac:dyDescent="0.25">
      <c r="A702">
        <v>49</v>
      </c>
      <c r="B702" s="7">
        <v>45988.586226851854</v>
      </c>
      <c r="C702" t="s">
        <v>189</v>
      </c>
      <c r="D702" s="6" t="s">
        <v>385</v>
      </c>
      <c r="E702" s="6" t="str">
        <f>VLOOKUP(F702,Germplasm!$A$1:$B$21,2,FALSE)</f>
        <v>Annika</v>
      </c>
      <c r="F702" t="s">
        <v>66</v>
      </c>
      <c r="G702" s="6" t="s">
        <v>113</v>
      </c>
      <c r="H702">
        <v>63312.4</v>
      </c>
      <c r="I702">
        <v>456.00799999999998</v>
      </c>
      <c r="J702">
        <v>164386</v>
      </c>
      <c r="K702">
        <v>22.110299999999999</v>
      </c>
      <c r="L702">
        <v>90.590900000000005</v>
      </c>
      <c r="M702">
        <v>1604.83</v>
      </c>
      <c r="N702">
        <v>548.29399999999998</v>
      </c>
      <c r="O702">
        <v>38652500</v>
      </c>
      <c r="P702">
        <v>0.231596</v>
      </c>
      <c r="Q702">
        <v>0.623672</v>
      </c>
      <c r="R702">
        <v>5.3269500000000001</v>
      </c>
      <c r="S702">
        <v>18.759399999999999</v>
      </c>
      <c r="T702">
        <v>42.607500000000002</v>
      </c>
      <c r="U702">
        <v>32.055799999999998</v>
      </c>
      <c r="V702">
        <v>0.62661299999999998</v>
      </c>
      <c r="W702">
        <v>103.411</v>
      </c>
      <c r="X702">
        <v>2.73665</v>
      </c>
      <c r="Y702">
        <v>5.3026799999999996</v>
      </c>
      <c r="Z702">
        <v>6.02637</v>
      </c>
      <c r="AA702">
        <v>24.9299</v>
      </c>
      <c r="AB702">
        <v>39.945099999999996</v>
      </c>
      <c r="AC702">
        <v>21.059200000000001</v>
      </c>
      <c r="AD702">
        <v>1.7419199999999999</v>
      </c>
      <c r="AE702">
        <v>7.6009200000000003</v>
      </c>
      <c r="AF702">
        <v>0</v>
      </c>
      <c r="AG702">
        <v>99.427800000000005</v>
      </c>
      <c r="AH702">
        <v>0.57218899999999995</v>
      </c>
      <c r="AI702">
        <v>0</v>
      </c>
      <c r="AJ702">
        <v>0</v>
      </c>
      <c r="AK702">
        <v>0</v>
      </c>
      <c r="AL702">
        <v>0.44543100000000002</v>
      </c>
      <c r="AM702">
        <v>1.6025700000000001</v>
      </c>
      <c r="AN702">
        <v>8.1150800000000007</v>
      </c>
      <c r="AO702">
        <v>11.186400000000001</v>
      </c>
      <c r="AP702">
        <v>20.473800000000001</v>
      </c>
      <c r="AQ702">
        <v>39.216999999999999</v>
      </c>
      <c r="AR702">
        <v>19.405200000000001</v>
      </c>
      <c r="AS702">
        <v>0.12346600000000001</v>
      </c>
      <c r="AT702">
        <v>2.1203400000000001</v>
      </c>
      <c r="AU702">
        <v>23.145700000000001</v>
      </c>
      <c r="AV702">
        <v>44.813200000000002</v>
      </c>
      <c r="AW702">
        <v>22.780899999999999</v>
      </c>
      <c r="AX702">
        <v>4.9496599999999997</v>
      </c>
      <c r="AY702">
        <v>2.19021</v>
      </c>
      <c r="AZ702">
        <v>610.50400000000002</v>
      </c>
      <c r="BA702">
        <v>697.79899999999998</v>
      </c>
      <c r="BB702">
        <v>36346.300000000003</v>
      </c>
      <c r="BC702">
        <v>8.3255200000000001E-2</v>
      </c>
      <c r="BD702">
        <v>6.0307899999999998E-2</v>
      </c>
      <c r="BE702">
        <v>0.30668800000000002</v>
      </c>
      <c r="BF702">
        <v>1.2745599999999999</v>
      </c>
      <c r="BG702">
        <v>23.623000000000001</v>
      </c>
      <c r="BH702">
        <v>58.340499999999999</v>
      </c>
      <c r="BI702">
        <v>16.3949</v>
      </c>
      <c r="BJ702">
        <v>33.799500000000002</v>
      </c>
      <c r="BK702">
        <v>0</v>
      </c>
      <c r="BL702">
        <v>28.5352</v>
      </c>
      <c r="BM702">
        <v>59.4739</v>
      </c>
      <c r="BN702">
        <v>9.9456500000000005</v>
      </c>
      <c r="BO702">
        <v>1.19807</v>
      </c>
      <c r="BP702">
        <v>0.84725200000000001</v>
      </c>
      <c r="BQ702">
        <v>35.081899999999997</v>
      </c>
      <c r="BR702">
        <v>135969</v>
      </c>
    </row>
    <row r="703" spans="1:70" x14ac:dyDescent="0.25">
      <c r="A703">
        <v>49</v>
      </c>
      <c r="B703" s="7">
        <v>45994.562974537039</v>
      </c>
      <c r="C703" t="s">
        <v>189</v>
      </c>
      <c r="D703" s="6" t="s">
        <v>386</v>
      </c>
      <c r="E703" s="6" t="str">
        <f>VLOOKUP(F703,Germplasm!$A$1:$B$21,2,FALSE)</f>
        <v>Annika</v>
      </c>
      <c r="F703" t="s">
        <v>66</v>
      </c>
      <c r="G703" s="6" t="s">
        <v>113</v>
      </c>
      <c r="H703">
        <v>64084.3</v>
      </c>
      <c r="I703">
        <v>477.74599999999998</v>
      </c>
      <c r="J703">
        <v>147427</v>
      </c>
      <c r="K703">
        <v>24.97</v>
      </c>
      <c r="L703">
        <v>84.107699999999994</v>
      </c>
      <c r="M703">
        <v>1557.26</v>
      </c>
      <c r="N703">
        <v>560.10900000000004</v>
      </c>
      <c r="O703">
        <v>40213800</v>
      </c>
      <c r="P703">
        <v>0.21552399999999999</v>
      </c>
      <c r="Q703">
        <v>0.37506099999999998</v>
      </c>
      <c r="R703">
        <v>5.3828500000000004</v>
      </c>
      <c r="S703">
        <v>21.1037</v>
      </c>
      <c r="T703">
        <v>48.411799999999999</v>
      </c>
      <c r="U703">
        <v>24.296800000000001</v>
      </c>
      <c r="V703">
        <v>0.42987799999999998</v>
      </c>
      <c r="W703">
        <v>90.521900000000002</v>
      </c>
      <c r="X703">
        <v>2.6384099999999999</v>
      </c>
      <c r="Y703">
        <v>8.7172900000000002</v>
      </c>
      <c r="Z703">
        <v>15.8759</v>
      </c>
      <c r="AA703">
        <v>30.563199999999998</v>
      </c>
      <c r="AB703">
        <v>30.0107</v>
      </c>
      <c r="AC703">
        <v>12.1945</v>
      </c>
      <c r="AD703">
        <v>1.7408300000000001</v>
      </c>
      <c r="AE703">
        <v>9.25061</v>
      </c>
      <c r="AF703">
        <v>0</v>
      </c>
      <c r="AG703">
        <v>98.515600000000006</v>
      </c>
      <c r="AH703">
        <v>1.48438</v>
      </c>
      <c r="AI703">
        <v>0</v>
      </c>
      <c r="AJ703">
        <v>0</v>
      </c>
      <c r="AK703">
        <v>0</v>
      </c>
      <c r="AL703">
        <v>0.360846</v>
      </c>
      <c r="AM703">
        <v>2.8598400000000002</v>
      </c>
      <c r="AN703">
        <v>14.9693</v>
      </c>
      <c r="AO703">
        <v>18.8338</v>
      </c>
      <c r="AP703">
        <v>25.5655</v>
      </c>
      <c r="AQ703">
        <v>27.851199999999999</v>
      </c>
      <c r="AR703">
        <v>9.9203700000000001</v>
      </c>
      <c r="AS703">
        <v>0.20086999999999999</v>
      </c>
      <c r="AT703">
        <v>0.87706600000000001</v>
      </c>
      <c r="AU703">
        <v>13.42</v>
      </c>
      <c r="AV703">
        <v>40.229700000000001</v>
      </c>
      <c r="AW703">
        <v>28.310600000000001</v>
      </c>
      <c r="AX703">
        <v>14.5618</v>
      </c>
      <c r="AY703">
        <v>2.6009099999999998</v>
      </c>
      <c r="AZ703">
        <v>627.51499999999999</v>
      </c>
      <c r="BA703">
        <v>684</v>
      </c>
      <c r="BB703">
        <v>36812.400000000001</v>
      </c>
      <c r="BC703">
        <v>0.16774700000000001</v>
      </c>
      <c r="BD703">
        <v>2.8129600000000001E-2</v>
      </c>
      <c r="BE703">
        <v>0.139205</v>
      </c>
      <c r="BF703">
        <v>0.71982900000000005</v>
      </c>
      <c r="BG703">
        <v>13.4099</v>
      </c>
      <c r="BH703">
        <v>50.155099999999997</v>
      </c>
      <c r="BI703">
        <v>35.547899999999998</v>
      </c>
      <c r="BJ703">
        <v>35.527000000000001</v>
      </c>
      <c r="BK703">
        <v>0</v>
      </c>
      <c r="BL703">
        <v>24.8644</v>
      </c>
      <c r="BM703">
        <v>59.144300000000001</v>
      </c>
      <c r="BN703">
        <v>14.4024</v>
      </c>
      <c r="BO703">
        <v>1.10643</v>
      </c>
      <c r="BP703">
        <v>0.48253099999999999</v>
      </c>
      <c r="BQ703">
        <v>35.107799999999997</v>
      </c>
      <c r="BR703">
        <v>138644</v>
      </c>
    </row>
    <row r="704" spans="1:70" x14ac:dyDescent="0.25">
      <c r="A704">
        <v>49</v>
      </c>
      <c r="B704" s="7">
        <v>45994.563750000001</v>
      </c>
      <c r="C704" t="s">
        <v>189</v>
      </c>
      <c r="D704" s="6" t="s">
        <v>387</v>
      </c>
      <c r="E704" s="6" t="str">
        <f>VLOOKUP(F704,Germplasm!$A$1:$B$21,2,FALSE)</f>
        <v>Annika</v>
      </c>
      <c r="F704" t="s">
        <v>66</v>
      </c>
      <c r="G704" s="6" t="s">
        <v>113</v>
      </c>
      <c r="H704">
        <v>64578.400000000001</v>
      </c>
      <c r="I704">
        <v>476.70400000000001</v>
      </c>
      <c r="J704">
        <v>147603</v>
      </c>
      <c r="K704">
        <v>25.077400000000001</v>
      </c>
      <c r="L704">
        <v>84.032899999999998</v>
      </c>
      <c r="M704">
        <v>1557.64</v>
      </c>
      <c r="N704">
        <v>560.25699999999995</v>
      </c>
      <c r="O704">
        <v>40480100</v>
      </c>
      <c r="P704">
        <v>0.21548200000000001</v>
      </c>
      <c r="Q704">
        <v>0.44004900000000002</v>
      </c>
      <c r="R704">
        <v>5.2411700000000003</v>
      </c>
      <c r="S704">
        <v>21.104399999999998</v>
      </c>
      <c r="T704">
        <v>48.320799999999998</v>
      </c>
      <c r="U704">
        <v>24.427700000000002</v>
      </c>
      <c r="V704">
        <v>0.46584999999999999</v>
      </c>
      <c r="W704">
        <v>90.622299999999996</v>
      </c>
      <c r="X704">
        <v>2.5972900000000001</v>
      </c>
      <c r="Y704">
        <v>8.6913199999999993</v>
      </c>
      <c r="Z704">
        <v>15.887600000000001</v>
      </c>
      <c r="AA704">
        <v>30.586300000000001</v>
      </c>
      <c r="AB704">
        <v>30.002099999999999</v>
      </c>
      <c r="AC704">
        <v>12.2354</v>
      </c>
      <c r="AD704">
        <v>1.74465</v>
      </c>
      <c r="AE704">
        <v>9.2451399999999992</v>
      </c>
      <c r="AF704">
        <v>0</v>
      </c>
      <c r="AG704">
        <v>98.526499999999999</v>
      </c>
      <c r="AH704">
        <v>1.47065</v>
      </c>
      <c r="AI704">
        <v>2.8667699999999998E-3</v>
      </c>
      <c r="AJ704">
        <v>0</v>
      </c>
      <c r="AK704">
        <v>0</v>
      </c>
      <c r="AL704">
        <v>0.36107600000000001</v>
      </c>
      <c r="AM704">
        <v>2.9176500000000001</v>
      </c>
      <c r="AN704">
        <v>14.9344</v>
      </c>
      <c r="AO704">
        <v>18.842500000000001</v>
      </c>
      <c r="AP704">
        <v>25.358699999999999</v>
      </c>
      <c r="AQ704">
        <v>28.034800000000001</v>
      </c>
      <c r="AR704">
        <v>9.9118499999999994</v>
      </c>
      <c r="AS704">
        <v>0.200319</v>
      </c>
      <c r="AT704">
        <v>0.96609999999999996</v>
      </c>
      <c r="AU704">
        <v>13.5139</v>
      </c>
      <c r="AV704">
        <v>39.914700000000003</v>
      </c>
      <c r="AW704">
        <v>28.467700000000001</v>
      </c>
      <c r="AX704">
        <v>14.571099999999999</v>
      </c>
      <c r="AY704">
        <v>2.5664699999999998</v>
      </c>
      <c r="AZ704">
        <v>626.83600000000001</v>
      </c>
      <c r="BA704">
        <v>683.399</v>
      </c>
      <c r="BB704">
        <v>37015.1</v>
      </c>
      <c r="BC704">
        <v>0.166986</v>
      </c>
      <c r="BD704">
        <v>4.4434899999999999E-2</v>
      </c>
      <c r="BE704">
        <v>0.15552199999999999</v>
      </c>
      <c r="BF704">
        <v>0.77617700000000001</v>
      </c>
      <c r="BG704">
        <v>13.5039</v>
      </c>
      <c r="BH704">
        <v>50.118299999999998</v>
      </c>
      <c r="BI704">
        <v>35.401699999999998</v>
      </c>
      <c r="BJ704">
        <v>35.579599999999999</v>
      </c>
      <c r="BK704">
        <v>0</v>
      </c>
      <c r="BL704">
        <v>24.832699999999999</v>
      </c>
      <c r="BM704">
        <v>59.036000000000001</v>
      </c>
      <c r="BN704">
        <v>14.530200000000001</v>
      </c>
      <c r="BO704">
        <v>1.0893699999999999</v>
      </c>
      <c r="BP704">
        <v>0.51171800000000001</v>
      </c>
      <c r="BQ704">
        <v>35.019599999999997</v>
      </c>
      <c r="BR704">
        <v>139530</v>
      </c>
    </row>
    <row r="705" spans="1:70" x14ac:dyDescent="0.25">
      <c r="A705">
        <v>49</v>
      </c>
      <c r="B705" s="7">
        <v>46002.589097222219</v>
      </c>
      <c r="C705" t="s">
        <v>189</v>
      </c>
      <c r="D705" s="6" t="s">
        <v>388</v>
      </c>
      <c r="E705" s="6" t="str">
        <f>VLOOKUP(F705,Germplasm!$A$1:$B$21,2,FALSE)</f>
        <v>Annika</v>
      </c>
      <c r="F705" t="s">
        <v>66</v>
      </c>
      <c r="G705" s="6" t="s">
        <v>113</v>
      </c>
      <c r="H705">
        <v>38144.6</v>
      </c>
      <c r="I705">
        <v>493.14699999999999</v>
      </c>
      <c r="J705">
        <v>122388</v>
      </c>
      <c r="K705">
        <v>16.6812</v>
      </c>
      <c r="L705">
        <v>65.777000000000001</v>
      </c>
      <c r="M705">
        <v>1392.04</v>
      </c>
      <c r="N705">
        <v>532.18499999999995</v>
      </c>
      <c r="O705">
        <v>24215200</v>
      </c>
      <c r="P705">
        <v>0.138797</v>
      </c>
      <c r="Q705">
        <v>0.66977799999999998</v>
      </c>
      <c r="R705">
        <v>12.7456</v>
      </c>
      <c r="S705">
        <v>42.499400000000001</v>
      </c>
      <c r="T705">
        <v>32.030299999999997</v>
      </c>
      <c r="U705">
        <v>11.6394</v>
      </c>
      <c r="V705">
        <v>0.41540300000000002</v>
      </c>
      <c r="W705">
        <v>69.813000000000002</v>
      </c>
      <c r="X705">
        <v>6.5565899999999999</v>
      </c>
      <c r="Y705">
        <v>28.431699999999999</v>
      </c>
      <c r="Z705">
        <v>15.319699999999999</v>
      </c>
      <c r="AA705">
        <v>24.590399999999999</v>
      </c>
      <c r="AB705">
        <v>16.5029</v>
      </c>
      <c r="AC705">
        <v>8.5985999999999994</v>
      </c>
      <c r="AD705">
        <v>1.86839</v>
      </c>
      <c r="AE705">
        <v>11.6639</v>
      </c>
      <c r="AF705">
        <v>0</v>
      </c>
      <c r="AG705">
        <v>93.305700000000002</v>
      </c>
      <c r="AH705">
        <v>6.6616099999999996</v>
      </c>
      <c r="AI705">
        <v>3.2672100000000003E-2</v>
      </c>
      <c r="AJ705">
        <v>0</v>
      </c>
      <c r="AK705">
        <v>0</v>
      </c>
      <c r="AL705">
        <v>0.243122</v>
      </c>
      <c r="AM705">
        <v>8.1995299999999993</v>
      </c>
      <c r="AN705">
        <v>32.2742</v>
      </c>
      <c r="AO705">
        <v>20.320900000000002</v>
      </c>
      <c r="AP705">
        <v>20.450399999999998</v>
      </c>
      <c r="AQ705">
        <v>14.493600000000001</v>
      </c>
      <c r="AR705">
        <v>4.2613799999999999</v>
      </c>
      <c r="AS705">
        <v>0.23984800000000001</v>
      </c>
      <c r="AT705">
        <v>0.65227500000000005</v>
      </c>
      <c r="AU705">
        <v>7.7502899999999997</v>
      </c>
      <c r="AV705">
        <v>34.359400000000001</v>
      </c>
      <c r="AW705">
        <v>39.088700000000003</v>
      </c>
      <c r="AX705">
        <v>15.1097</v>
      </c>
      <c r="AY705">
        <v>3.0396700000000001</v>
      </c>
      <c r="AZ705">
        <v>634.82500000000005</v>
      </c>
      <c r="BA705">
        <v>682.19899999999996</v>
      </c>
      <c r="BB705">
        <v>20415.8</v>
      </c>
      <c r="BC705">
        <v>0.248338</v>
      </c>
      <c r="BD705">
        <v>1.86698E-2</v>
      </c>
      <c r="BE705">
        <v>0.14119000000000001</v>
      </c>
      <c r="BF705">
        <v>0.633606</v>
      </c>
      <c r="BG705">
        <v>7.6090999999999998</v>
      </c>
      <c r="BH705">
        <v>39.289400000000001</v>
      </c>
      <c r="BI705">
        <v>52.308100000000003</v>
      </c>
      <c r="BJ705">
        <v>33.148000000000003</v>
      </c>
      <c r="BK705">
        <v>0</v>
      </c>
      <c r="BL705">
        <v>31.0642</v>
      </c>
      <c r="BM705">
        <v>56.7258</v>
      </c>
      <c r="BN705">
        <v>10.5321</v>
      </c>
      <c r="BO705">
        <v>1.1703600000000001</v>
      </c>
      <c r="BP705">
        <v>0.50758499999999995</v>
      </c>
      <c r="BQ705">
        <v>32.387099999999997</v>
      </c>
      <c r="BR705">
        <v>85700</v>
      </c>
    </row>
    <row r="706" spans="1:70" x14ac:dyDescent="0.25">
      <c r="A706">
        <v>49</v>
      </c>
      <c r="B706" s="7">
        <v>46013.568240740744</v>
      </c>
      <c r="C706" t="s">
        <v>189</v>
      </c>
      <c r="D706" s="6" t="s">
        <v>389</v>
      </c>
      <c r="E706" s="6" t="str">
        <f>VLOOKUP(F706,Germplasm!$A$1:$B$21,2,FALSE)</f>
        <v>Annika</v>
      </c>
      <c r="F706" t="s">
        <v>66</v>
      </c>
      <c r="G706" s="6" t="s">
        <v>113</v>
      </c>
      <c r="H706">
        <v>42695.5</v>
      </c>
      <c r="I706">
        <v>523.09900000000005</v>
      </c>
      <c r="J706">
        <v>108679</v>
      </c>
      <c r="K706">
        <v>21.255099999999999</v>
      </c>
      <c r="L706">
        <v>73.863</v>
      </c>
      <c r="M706">
        <v>1278.57</v>
      </c>
      <c r="N706">
        <v>469.55500000000001</v>
      </c>
      <c r="O706">
        <v>26510000</v>
      </c>
      <c r="P706">
        <v>0.105812</v>
      </c>
      <c r="Q706">
        <v>0.94381899999999996</v>
      </c>
      <c r="R706">
        <v>15.458500000000001</v>
      </c>
      <c r="S706">
        <v>51.504800000000003</v>
      </c>
      <c r="T706">
        <v>23.3674</v>
      </c>
      <c r="U706">
        <v>8.54833</v>
      </c>
      <c r="V706">
        <v>0.17715700000000001</v>
      </c>
      <c r="W706">
        <v>59.107300000000002</v>
      </c>
      <c r="X706">
        <v>7.8366499999999997</v>
      </c>
      <c r="Y706">
        <v>37.931899999999999</v>
      </c>
      <c r="Z706">
        <v>18.435500000000001</v>
      </c>
      <c r="AA706">
        <v>20.160299999999999</v>
      </c>
      <c r="AB706">
        <v>8.2846299999999999</v>
      </c>
      <c r="AC706">
        <v>7.3509900000000004</v>
      </c>
      <c r="AD706">
        <v>1.8483000000000001</v>
      </c>
      <c r="AE706">
        <v>14.0158</v>
      </c>
      <c r="AF706">
        <v>0</v>
      </c>
      <c r="AG706">
        <v>87.484999999999999</v>
      </c>
      <c r="AH706">
        <v>12.463100000000001</v>
      </c>
      <c r="AI706">
        <v>5.1925300000000001E-2</v>
      </c>
      <c r="AJ706">
        <v>0</v>
      </c>
      <c r="AK706">
        <v>0</v>
      </c>
      <c r="AL706">
        <v>0.180696</v>
      </c>
      <c r="AM706">
        <v>10.279199999999999</v>
      </c>
      <c r="AN706">
        <v>42.717199999999998</v>
      </c>
      <c r="AO706">
        <v>21.949100000000001</v>
      </c>
      <c r="AP706">
        <v>15.5389</v>
      </c>
      <c r="AQ706">
        <v>7.7236399999999996</v>
      </c>
      <c r="AR706">
        <v>1.79193</v>
      </c>
      <c r="AS706">
        <v>0.254359</v>
      </c>
      <c r="AT706">
        <v>0.86847600000000003</v>
      </c>
      <c r="AU706">
        <v>5.6008100000000001</v>
      </c>
      <c r="AV706">
        <v>27.779</v>
      </c>
      <c r="AW706">
        <v>50.301400000000001</v>
      </c>
      <c r="AX706">
        <v>13.014900000000001</v>
      </c>
      <c r="AY706">
        <v>2.4354</v>
      </c>
      <c r="AZ706">
        <v>620.90899999999999</v>
      </c>
      <c r="BA706">
        <v>678.601</v>
      </c>
      <c r="BB706">
        <v>23099.9</v>
      </c>
      <c r="BC706">
        <v>0.28132600000000002</v>
      </c>
      <c r="BD706">
        <v>8.3487699999999998E-2</v>
      </c>
      <c r="BE706">
        <v>0.32784200000000002</v>
      </c>
      <c r="BF706">
        <v>0.82876899999999998</v>
      </c>
      <c r="BG706">
        <v>5.2291800000000004</v>
      </c>
      <c r="BH706">
        <v>25.5075</v>
      </c>
      <c r="BI706">
        <v>68.023200000000003</v>
      </c>
      <c r="BJ706">
        <v>31.838999999999999</v>
      </c>
      <c r="BK706">
        <v>0</v>
      </c>
      <c r="BL706">
        <v>33.838999999999999</v>
      </c>
      <c r="BM706">
        <v>56.790999999999997</v>
      </c>
      <c r="BN706">
        <v>8.0036199999999997</v>
      </c>
      <c r="BO706">
        <v>1.0242500000000001</v>
      </c>
      <c r="BP706">
        <v>0.34209600000000001</v>
      </c>
      <c r="BQ706">
        <v>32.786900000000003</v>
      </c>
      <c r="BR706">
        <v>98218</v>
      </c>
    </row>
    <row r="707" spans="1:70" x14ac:dyDescent="0.25">
      <c r="A707">
        <v>49</v>
      </c>
      <c r="B707" s="7">
        <v>46024.564953703702</v>
      </c>
      <c r="C707" t="s">
        <v>189</v>
      </c>
      <c r="D707" s="6" t="s">
        <v>390</v>
      </c>
      <c r="E707" s="6" t="str">
        <f>VLOOKUP(F707,Germplasm!$A$1:$B$21,2,FALSE)</f>
        <v>Annika</v>
      </c>
      <c r="F707" t="s">
        <v>66</v>
      </c>
      <c r="G707" s="6" t="s">
        <v>113</v>
      </c>
      <c r="H707">
        <v>31032.1</v>
      </c>
      <c r="I707">
        <v>500.80099999999999</v>
      </c>
      <c r="J707">
        <v>66515.7</v>
      </c>
      <c r="K707">
        <v>23.8338</v>
      </c>
      <c r="L707">
        <v>67.313199999999995</v>
      </c>
      <c r="M707">
        <v>994.65599999999995</v>
      </c>
      <c r="N707">
        <v>356.267</v>
      </c>
      <c r="O707">
        <v>18459400</v>
      </c>
      <c r="P707">
        <v>3.1787299999999998E-2</v>
      </c>
      <c r="Q707">
        <v>0.97408300000000003</v>
      </c>
      <c r="R707">
        <v>27.396799999999999</v>
      </c>
      <c r="S707">
        <v>65.962900000000005</v>
      </c>
      <c r="T707">
        <v>4.6867599999999996</v>
      </c>
      <c r="U707">
        <v>0.93599100000000002</v>
      </c>
      <c r="V707">
        <v>4.3534499999999997E-2</v>
      </c>
      <c r="W707">
        <v>39.630200000000002</v>
      </c>
      <c r="X707">
        <v>13.837199999999999</v>
      </c>
      <c r="Y707">
        <v>58.895299999999999</v>
      </c>
      <c r="Z707">
        <v>15.026199999999999</v>
      </c>
      <c r="AA707">
        <v>4.3289600000000004</v>
      </c>
      <c r="AB707">
        <v>1.2897099999999999</v>
      </c>
      <c r="AC707">
        <v>6.6226799999999999</v>
      </c>
      <c r="AD707">
        <v>1.95746</v>
      </c>
      <c r="AE707">
        <v>16.173200000000001</v>
      </c>
      <c r="AF707">
        <v>0</v>
      </c>
      <c r="AG707">
        <v>83.299099999999996</v>
      </c>
      <c r="AH707">
        <v>16.506399999999999</v>
      </c>
      <c r="AI707">
        <v>0.19182399999999999</v>
      </c>
      <c r="AJ707">
        <v>2.7209000000000001E-3</v>
      </c>
      <c r="AK707">
        <v>0</v>
      </c>
      <c r="AL707">
        <v>5.9213000000000002E-2</v>
      </c>
      <c r="AM707">
        <v>27.757300000000001</v>
      </c>
      <c r="AN707">
        <v>55.607100000000003</v>
      </c>
      <c r="AO707">
        <v>11.8795</v>
      </c>
      <c r="AP707">
        <v>3.5589400000000002</v>
      </c>
      <c r="AQ707">
        <v>0.90606100000000001</v>
      </c>
      <c r="AR707">
        <v>0.29113699999999998</v>
      </c>
      <c r="AS707">
        <v>0.26397199999999998</v>
      </c>
      <c r="AT707">
        <v>0.546902</v>
      </c>
      <c r="AU707">
        <v>3.6174400000000002</v>
      </c>
      <c r="AV707">
        <v>25.485299999999999</v>
      </c>
      <c r="AW707">
        <v>56.426099999999998</v>
      </c>
      <c r="AX707">
        <v>11.7829</v>
      </c>
      <c r="AY707">
        <v>2.1413500000000001</v>
      </c>
      <c r="AZ707">
        <v>594.846</v>
      </c>
      <c r="BA707">
        <v>641.4</v>
      </c>
      <c r="BB707">
        <v>15853.2</v>
      </c>
      <c r="BC707">
        <v>0.36081000000000002</v>
      </c>
      <c r="BD707">
        <v>0.130603</v>
      </c>
      <c r="BE707">
        <v>0.39045000000000002</v>
      </c>
      <c r="BF707">
        <v>0.74552799999999997</v>
      </c>
      <c r="BG707">
        <v>2.8977599999999999</v>
      </c>
      <c r="BH707">
        <v>11.353</v>
      </c>
      <c r="BI707">
        <v>84.482699999999994</v>
      </c>
      <c r="BJ707">
        <v>28.244</v>
      </c>
      <c r="BK707">
        <v>0</v>
      </c>
      <c r="BL707">
        <v>43.627000000000002</v>
      </c>
      <c r="BM707">
        <v>51.023699999999998</v>
      </c>
      <c r="BN707">
        <v>4.2160399999999996</v>
      </c>
      <c r="BO707">
        <v>0.86388699999999996</v>
      </c>
      <c r="BP707">
        <v>0.26936900000000003</v>
      </c>
      <c r="BQ707">
        <v>30.739799999999999</v>
      </c>
      <c r="BR707">
        <v>73505</v>
      </c>
    </row>
    <row r="708" spans="1:70" x14ac:dyDescent="0.25">
      <c r="A708">
        <v>50</v>
      </c>
      <c r="B708" s="7">
        <v>45952.579398148147</v>
      </c>
      <c r="C708" t="s">
        <v>191</v>
      </c>
      <c r="D708" s="6" t="s">
        <v>391</v>
      </c>
      <c r="E708" s="6" t="str">
        <f>VLOOKUP(F708,Germplasm!$A$1:$B$21,2,FALSE)</f>
        <v>Thule</v>
      </c>
      <c r="F708" t="s">
        <v>78</v>
      </c>
      <c r="G708" s="6" t="s">
        <v>113</v>
      </c>
      <c r="H708">
        <v>35029.9</v>
      </c>
      <c r="I708">
        <v>182.12899999999999</v>
      </c>
      <c r="J708">
        <v>120466</v>
      </c>
      <c r="K708">
        <v>17.3996</v>
      </c>
      <c r="L708">
        <v>74.584000000000003</v>
      </c>
      <c r="M708">
        <v>1327.92</v>
      </c>
      <c r="N708">
        <v>485.4</v>
      </c>
      <c r="O708">
        <v>7832560</v>
      </c>
      <c r="P708">
        <v>0.20855399999999999</v>
      </c>
      <c r="Q708">
        <v>0.25546200000000002</v>
      </c>
      <c r="R708">
        <v>6.5573300000000003</v>
      </c>
      <c r="S708">
        <v>24.473600000000001</v>
      </c>
      <c r="T708">
        <v>42.255699999999997</v>
      </c>
      <c r="U708">
        <v>26.366199999999999</v>
      </c>
      <c r="V708">
        <v>9.1740500000000003E-2</v>
      </c>
      <c r="W708">
        <v>114.509</v>
      </c>
      <c r="X708">
        <v>2.04087</v>
      </c>
      <c r="Y708">
        <v>3.1347</v>
      </c>
      <c r="Z708">
        <v>4.7832100000000004</v>
      </c>
      <c r="AA708">
        <v>18.212599999999998</v>
      </c>
      <c r="AB708">
        <v>36.246000000000002</v>
      </c>
      <c r="AC708">
        <v>35.582599999999999</v>
      </c>
      <c r="AD708">
        <v>1.6712199999999999</v>
      </c>
      <c r="AE708">
        <v>15.0969</v>
      </c>
      <c r="AF708">
        <v>0</v>
      </c>
      <c r="AG708">
        <v>89.780100000000004</v>
      </c>
      <c r="AH708">
        <v>1.0105599999999999</v>
      </c>
      <c r="AI708">
        <v>1.73742</v>
      </c>
      <c r="AJ708">
        <v>7.4719100000000003</v>
      </c>
      <c r="AK708">
        <v>0</v>
      </c>
      <c r="AL708">
        <v>0.451376</v>
      </c>
      <c r="AM708">
        <v>8.8197899999999994</v>
      </c>
      <c r="AN708">
        <v>4.2172400000000003</v>
      </c>
      <c r="AO708">
        <v>4.9059999999999997</v>
      </c>
      <c r="AP708">
        <v>16.218299999999999</v>
      </c>
      <c r="AQ708">
        <v>41.869</v>
      </c>
      <c r="AR708">
        <v>23.9697</v>
      </c>
      <c r="AS708">
        <v>3.6484299999999997E-2</v>
      </c>
      <c r="AT708">
        <v>6.38232</v>
      </c>
      <c r="AU708">
        <v>34.388599999999997</v>
      </c>
      <c r="AV708">
        <v>45.167400000000001</v>
      </c>
      <c r="AW708">
        <v>11.4139</v>
      </c>
      <c r="AX708">
        <v>1.9138500000000001</v>
      </c>
      <c r="AY708">
        <v>0.73392400000000002</v>
      </c>
      <c r="AZ708">
        <v>223.59700000000001</v>
      </c>
      <c r="BA708">
        <v>257.399</v>
      </c>
      <c r="BB708">
        <v>20960.599999999999</v>
      </c>
      <c r="BC708">
        <v>6.2763100000000002E-3</v>
      </c>
      <c r="BD708">
        <v>0.72122200000000003</v>
      </c>
      <c r="BE708">
        <v>0.90752600000000005</v>
      </c>
      <c r="BF708">
        <v>3.1558700000000002</v>
      </c>
      <c r="BG708">
        <v>35.9863</v>
      </c>
      <c r="BH708">
        <v>54.196100000000001</v>
      </c>
      <c r="BI708">
        <v>5.0330300000000001</v>
      </c>
      <c r="BJ708">
        <v>31.344200000000001</v>
      </c>
      <c r="BK708">
        <v>0</v>
      </c>
      <c r="BL708">
        <v>34.810600000000001</v>
      </c>
      <c r="BM708">
        <v>56.730899999999998</v>
      </c>
      <c r="BN708">
        <v>6.4839399999999996</v>
      </c>
      <c r="BO708">
        <v>0.95410200000000001</v>
      </c>
      <c r="BP708">
        <v>1.02044</v>
      </c>
      <c r="BQ708">
        <v>36.7864</v>
      </c>
      <c r="BR708">
        <v>70852</v>
      </c>
    </row>
    <row r="709" spans="1:70" x14ac:dyDescent="0.25">
      <c r="A709">
        <v>50</v>
      </c>
      <c r="B709" s="7">
        <v>45959.548773148148</v>
      </c>
      <c r="C709" t="s">
        <v>191</v>
      </c>
      <c r="D709" s="6" t="s">
        <v>392</v>
      </c>
      <c r="E709" s="6" t="str">
        <f>VLOOKUP(F709,Germplasm!$A$1:$B$21,2,FALSE)</f>
        <v>Thule</v>
      </c>
      <c r="F709" t="s">
        <v>78</v>
      </c>
      <c r="G709" s="6" t="s">
        <v>113</v>
      </c>
      <c r="H709">
        <v>48153.3</v>
      </c>
      <c r="I709">
        <v>251.98099999999999</v>
      </c>
      <c r="J709">
        <v>144620</v>
      </c>
      <c r="K709">
        <v>19.578700000000001</v>
      </c>
      <c r="L709">
        <v>79.927499999999995</v>
      </c>
      <c r="M709">
        <v>1437.11</v>
      </c>
      <c r="N709">
        <v>504.935</v>
      </c>
      <c r="O709">
        <v>14108200</v>
      </c>
      <c r="P709">
        <v>0.242615</v>
      </c>
      <c r="Q709">
        <v>0.644903</v>
      </c>
      <c r="R709">
        <v>5.1264200000000004</v>
      </c>
      <c r="S709">
        <v>18.699100000000001</v>
      </c>
      <c r="T709">
        <v>37.549999999999997</v>
      </c>
      <c r="U709">
        <v>37.115299999999998</v>
      </c>
      <c r="V709">
        <v>0.86431400000000003</v>
      </c>
      <c r="W709">
        <v>113.752</v>
      </c>
      <c r="X709">
        <v>1.89062</v>
      </c>
      <c r="Y709">
        <v>2.8636200000000001</v>
      </c>
      <c r="Z709">
        <v>3.7802199999999999</v>
      </c>
      <c r="AA709">
        <v>17.374500000000001</v>
      </c>
      <c r="AB709">
        <v>41.734200000000001</v>
      </c>
      <c r="AC709">
        <v>32.356900000000003</v>
      </c>
      <c r="AD709">
        <v>1.70065</v>
      </c>
      <c r="AE709">
        <v>12.5228</v>
      </c>
      <c r="AF709">
        <v>0</v>
      </c>
      <c r="AG709">
        <v>92.6785</v>
      </c>
      <c r="AH709">
        <v>0.82022700000000004</v>
      </c>
      <c r="AI709">
        <v>1.1575500000000001</v>
      </c>
      <c r="AJ709">
        <v>5.3437799999999998</v>
      </c>
      <c r="AK709">
        <v>0</v>
      </c>
      <c r="AL709">
        <v>0.50339100000000003</v>
      </c>
      <c r="AM709">
        <v>6.4398099999999996</v>
      </c>
      <c r="AN709">
        <v>3.07585</v>
      </c>
      <c r="AO709">
        <v>4.1626500000000002</v>
      </c>
      <c r="AP709">
        <v>12.0214</v>
      </c>
      <c r="AQ709">
        <v>36.982999999999997</v>
      </c>
      <c r="AR709">
        <v>37.3172</v>
      </c>
      <c r="AS709">
        <v>5.4734600000000001E-2</v>
      </c>
      <c r="AT709">
        <v>6.12094</v>
      </c>
      <c r="AU709">
        <v>31.961200000000002</v>
      </c>
      <c r="AV709">
        <v>45.083799999999997</v>
      </c>
      <c r="AW709">
        <v>12.485900000000001</v>
      </c>
      <c r="AX709">
        <v>2.4617100000000001</v>
      </c>
      <c r="AY709">
        <v>1.88652</v>
      </c>
      <c r="AZ709">
        <v>292.98500000000001</v>
      </c>
      <c r="BA709">
        <v>344.99900000000002</v>
      </c>
      <c r="BB709">
        <v>28314.7</v>
      </c>
      <c r="BC709">
        <v>1.6406799999999999E-2</v>
      </c>
      <c r="BD709">
        <v>0.37627899999999997</v>
      </c>
      <c r="BE709">
        <v>0.59569000000000005</v>
      </c>
      <c r="BF709">
        <v>2.69034</v>
      </c>
      <c r="BG709">
        <v>34.419800000000002</v>
      </c>
      <c r="BH709">
        <v>57.2498</v>
      </c>
      <c r="BI709">
        <v>4.66812</v>
      </c>
      <c r="BJ709">
        <v>34.923499999999997</v>
      </c>
      <c r="BK709">
        <v>0</v>
      </c>
      <c r="BL709">
        <v>27.806699999999999</v>
      </c>
      <c r="BM709">
        <v>58.570300000000003</v>
      </c>
      <c r="BN709">
        <v>10.3523</v>
      </c>
      <c r="BO709">
        <v>1.5656099999999999</v>
      </c>
      <c r="BP709">
        <v>1.70505</v>
      </c>
      <c r="BQ709">
        <v>36.057899999999997</v>
      </c>
      <c r="BR709">
        <v>97534</v>
      </c>
    </row>
    <row r="710" spans="1:70" x14ac:dyDescent="0.25">
      <c r="A710">
        <v>50</v>
      </c>
      <c r="B710" s="7">
        <v>45966.532557870371</v>
      </c>
      <c r="C710" t="s">
        <v>191</v>
      </c>
      <c r="D710" s="6" t="s">
        <v>393</v>
      </c>
      <c r="E710" s="6" t="str">
        <f>VLOOKUP(F710,Germplasm!$A$1:$B$21,2,FALSE)</f>
        <v>Thule</v>
      </c>
      <c r="F710" t="s">
        <v>78</v>
      </c>
      <c r="G710" s="6" t="s">
        <v>113</v>
      </c>
      <c r="H710">
        <v>57631.1</v>
      </c>
      <c r="I710">
        <v>316.05</v>
      </c>
      <c r="J710">
        <v>167149</v>
      </c>
      <c r="K710">
        <v>18.476800000000001</v>
      </c>
      <c r="L710">
        <v>62.255400000000002</v>
      </c>
      <c r="M710">
        <v>1609.39</v>
      </c>
      <c r="N710">
        <v>573.74199999999996</v>
      </c>
      <c r="O710">
        <v>20825900</v>
      </c>
      <c r="P710">
        <v>0.26225700000000002</v>
      </c>
      <c r="Q710">
        <v>0.33859600000000001</v>
      </c>
      <c r="R710">
        <v>4.1316300000000004</v>
      </c>
      <c r="S710">
        <v>15.124599999999999</v>
      </c>
      <c r="T710">
        <v>37.656500000000001</v>
      </c>
      <c r="U710">
        <v>42.017299999999999</v>
      </c>
      <c r="V710">
        <v>0.731406</v>
      </c>
      <c r="W710">
        <v>112.46899999999999</v>
      </c>
      <c r="X710">
        <v>1.4913400000000001</v>
      </c>
      <c r="Y710">
        <v>2.40632</v>
      </c>
      <c r="Z710">
        <v>3.83013</v>
      </c>
      <c r="AA710">
        <v>18.739799999999999</v>
      </c>
      <c r="AB710">
        <v>44.8735</v>
      </c>
      <c r="AC710">
        <v>28.658899999999999</v>
      </c>
      <c r="AD710">
        <v>1.8660699999999999</v>
      </c>
      <c r="AE710">
        <v>12.084899999999999</v>
      </c>
      <c r="AF710">
        <v>0</v>
      </c>
      <c r="AG710">
        <v>93.026399999999995</v>
      </c>
      <c r="AH710">
        <v>0.66958300000000004</v>
      </c>
      <c r="AI710">
        <v>0.99201099999999998</v>
      </c>
      <c r="AJ710">
        <v>5.31196</v>
      </c>
      <c r="AK710">
        <v>0</v>
      </c>
      <c r="AL710">
        <v>0.51300800000000002</v>
      </c>
      <c r="AM710">
        <v>6.0053299999999998</v>
      </c>
      <c r="AN710">
        <v>2.74681</v>
      </c>
      <c r="AO710">
        <v>3.5752299999999999</v>
      </c>
      <c r="AP710">
        <v>10.612500000000001</v>
      </c>
      <c r="AQ710">
        <v>38.170099999999998</v>
      </c>
      <c r="AR710">
        <v>38.890099999999997</v>
      </c>
      <c r="AS710">
        <v>6.8365599999999999E-2</v>
      </c>
      <c r="AT710">
        <v>4.9914399999999999</v>
      </c>
      <c r="AU710">
        <v>29.951499999999999</v>
      </c>
      <c r="AV710">
        <v>45.603000000000002</v>
      </c>
      <c r="AW710">
        <v>14.756500000000001</v>
      </c>
      <c r="AX710">
        <v>3.1424799999999999</v>
      </c>
      <c r="AY710">
        <v>1.55507</v>
      </c>
      <c r="AZ710">
        <v>361.36599999999999</v>
      </c>
      <c r="BA710">
        <v>431.4</v>
      </c>
      <c r="BB710">
        <v>30883.7</v>
      </c>
      <c r="BC710">
        <v>2.46305E-2</v>
      </c>
      <c r="BD710">
        <v>0.30340499999999998</v>
      </c>
      <c r="BE710">
        <v>0.43085400000000001</v>
      </c>
      <c r="BF710">
        <v>2.12479</v>
      </c>
      <c r="BG710">
        <v>32.0839</v>
      </c>
      <c r="BH710">
        <v>59.779299999999999</v>
      </c>
      <c r="BI710">
        <v>5.2777200000000004</v>
      </c>
      <c r="BJ710">
        <v>36.177900000000001</v>
      </c>
      <c r="BK710">
        <v>0</v>
      </c>
      <c r="BL710">
        <v>22.868600000000001</v>
      </c>
      <c r="BM710">
        <v>62.386299999999999</v>
      </c>
      <c r="BN710">
        <v>11.9945</v>
      </c>
      <c r="BO710">
        <v>1.4846900000000001</v>
      </c>
      <c r="BP710">
        <v>1.26593</v>
      </c>
      <c r="BQ710">
        <v>32.441099999999999</v>
      </c>
      <c r="BR710">
        <v>105140</v>
      </c>
    </row>
    <row r="711" spans="1:70" x14ac:dyDescent="0.25">
      <c r="A711">
        <v>50</v>
      </c>
      <c r="B711" s="7">
        <v>45973.573125000003</v>
      </c>
      <c r="C711" t="s">
        <v>191</v>
      </c>
      <c r="D711" s="6" t="s">
        <v>394</v>
      </c>
      <c r="E711" s="6" t="str">
        <f>VLOOKUP(F711,Germplasm!$A$1:$B$21,2,FALSE)</f>
        <v>Thule</v>
      </c>
      <c r="F711" t="s">
        <v>78</v>
      </c>
      <c r="G711" s="6" t="s">
        <v>113</v>
      </c>
      <c r="H711">
        <v>70550.8</v>
      </c>
      <c r="I711">
        <v>405.57</v>
      </c>
      <c r="J711">
        <v>190649</v>
      </c>
      <c r="K711">
        <v>22.851800000000001</v>
      </c>
      <c r="L711">
        <v>76.480699999999999</v>
      </c>
      <c r="M711">
        <v>1689.46</v>
      </c>
      <c r="N711">
        <v>605.61199999999997</v>
      </c>
      <c r="O711">
        <v>32978100</v>
      </c>
      <c r="P711">
        <v>0.26933200000000002</v>
      </c>
      <c r="Q711">
        <v>0.50261699999999998</v>
      </c>
      <c r="R711">
        <v>3.4071600000000002</v>
      </c>
      <c r="S711">
        <v>13.8779</v>
      </c>
      <c r="T711">
        <v>38.134</v>
      </c>
      <c r="U711">
        <v>42.936399999999999</v>
      </c>
      <c r="V711">
        <v>1.1419299999999999</v>
      </c>
      <c r="W711">
        <v>113.024</v>
      </c>
      <c r="X711">
        <v>1.40981</v>
      </c>
      <c r="Y711">
        <v>2.3763800000000002</v>
      </c>
      <c r="Z711">
        <v>3.7240600000000001</v>
      </c>
      <c r="AA711">
        <v>18.007200000000001</v>
      </c>
      <c r="AB711">
        <v>44.616199999999999</v>
      </c>
      <c r="AC711">
        <v>29.866299999999999</v>
      </c>
      <c r="AD711">
        <v>1.61937</v>
      </c>
      <c r="AE711">
        <v>10.3909</v>
      </c>
      <c r="AF711">
        <v>0</v>
      </c>
      <c r="AG711">
        <v>94.866100000000003</v>
      </c>
      <c r="AH711">
        <v>0.63103200000000004</v>
      </c>
      <c r="AI711">
        <v>0.85886700000000005</v>
      </c>
      <c r="AJ711">
        <v>3.6439699999999999</v>
      </c>
      <c r="AK711">
        <v>0</v>
      </c>
      <c r="AL711">
        <v>0.530864</v>
      </c>
      <c r="AM711">
        <v>4.5546199999999999</v>
      </c>
      <c r="AN711">
        <v>2.6767099999999999</v>
      </c>
      <c r="AO711">
        <v>3.67435</v>
      </c>
      <c r="AP711">
        <v>10.4176</v>
      </c>
      <c r="AQ711">
        <v>34.584600000000002</v>
      </c>
      <c r="AR711">
        <v>44.092199999999998</v>
      </c>
      <c r="AS711">
        <v>7.1761500000000006E-2</v>
      </c>
      <c r="AT711">
        <v>4.8901599999999998</v>
      </c>
      <c r="AU711">
        <v>31.691800000000001</v>
      </c>
      <c r="AV711">
        <v>42.7714</v>
      </c>
      <c r="AW711">
        <v>14.9018</v>
      </c>
      <c r="AX711">
        <v>3.6860900000000001</v>
      </c>
      <c r="AY711">
        <v>2.0588000000000002</v>
      </c>
      <c r="AZ711">
        <v>467.43799999999999</v>
      </c>
      <c r="BA711">
        <v>487.14400000000001</v>
      </c>
      <c r="BB711">
        <v>43566.7</v>
      </c>
      <c r="BC711">
        <v>2.5532800000000001E-2</v>
      </c>
      <c r="BD711">
        <v>0.34796500000000002</v>
      </c>
      <c r="BE711">
        <v>0.41838700000000001</v>
      </c>
      <c r="BF711">
        <v>1.97526</v>
      </c>
      <c r="BG711">
        <v>33.838299999999997</v>
      </c>
      <c r="BH711">
        <v>57.463999999999999</v>
      </c>
      <c r="BI711">
        <v>5.9561500000000001</v>
      </c>
      <c r="BJ711">
        <v>36.841700000000003</v>
      </c>
      <c r="BK711">
        <v>0</v>
      </c>
      <c r="BL711">
        <v>21.6905</v>
      </c>
      <c r="BM711">
        <v>62.289900000000003</v>
      </c>
      <c r="BN711">
        <v>12.8927</v>
      </c>
      <c r="BO711">
        <v>1.8061100000000001</v>
      </c>
      <c r="BP711">
        <v>1.3207500000000001</v>
      </c>
      <c r="BQ711">
        <v>38.191099999999999</v>
      </c>
      <c r="BR711">
        <v>144842</v>
      </c>
    </row>
    <row r="712" spans="1:70" x14ac:dyDescent="0.25">
      <c r="A712">
        <v>50</v>
      </c>
      <c r="B712" s="7">
        <v>45988.587905092594</v>
      </c>
      <c r="C712" t="s">
        <v>191</v>
      </c>
      <c r="D712" s="6" t="s">
        <v>395</v>
      </c>
      <c r="E712" s="6" t="str">
        <f>VLOOKUP(F712,Germplasm!$A$1:$B$21,2,FALSE)</f>
        <v>Thule</v>
      </c>
      <c r="F712" t="s">
        <v>78</v>
      </c>
      <c r="G712" s="6" t="s">
        <v>113</v>
      </c>
      <c r="H712">
        <v>78820.2</v>
      </c>
      <c r="I712">
        <v>503.29199999999997</v>
      </c>
      <c r="J712">
        <v>141654</v>
      </c>
      <c r="K712">
        <v>36.847099999999998</v>
      </c>
      <c r="L712">
        <v>62.018900000000002</v>
      </c>
      <c r="M712">
        <v>1455.7</v>
      </c>
      <c r="N712">
        <v>555.976</v>
      </c>
      <c r="O712">
        <v>45558700</v>
      </c>
      <c r="P712">
        <v>0.192693</v>
      </c>
      <c r="Q712">
        <v>0.76163000000000003</v>
      </c>
      <c r="R712">
        <v>8.0552600000000005</v>
      </c>
      <c r="S712">
        <v>24.0122</v>
      </c>
      <c r="T712">
        <v>45.979900000000001</v>
      </c>
      <c r="U712">
        <v>20.7331</v>
      </c>
      <c r="V712">
        <v>0.457868</v>
      </c>
      <c r="W712">
        <v>101.804</v>
      </c>
      <c r="X712">
        <v>4.7600499999999997</v>
      </c>
      <c r="Y712">
        <v>6.8602400000000001</v>
      </c>
      <c r="Z712">
        <v>6.6505000000000001</v>
      </c>
      <c r="AA712">
        <v>23.5655</v>
      </c>
      <c r="AB712">
        <v>33.462800000000001</v>
      </c>
      <c r="AC712">
        <v>24.701000000000001</v>
      </c>
      <c r="AD712">
        <v>1.5100899999999999</v>
      </c>
      <c r="AE712">
        <v>12.814</v>
      </c>
      <c r="AF712">
        <v>0</v>
      </c>
      <c r="AG712">
        <v>92.1233</v>
      </c>
      <c r="AH712">
        <v>1.3313200000000001</v>
      </c>
      <c r="AI712">
        <v>1.4726300000000001</v>
      </c>
      <c r="AJ712">
        <v>5.0727099999999998</v>
      </c>
      <c r="AK712">
        <v>0</v>
      </c>
      <c r="AL712">
        <v>0.42261300000000002</v>
      </c>
      <c r="AM712">
        <v>7.1050300000000002</v>
      </c>
      <c r="AN712">
        <v>8.1770899999999997</v>
      </c>
      <c r="AO712">
        <v>8.6316199999999998</v>
      </c>
      <c r="AP712">
        <v>18.4633</v>
      </c>
      <c r="AQ712">
        <v>38.022500000000001</v>
      </c>
      <c r="AR712">
        <v>19.6004</v>
      </c>
      <c r="AS712">
        <v>0.11433500000000001</v>
      </c>
      <c r="AT712">
        <v>2.0484499999999999</v>
      </c>
      <c r="AU712">
        <v>26.689900000000002</v>
      </c>
      <c r="AV712">
        <v>43.3857</v>
      </c>
      <c r="AW712">
        <v>19.934200000000001</v>
      </c>
      <c r="AX712">
        <v>5.73142</v>
      </c>
      <c r="AY712">
        <v>2.21034</v>
      </c>
      <c r="AZ712">
        <v>578.00800000000004</v>
      </c>
      <c r="BA712">
        <v>621</v>
      </c>
      <c r="BB712">
        <v>52195.5</v>
      </c>
      <c r="BC712">
        <v>7.3662000000000005E-2</v>
      </c>
      <c r="BD712">
        <v>0.46454400000000001</v>
      </c>
      <c r="BE712">
        <v>0.38053700000000001</v>
      </c>
      <c r="BF712">
        <v>1.37917</v>
      </c>
      <c r="BG712">
        <v>26.511900000000001</v>
      </c>
      <c r="BH712">
        <v>54.990900000000003</v>
      </c>
      <c r="BI712">
        <v>16.273</v>
      </c>
      <c r="BJ712">
        <v>31.870200000000001</v>
      </c>
      <c r="BK712">
        <v>0</v>
      </c>
      <c r="BL712">
        <v>34.196599999999997</v>
      </c>
      <c r="BM712">
        <v>56.052399999999999</v>
      </c>
      <c r="BN712">
        <v>7.3114299999999997</v>
      </c>
      <c r="BO712">
        <v>1.24231</v>
      </c>
      <c r="BP712">
        <v>1.1972499999999999</v>
      </c>
      <c r="BQ712">
        <v>41.535600000000002</v>
      </c>
      <c r="BR712">
        <v>179746</v>
      </c>
    </row>
    <row r="713" spans="1:70" x14ac:dyDescent="0.25">
      <c r="A713">
        <v>50</v>
      </c>
      <c r="B713" s="7">
        <v>45994.565081018518</v>
      </c>
      <c r="C713" t="s">
        <v>191</v>
      </c>
      <c r="D713" s="6" t="s">
        <v>396</v>
      </c>
      <c r="E713" s="6" t="str">
        <f>VLOOKUP(F713,Germplasm!$A$1:$B$21,2,FALSE)</f>
        <v>Thule</v>
      </c>
      <c r="F713" t="s">
        <v>78</v>
      </c>
      <c r="G713" s="6" t="s">
        <v>113</v>
      </c>
      <c r="H713">
        <v>58693.5</v>
      </c>
      <c r="I713">
        <v>539.84799999999996</v>
      </c>
      <c r="J713">
        <v>116598</v>
      </c>
      <c r="K713">
        <v>30.670200000000001</v>
      </c>
      <c r="L713">
        <v>59.319699999999997</v>
      </c>
      <c r="M713">
        <v>1316.73</v>
      </c>
      <c r="N713">
        <v>524.58100000000002</v>
      </c>
      <c r="O713">
        <v>36506700</v>
      </c>
      <c r="P713">
        <v>0.173127</v>
      </c>
      <c r="Q713">
        <v>0.83035899999999996</v>
      </c>
      <c r="R713">
        <v>11.3146</v>
      </c>
      <c r="S713">
        <v>27.170999999999999</v>
      </c>
      <c r="T713">
        <v>41.9024</v>
      </c>
      <c r="U713">
        <v>18.532599999999999</v>
      </c>
      <c r="V713">
        <v>0.24895</v>
      </c>
      <c r="W713">
        <v>89.858800000000002</v>
      </c>
      <c r="X713">
        <v>6.9627299999999996</v>
      </c>
      <c r="Y713">
        <v>11.866099999999999</v>
      </c>
      <c r="Z713">
        <v>10.0967</v>
      </c>
      <c r="AA713">
        <v>26.369800000000001</v>
      </c>
      <c r="AB713">
        <v>27.248999999999999</v>
      </c>
      <c r="AC713">
        <v>17.4557</v>
      </c>
      <c r="AD713">
        <v>1.6412800000000001</v>
      </c>
      <c r="AE713">
        <v>13.060700000000001</v>
      </c>
      <c r="AF713">
        <v>0</v>
      </c>
      <c r="AG713">
        <v>92.9435</v>
      </c>
      <c r="AH713">
        <v>1.78125</v>
      </c>
      <c r="AI713">
        <v>0.92095800000000005</v>
      </c>
      <c r="AJ713">
        <v>4.3542699999999996</v>
      </c>
      <c r="AK713">
        <v>0</v>
      </c>
      <c r="AL713">
        <v>0.36585400000000001</v>
      </c>
      <c r="AM713">
        <v>6.4514399999999998</v>
      </c>
      <c r="AN713">
        <v>13.9483</v>
      </c>
      <c r="AO713">
        <v>13.8742</v>
      </c>
      <c r="AP713">
        <v>21.3688</v>
      </c>
      <c r="AQ713">
        <v>34.4741</v>
      </c>
      <c r="AR713">
        <v>9.8831699999999998</v>
      </c>
      <c r="AS713">
        <v>0.17225799999999999</v>
      </c>
      <c r="AT713">
        <v>1.32826</v>
      </c>
      <c r="AU713">
        <v>18.341999999999999</v>
      </c>
      <c r="AV713">
        <v>38.923699999999997</v>
      </c>
      <c r="AW713">
        <v>28.142399999999999</v>
      </c>
      <c r="AX713">
        <v>10.834099999999999</v>
      </c>
      <c r="AY713">
        <v>2.42963</v>
      </c>
      <c r="AZ713">
        <v>621.98900000000003</v>
      </c>
      <c r="BA713">
        <v>749.25099999999998</v>
      </c>
      <c r="BB713">
        <v>35760.800000000003</v>
      </c>
      <c r="BC713">
        <v>0.13283600000000001</v>
      </c>
      <c r="BD713">
        <v>0.34585199999999999</v>
      </c>
      <c r="BE713">
        <v>0.3427</v>
      </c>
      <c r="BF713">
        <v>1.10531</v>
      </c>
      <c r="BG713">
        <v>17.8764</v>
      </c>
      <c r="BH713">
        <v>50.842599999999997</v>
      </c>
      <c r="BI713">
        <v>29.487200000000001</v>
      </c>
      <c r="BJ713">
        <v>33.7288</v>
      </c>
      <c r="BK713">
        <v>0</v>
      </c>
      <c r="BL713">
        <v>29.9237</v>
      </c>
      <c r="BM713">
        <v>58.041600000000003</v>
      </c>
      <c r="BN713">
        <v>9.5515000000000008</v>
      </c>
      <c r="BO713">
        <v>1.3432299999999999</v>
      </c>
      <c r="BP713">
        <v>1.1399699999999999</v>
      </c>
      <c r="BQ713">
        <v>37.588900000000002</v>
      </c>
      <c r="BR713">
        <v>126933</v>
      </c>
    </row>
    <row r="714" spans="1:70" x14ac:dyDescent="0.25">
      <c r="A714">
        <v>50</v>
      </c>
      <c r="B714" s="7">
        <v>46002.59065972222</v>
      </c>
      <c r="C714" t="s">
        <v>191</v>
      </c>
      <c r="D714" s="6" t="s">
        <v>397</v>
      </c>
      <c r="E714" s="6" t="str">
        <f>VLOOKUP(F714,Germplasm!$A$1:$B$21,2,FALSE)</f>
        <v>Thule</v>
      </c>
      <c r="F714" t="s">
        <v>78</v>
      </c>
      <c r="G714" s="6" t="s">
        <v>113</v>
      </c>
      <c r="H714">
        <v>51399.6</v>
      </c>
      <c r="I714">
        <v>567.40599999999995</v>
      </c>
      <c r="J714">
        <v>112604</v>
      </c>
      <c r="K714">
        <v>27.578499999999998</v>
      </c>
      <c r="L714">
        <v>57.459299999999999</v>
      </c>
      <c r="M714">
        <v>1312.79</v>
      </c>
      <c r="N714">
        <v>523.572</v>
      </c>
      <c r="O714">
        <v>33382100</v>
      </c>
      <c r="P714">
        <v>0.116247</v>
      </c>
      <c r="Q714">
        <v>0.91461300000000001</v>
      </c>
      <c r="R714">
        <v>18.534500000000001</v>
      </c>
      <c r="S714">
        <v>38.358400000000003</v>
      </c>
      <c r="T714">
        <v>34.463900000000002</v>
      </c>
      <c r="U714">
        <v>7.5635500000000002</v>
      </c>
      <c r="V714">
        <v>0.165017</v>
      </c>
      <c r="W714">
        <v>68.366200000000006</v>
      </c>
      <c r="X714">
        <v>11.004300000000001</v>
      </c>
      <c r="Y714">
        <v>25.365100000000002</v>
      </c>
      <c r="Z714">
        <v>15.0999</v>
      </c>
      <c r="AA714">
        <v>22.553699999999999</v>
      </c>
      <c r="AB714">
        <v>15.414999999999999</v>
      </c>
      <c r="AC714">
        <v>10.5619</v>
      </c>
      <c r="AD714">
        <v>1.6551499999999999</v>
      </c>
      <c r="AE714">
        <v>15.6252</v>
      </c>
      <c r="AF714">
        <v>0</v>
      </c>
      <c r="AG714">
        <v>90.055999999999997</v>
      </c>
      <c r="AH714">
        <v>4.17896</v>
      </c>
      <c r="AI714">
        <v>0.95586700000000002</v>
      </c>
      <c r="AJ714">
        <v>4.8091799999999996</v>
      </c>
      <c r="AK714">
        <v>0</v>
      </c>
      <c r="AL714">
        <v>0.25603399999999998</v>
      </c>
      <c r="AM714">
        <v>8.8187300000000004</v>
      </c>
      <c r="AN714">
        <v>29.166699999999999</v>
      </c>
      <c r="AO714">
        <v>19.863399999999999</v>
      </c>
      <c r="AP714">
        <v>20.821000000000002</v>
      </c>
      <c r="AQ714">
        <v>17.926200000000001</v>
      </c>
      <c r="AR714">
        <v>3.4039000000000001</v>
      </c>
      <c r="AS714">
        <v>0.23499500000000001</v>
      </c>
      <c r="AT714">
        <v>0.89969100000000002</v>
      </c>
      <c r="AU714">
        <v>9.9167900000000007</v>
      </c>
      <c r="AV714">
        <v>31.585699999999999</v>
      </c>
      <c r="AW714">
        <v>39.308999999999997</v>
      </c>
      <c r="AX714">
        <v>15.7319</v>
      </c>
      <c r="AY714">
        <v>2.55688</v>
      </c>
      <c r="AZ714">
        <v>649.46299999999997</v>
      </c>
      <c r="BA714">
        <v>698.399</v>
      </c>
      <c r="BB714">
        <v>31054.400000000001</v>
      </c>
      <c r="BC714">
        <v>0.22219700000000001</v>
      </c>
      <c r="BD714">
        <v>0.38884200000000002</v>
      </c>
      <c r="BE714">
        <v>0.32740000000000002</v>
      </c>
      <c r="BF714">
        <v>0.78646199999999999</v>
      </c>
      <c r="BG714">
        <v>9.3129000000000008</v>
      </c>
      <c r="BH714">
        <v>37.172600000000003</v>
      </c>
      <c r="BI714">
        <v>52.011800000000001</v>
      </c>
      <c r="BJ714">
        <v>33.700099999999999</v>
      </c>
      <c r="BK714">
        <v>0</v>
      </c>
      <c r="BL714">
        <v>27.957100000000001</v>
      </c>
      <c r="BM714">
        <v>61.438800000000001</v>
      </c>
      <c r="BN714">
        <v>8.1261899999999994</v>
      </c>
      <c r="BO714">
        <v>1.34646</v>
      </c>
      <c r="BP714">
        <v>1.1314200000000001</v>
      </c>
      <c r="BQ714">
        <v>37.215299999999999</v>
      </c>
      <c r="BR714">
        <v>113928</v>
      </c>
    </row>
    <row r="715" spans="1:70" x14ac:dyDescent="0.25">
      <c r="A715">
        <v>50</v>
      </c>
      <c r="B715" s="7">
        <v>46013.569502314815</v>
      </c>
      <c r="C715" t="s">
        <v>191</v>
      </c>
      <c r="D715" s="6" t="s">
        <v>398</v>
      </c>
      <c r="E715" s="6" t="str">
        <f>VLOOKUP(F715,Germplasm!$A$1:$B$21,2,FALSE)</f>
        <v>Thule</v>
      </c>
      <c r="F715" t="s">
        <v>78</v>
      </c>
      <c r="G715" s="6" t="s">
        <v>113</v>
      </c>
      <c r="H715">
        <v>37659.1</v>
      </c>
      <c r="I715">
        <v>545.84</v>
      </c>
      <c r="J715">
        <v>104650</v>
      </c>
      <c r="K715">
        <v>20.645900000000001</v>
      </c>
      <c r="L715">
        <v>58.686900000000001</v>
      </c>
      <c r="M715">
        <v>1269.42</v>
      </c>
      <c r="N715">
        <v>496.30399999999997</v>
      </c>
      <c r="O715">
        <v>23524000</v>
      </c>
      <c r="P715">
        <v>6.8531800000000004E-2</v>
      </c>
      <c r="Q715">
        <v>1.0609999999999999</v>
      </c>
      <c r="R715">
        <v>22.347200000000001</v>
      </c>
      <c r="S715">
        <v>55.2879</v>
      </c>
      <c r="T715">
        <v>16.655799999999999</v>
      </c>
      <c r="U715">
        <v>4.5630699999999997</v>
      </c>
      <c r="V715">
        <v>8.5012400000000002E-2</v>
      </c>
      <c r="W715">
        <v>52.315199999999997</v>
      </c>
      <c r="X715">
        <v>11.9978</v>
      </c>
      <c r="Y715">
        <v>42.349400000000003</v>
      </c>
      <c r="Z715">
        <v>16.326799999999999</v>
      </c>
      <c r="AA715">
        <v>15.752700000000001</v>
      </c>
      <c r="AB715">
        <v>5.6494600000000004</v>
      </c>
      <c r="AC715">
        <v>7.9238200000000001</v>
      </c>
      <c r="AD715">
        <v>1.7430000000000001</v>
      </c>
      <c r="AE715">
        <v>18.302299999999999</v>
      </c>
      <c r="AF715">
        <v>0</v>
      </c>
      <c r="AG715">
        <v>83.792400000000001</v>
      </c>
      <c r="AH715">
        <v>8.8876600000000003</v>
      </c>
      <c r="AI715">
        <v>1.02898</v>
      </c>
      <c r="AJ715">
        <v>6.2909199999999998</v>
      </c>
      <c r="AK715">
        <v>0</v>
      </c>
      <c r="AL715">
        <v>0.15729299999999999</v>
      </c>
      <c r="AM715">
        <v>11.326499999999999</v>
      </c>
      <c r="AN715">
        <v>45.713500000000003</v>
      </c>
      <c r="AO715">
        <v>25.101800000000001</v>
      </c>
      <c r="AP715">
        <v>13.197900000000001</v>
      </c>
      <c r="AQ715">
        <v>3.9867499999999998</v>
      </c>
      <c r="AR715">
        <v>0.67347500000000005</v>
      </c>
      <c r="AS715">
        <v>0.26341300000000001</v>
      </c>
      <c r="AT715">
        <v>0.74965499999999996</v>
      </c>
      <c r="AU715">
        <v>6.1639499999999998</v>
      </c>
      <c r="AV715">
        <v>23.802399999999999</v>
      </c>
      <c r="AW715">
        <v>52.352200000000003</v>
      </c>
      <c r="AX715">
        <v>14.631</v>
      </c>
      <c r="AY715">
        <v>2.3008600000000001</v>
      </c>
      <c r="AZ715">
        <v>624.65599999999995</v>
      </c>
      <c r="BA715">
        <v>653.99900000000002</v>
      </c>
      <c r="BB715">
        <v>21605.9</v>
      </c>
      <c r="BC715">
        <v>0.28311700000000001</v>
      </c>
      <c r="BD715">
        <v>0.29920000000000002</v>
      </c>
      <c r="BE715">
        <v>0.42837399999999998</v>
      </c>
      <c r="BF715">
        <v>0.93734499999999998</v>
      </c>
      <c r="BG715">
        <v>5.2475800000000001</v>
      </c>
      <c r="BH715">
        <v>21.645</v>
      </c>
      <c r="BI715">
        <v>71.442499999999995</v>
      </c>
      <c r="BJ715">
        <v>32.825200000000002</v>
      </c>
      <c r="BK715">
        <v>0</v>
      </c>
      <c r="BL715">
        <v>30.223600000000001</v>
      </c>
      <c r="BM715">
        <v>60.590699999999998</v>
      </c>
      <c r="BN715">
        <v>6.4797099999999999</v>
      </c>
      <c r="BO715">
        <v>1.3524700000000001</v>
      </c>
      <c r="BP715">
        <v>1.3535699999999999</v>
      </c>
      <c r="BQ715">
        <v>35.042099999999998</v>
      </c>
      <c r="BR715">
        <v>90575</v>
      </c>
    </row>
    <row r="716" spans="1:70" x14ac:dyDescent="0.25">
      <c r="A716">
        <v>50</v>
      </c>
      <c r="B716" s="7">
        <v>46024.566354166665</v>
      </c>
      <c r="C716" t="s">
        <v>191</v>
      </c>
      <c r="D716" s="6" t="s">
        <v>399</v>
      </c>
      <c r="E716" s="6" t="str">
        <f>VLOOKUP(F716,Germplasm!$A$1:$B$21,2,FALSE)</f>
        <v>Thule</v>
      </c>
      <c r="F716" t="s">
        <v>78</v>
      </c>
      <c r="G716" s="6" t="s">
        <v>113</v>
      </c>
      <c r="H716">
        <v>50213.8</v>
      </c>
      <c r="I716">
        <v>494.66899999999998</v>
      </c>
      <c r="J716">
        <v>163830</v>
      </c>
      <c r="K716">
        <v>17.3736</v>
      </c>
      <c r="L716">
        <v>65.969899999999996</v>
      </c>
      <c r="M716">
        <v>1568.51</v>
      </c>
      <c r="N716">
        <v>566.35199999999998</v>
      </c>
      <c r="O716">
        <v>28694900</v>
      </c>
      <c r="P716">
        <v>7.7347199999999996E-3</v>
      </c>
      <c r="Q716">
        <v>0.90723900000000002</v>
      </c>
      <c r="R716">
        <v>37.528500000000001</v>
      </c>
      <c r="S716">
        <v>60.008600000000001</v>
      </c>
      <c r="T716">
        <v>1.2081</v>
      </c>
      <c r="U716">
        <v>0.32795200000000002</v>
      </c>
      <c r="V716">
        <v>1.9621E-2</v>
      </c>
      <c r="W716">
        <v>35.734499999999997</v>
      </c>
      <c r="X716">
        <v>19.673400000000001</v>
      </c>
      <c r="Y716">
        <v>60.409399999999998</v>
      </c>
      <c r="Z716">
        <v>8.1735600000000002</v>
      </c>
      <c r="AA716">
        <v>3.1384300000000001</v>
      </c>
      <c r="AB716">
        <v>1.50895</v>
      </c>
      <c r="AC716">
        <v>7.0962699999999996</v>
      </c>
      <c r="AD716">
        <v>1.76417</v>
      </c>
      <c r="AE716">
        <v>23.9572</v>
      </c>
      <c r="AF716">
        <v>0</v>
      </c>
      <c r="AG716">
        <v>67.486999999999995</v>
      </c>
      <c r="AH716">
        <v>25.3719</v>
      </c>
      <c r="AI716">
        <v>1.8247599999999999</v>
      </c>
      <c r="AJ716">
        <v>5.31637</v>
      </c>
      <c r="AK716">
        <v>0</v>
      </c>
      <c r="AL716">
        <v>7.3302999999999993E-2</v>
      </c>
      <c r="AM716">
        <v>18.411999999999999</v>
      </c>
      <c r="AN716">
        <v>66.041600000000003</v>
      </c>
      <c r="AO716">
        <v>12.160399999999999</v>
      </c>
      <c r="AP716">
        <v>2.4124500000000002</v>
      </c>
      <c r="AQ716">
        <v>0.73719000000000001</v>
      </c>
      <c r="AR716">
        <v>0.23638700000000001</v>
      </c>
      <c r="AS716">
        <v>0.25086799999999998</v>
      </c>
      <c r="AT716">
        <v>0.68860500000000002</v>
      </c>
      <c r="AU716">
        <v>4.4296800000000003</v>
      </c>
      <c r="AV716">
        <v>30.255600000000001</v>
      </c>
      <c r="AW716">
        <v>51.859299999999998</v>
      </c>
      <c r="AX716">
        <v>10.5281</v>
      </c>
      <c r="AY716">
        <v>2.2386699999999999</v>
      </c>
      <c r="AZ716">
        <v>571.45500000000004</v>
      </c>
      <c r="BA716">
        <v>646.79899999999998</v>
      </c>
      <c r="BB716">
        <v>28463.1</v>
      </c>
      <c r="BC716">
        <v>0.31636399999999998</v>
      </c>
      <c r="BD716">
        <v>0.402698</v>
      </c>
      <c r="BE716">
        <v>0.39896100000000001</v>
      </c>
      <c r="BF716">
        <v>0.78951300000000002</v>
      </c>
      <c r="BG716">
        <v>3.5261800000000001</v>
      </c>
      <c r="BH716">
        <v>13.824400000000001</v>
      </c>
      <c r="BI716">
        <v>81.058199999999999</v>
      </c>
      <c r="BJ716">
        <v>28.425699999999999</v>
      </c>
      <c r="BK716">
        <v>0</v>
      </c>
      <c r="BL716">
        <v>44.9621</v>
      </c>
      <c r="BM716">
        <v>49.115200000000002</v>
      </c>
      <c r="BN716">
        <v>3.65699</v>
      </c>
      <c r="BO716">
        <v>1.17072</v>
      </c>
      <c r="BP716">
        <v>1.09504</v>
      </c>
      <c r="BQ716">
        <v>34.5687</v>
      </c>
      <c r="BR716">
        <v>107028</v>
      </c>
    </row>
    <row r="717" spans="1:70" x14ac:dyDescent="0.25">
      <c r="A717">
        <v>50</v>
      </c>
      <c r="B717" s="7">
        <v>46024.566886574074</v>
      </c>
      <c r="C717" t="s">
        <v>191</v>
      </c>
      <c r="D717" s="6" t="s">
        <v>400</v>
      </c>
      <c r="E717" s="6" t="str">
        <f>VLOOKUP(F717,Germplasm!$A$1:$B$21,2,FALSE)</f>
        <v>Thule</v>
      </c>
      <c r="F717" t="s">
        <v>78</v>
      </c>
      <c r="G717" s="6" t="s">
        <v>113</v>
      </c>
      <c r="H717">
        <v>49582.8</v>
      </c>
      <c r="I717">
        <v>495.55399999999997</v>
      </c>
      <c r="J717">
        <v>155204</v>
      </c>
      <c r="K717">
        <v>18.299800000000001</v>
      </c>
      <c r="L717">
        <v>76.994200000000006</v>
      </c>
      <c r="M717">
        <v>1513.12</v>
      </c>
      <c r="N717">
        <v>521.04399999999998</v>
      </c>
      <c r="O717">
        <v>28384500</v>
      </c>
      <c r="P717">
        <v>5.3571599999999997E-3</v>
      </c>
      <c r="Q717">
        <v>1.04461</v>
      </c>
      <c r="R717">
        <v>37.835099999999997</v>
      </c>
      <c r="S717">
        <v>59.92</v>
      </c>
      <c r="T717">
        <v>1.01535</v>
      </c>
      <c r="U717">
        <v>0.15853100000000001</v>
      </c>
      <c r="V717">
        <v>2.6421799999999999E-2</v>
      </c>
      <c r="W717">
        <v>35.322499999999998</v>
      </c>
      <c r="X717">
        <v>19.726700000000001</v>
      </c>
      <c r="Y717">
        <v>59.840699999999998</v>
      </c>
      <c r="Z717">
        <v>8.1464099999999995</v>
      </c>
      <c r="AA717">
        <v>2.9847199999999998</v>
      </c>
      <c r="AB717">
        <v>1.41357</v>
      </c>
      <c r="AC717">
        <v>7.8878599999999999</v>
      </c>
      <c r="AD717">
        <v>1.7457499999999999</v>
      </c>
      <c r="AE717">
        <v>23.6982</v>
      </c>
      <c r="AF717">
        <v>0</v>
      </c>
      <c r="AG717">
        <v>67.645499999999998</v>
      </c>
      <c r="AH717">
        <v>25.4452</v>
      </c>
      <c r="AI717">
        <v>1.9155800000000001</v>
      </c>
      <c r="AJ717">
        <v>4.9937199999999997</v>
      </c>
      <c r="AK717">
        <v>0</v>
      </c>
      <c r="AL717">
        <v>7.0881700000000006E-2</v>
      </c>
      <c r="AM717">
        <v>19.120899999999999</v>
      </c>
      <c r="AN717">
        <v>65.240200000000002</v>
      </c>
      <c r="AO717">
        <v>12.4277</v>
      </c>
      <c r="AP717">
        <v>2.4374099999999999</v>
      </c>
      <c r="AQ717">
        <v>0.60109699999999999</v>
      </c>
      <c r="AR717">
        <v>0.17268500000000001</v>
      </c>
      <c r="AS717">
        <v>0.24776500000000001</v>
      </c>
      <c r="AT717">
        <v>0.78416200000000003</v>
      </c>
      <c r="AU717">
        <v>4.8049999999999997</v>
      </c>
      <c r="AV717">
        <v>30.563400000000001</v>
      </c>
      <c r="AW717">
        <v>51.392299999999999</v>
      </c>
      <c r="AX717">
        <v>10.1828</v>
      </c>
      <c r="AY717">
        <v>2.2722799999999999</v>
      </c>
      <c r="AZ717">
        <v>572.46699999999998</v>
      </c>
      <c r="BA717">
        <v>649.19899999999996</v>
      </c>
      <c r="BB717">
        <v>28402</v>
      </c>
      <c r="BC717">
        <v>0.31306699999999998</v>
      </c>
      <c r="BD717">
        <v>0.46521299999999999</v>
      </c>
      <c r="BE717">
        <v>0.44256600000000001</v>
      </c>
      <c r="BF717">
        <v>0.91910199999999997</v>
      </c>
      <c r="BG717">
        <v>3.7594500000000002</v>
      </c>
      <c r="BH717">
        <v>13.908300000000001</v>
      </c>
      <c r="BI717">
        <v>80.505399999999995</v>
      </c>
      <c r="BJ717">
        <v>28.1568</v>
      </c>
      <c r="BK717">
        <v>0</v>
      </c>
      <c r="BL717">
        <v>45.553100000000001</v>
      </c>
      <c r="BM717">
        <v>48.737900000000003</v>
      </c>
      <c r="BN717">
        <v>3.4291800000000001</v>
      </c>
      <c r="BO717">
        <v>1.13425</v>
      </c>
      <c r="BP717">
        <v>1.14557</v>
      </c>
      <c r="BQ717">
        <v>34.986499999999999</v>
      </c>
      <c r="BR717">
        <v>105973</v>
      </c>
    </row>
    <row r="718" spans="1:70" x14ac:dyDescent="0.25">
      <c r="A718">
        <v>50</v>
      </c>
      <c r="B718" s="7">
        <v>45952.579398148147</v>
      </c>
      <c r="C718" t="s">
        <v>192</v>
      </c>
      <c r="D718" s="6" t="s">
        <v>391</v>
      </c>
      <c r="E718" s="6" t="str">
        <f>VLOOKUP(F718,Germplasm!$A$1:$B$21,2,FALSE)</f>
        <v>Olve</v>
      </c>
      <c r="F718" t="s">
        <v>62</v>
      </c>
      <c r="G718" s="6" t="s">
        <v>113</v>
      </c>
      <c r="H718">
        <v>35716.5</v>
      </c>
      <c r="I718">
        <v>250.43600000000001</v>
      </c>
      <c r="J718">
        <v>153360</v>
      </c>
      <c r="K718">
        <v>14.379300000000001</v>
      </c>
      <c r="L718">
        <v>78.049599999999998</v>
      </c>
      <c r="M718">
        <v>1506.62</v>
      </c>
      <c r="N718">
        <v>515.56799999999998</v>
      </c>
      <c r="O718">
        <v>12812800</v>
      </c>
      <c r="P718">
        <v>0.239728</v>
      </c>
      <c r="Q718">
        <v>0.42260399999999998</v>
      </c>
      <c r="R718">
        <v>3.8088500000000001</v>
      </c>
      <c r="S718">
        <v>18.845199999999998</v>
      </c>
      <c r="T718">
        <v>44.41</v>
      </c>
      <c r="U718">
        <v>32.124699999999997</v>
      </c>
      <c r="V718">
        <v>0.388741</v>
      </c>
      <c r="W718">
        <v>117.319</v>
      </c>
      <c r="X718">
        <v>0.86417100000000002</v>
      </c>
      <c r="Y718">
        <v>2.05748</v>
      </c>
      <c r="Z718">
        <v>3.8494899999999999</v>
      </c>
      <c r="AA718">
        <v>16.178100000000001</v>
      </c>
      <c r="AB718">
        <v>39.234400000000001</v>
      </c>
      <c r="AC718">
        <v>37.816299999999998</v>
      </c>
      <c r="AD718">
        <v>1.61965</v>
      </c>
      <c r="AE718">
        <v>6.9224800000000002</v>
      </c>
      <c r="AF718">
        <v>0</v>
      </c>
      <c r="AG718">
        <v>99.620699999999999</v>
      </c>
      <c r="AH718">
        <v>0.353524</v>
      </c>
      <c r="AI718">
        <v>2.5735500000000001E-2</v>
      </c>
      <c r="AJ718">
        <v>0</v>
      </c>
      <c r="AK718">
        <v>0</v>
      </c>
      <c r="AL718">
        <v>0.53900899999999996</v>
      </c>
      <c r="AM718">
        <v>0.74497500000000005</v>
      </c>
      <c r="AN718">
        <v>2.9799000000000002</v>
      </c>
      <c r="AO718">
        <v>5.4951999999999996</v>
      </c>
      <c r="AP718">
        <v>12.2555</v>
      </c>
      <c r="AQ718">
        <v>37.183700000000002</v>
      </c>
      <c r="AR718">
        <v>41.340699999999998</v>
      </c>
      <c r="AS718">
        <v>2.91597E-2</v>
      </c>
      <c r="AT718">
        <v>7.7409699999999999</v>
      </c>
      <c r="AU718">
        <v>36.392699999999998</v>
      </c>
      <c r="AV718">
        <v>42.145299999999999</v>
      </c>
      <c r="AW718">
        <v>10.473000000000001</v>
      </c>
      <c r="AX718">
        <v>2.1834500000000001</v>
      </c>
      <c r="AY718">
        <v>1.06464</v>
      </c>
      <c r="AZ718">
        <v>358.73500000000001</v>
      </c>
      <c r="BA718">
        <v>415.79899999999998</v>
      </c>
      <c r="BB718">
        <v>22052</v>
      </c>
      <c r="BC718">
        <v>1.04089E-2</v>
      </c>
      <c r="BD718">
        <v>5.4179999999999999E-2</v>
      </c>
      <c r="BE718">
        <v>0.59462499999999996</v>
      </c>
      <c r="BF718">
        <v>2.79162</v>
      </c>
      <c r="BG718">
        <v>40.693199999999997</v>
      </c>
      <c r="BH718">
        <v>51.372100000000003</v>
      </c>
      <c r="BI718">
        <v>4.4942299999999999</v>
      </c>
      <c r="BJ718">
        <v>31.928899999999999</v>
      </c>
      <c r="BK718">
        <v>0</v>
      </c>
      <c r="BL718">
        <v>32.741</v>
      </c>
      <c r="BM718">
        <v>57.700299999999999</v>
      </c>
      <c r="BN718">
        <v>8.6091999999999995</v>
      </c>
      <c r="BO718">
        <v>0.68402200000000002</v>
      </c>
      <c r="BP718">
        <v>0.265482</v>
      </c>
      <c r="BQ718">
        <v>38.166499999999999</v>
      </c>
      <c r="BR718">
        <v>73828</v>
      </c>
    </row>
    <row r="719" spans="1:70" x14ac:dyDescent="0.25">
      <c r="A719">
        <v>50</v>
      </c>
      <c r="B719" s="7">
        <v>45959.548773148148</v>
      </c>
      <c r="C719" t="s">
        <v>192</v>
      </c>
      <c r="D719" s="6" t="s">
        <v>392</v>
      </c>
      <c r="E719" s="6" t="str">
        <f>VLOOKUP(F719,Germplasm!$A$1:$B$21,2,FALSE)</f>
        <v>Olve</v>
      </c>
      <c r="F719" t="s">
        <v>62</v>
      </c>
      <c r="G719" s="6" t="s">
        <v>113</v>
      </c>
      <c r="H719">
        <v>50999.6</v>
      </c>
      <c r="I719">
        <v>365.41500000000002</v>
      </c>
      <c r="J719">
        <v>184846</v>
      </c>
      <c r="K719">
        <v>16.755199999999999</v>
      </c>
      <c r="L719">
        <v>64.557400000000001</v>
      </c>
      <c r="M719">
        <v>1637.35</v>
      </c>
      <c r="N719">
        <v>625.66399999999999</v>
      </c>
      <c r="O719">
        <v>23988700</v>
      </c>
      <c r="P719">
        <v>0.25569599999999998</v>
      </c>
      <c r="Q719">
        <v>0.56006699999999998</v>
      </c>
      <c r="R719">
        <v>3.3973599999999999</v>
      </c>
      <c r="S719">
        <v>16.9148</v>
      </c>
      <c r="T719">
        <v>40.316299999999998</v>
      </c>
      <c r="U719">
        <v>38.0533</v>
      </c>
      <c r="V719">
        <v>0.75812900000000005</v>
      </c>
      <c r="W719">
        <v>118.794</v>
      </c>
      <c r="X719">
        <v>0.77708200000000005</v>
      </c>
      <c r="Y719">
        <v>1.8327800000000001</v>
      </c>
      <c r="Z719">
        <v>3.1386500000000002</v>
      </c>
      <c r="AA719">
        <v>14.403499999999999</v>
      </c>
      <c r="AB719">
        <v>40.628100000000003</v>
      </c>
      <c r="AC719">
        <v>39.219900000000003</v>
      </c>
      <c r="AD719">
        <v>1.6466799999999999</v>
      </c>
      <c r="AE719">
        <v>6.2436699999999998</v>
      </c>
      <c r="AF719">
        <v>0</v>
      </c>
      <c r="AG719">
        <v>99.855000000000004</v>
      </c>
      <c r="AH719">
        <v>0.14025399999999999</v>
      </c>
      <c r="AI719">
        <v>4.7383E-3</v>
      </c>
      <c r="AJ719">
        <v>0</v>
      </c>
      <c r="AK719">
        <v>0</v>
      </c>
      <c r="AL719">
        <v>0.55342999999999998</v>
      </c>
      <c r="AM719">
        <v>0.75244299999999997</v>
      </c>
      <c r="AN719">
        <v>3.3262900000000002</v>
      </c>
      <c r="AO719">
        <v>5.6698500000000003</v>
      </c>
      <c r="AP719">
        <v>10.2073</v>
      </c>
      <c r="AQ719">
        <v>32.390099999999997</v>
      </c>
      <c r="AR719">
        <v>47.6541</v>
      </c>
      <c r="AS719">
        <v>2.8583799999999999E-2</v>
      </c>
      <c r="AT719">
        <v>8.2550699999999999</v>
      </c>
      <c r="AU719">
        <v>37.564300000000003</v>
      </c>
      <c r="AV719">
        <v>39.6511</v>
      </c>
      <c r="AW719">
        <v>10.805199999999999</v>
      </c>
      <c r="AX719">
        <v>2.1938300000000002</v>
      </c>
      <c r="AY719">
        <v>1.53047</v>
      </c>
      <c r="AZ719">
        <v>470.37</v>
      </c>
      <c r="BA719">
        <v>538.79899999999998</v>
      </c>
      <c r="BB719">
        <v>30971.200000000001</v>
      </c>
      <c r="BC719">
        <v>8.4835499999999994E-3</v>
      </c>
      <c r="BD719">
        <v>6.4440899999999995E-2</v>
      </c>
      <c r="BE719">
        <v>0.52121300000000004</v>
      </c>
      <c r="BF719">
        <v>2.7520099999999998</v>
      </c>
      <c r="BG719">
        <v>42.481699999999996</v>
      </c>
      <c r="BH719">
        <v>49.748399999999997</v>
      </c>
      <c r="BI719">
        <v>4.4322100000000004</v>
      </c>
      <c r="BJ719">
        <v>33.925699999999999</v>
      </c>
      <c r="BK719">
        <v>0</v>
      </c>
      <c r="BL719">
        <v>28.796600000000002</v>
      </c>
      <c r="BM719">
        <v>58.596699999999998</v>
      </c>
      <c r="BN719">
        <v>10.886699999999999</v>
      </c>
      <c r="BO719">
        <v>1.0737000000000001</v>
      </c>
      <c r="BP719">
        <v>0.64630500000000002</v>
      </c>
      <c r="BQ719">
        <v>37.441299999999998</v>
      </c>
      <c r="BR719">
        <v>105523</v>
      </c>
    </row>
    <row r="720" spans="1:70" x14ac:dyDescent="0.25">
      <c r="A720">
        <v>50</v>
      </c>
      <c r="B720" s="7">
        <v>45966.532557870371</v>
      </c>
      <c r="C720" t="s">
        <v>192</v>
      </c>
      <c r="D720" s="6" t="s">
        <v>393</v>
      </c>
      <c r="E720" s="6" t="str">
        <f>VLOOKUP(F720,Germplasm!$A$1:$B$21,2,FALSE)</f>
        <v>Olve</v>
      </c>
      <c r="F720" t="s">
        <v>62</v>
      </c>
      <c r="G720" s="6" t="s">
        <v>113</v>
      </c>
      <c r="H720">
        <v>61317</v>
      </c>
      <c r="I720">
        <v>456.98200000000003</v>
      </c>
      <c r="J720">
        <v>174378</v>
      </c>
      <c r="K720">
        <v>19.773800000000001</v>
      </c>
      <c r="L720">
        <v>77.994100000000003</v>
      </c>
      <c r="M720">
        <v>1546.14</v>
      </c>
      <c r="N720">
        <v>545.09699999999998</v>
      </c>
      <c r="O720">
        <v>34953600</v>
      </c>
      <c r="P720">
        <v>0.248972</v>
      </c>
      <c r="Q720">
        <v>0.44520999999999999</v>
      </c>
      <c r="R720">
        <v>3.3728799999999999</v>
      </c>
      <c r="S720">
        <v>18.705400000000001</v>
      </c>
      <c r="T720">
        <v>41.459800000000001</v>
      </c>
      <c r="U720">
        <v>35.137799999999999</v>
      </c>
      <c r="V720">
        <v>0.87887800000000005</v>
      </c>
      <c r="W720">
        <v>110.63500000000001</v>
      </c>
      <c r="X720">
        <v>1.09324</v>
      </c>
      <c r="Y720">
        <v>3.42977</v>
      </c>
      <c r="Z720">
        <v>6.0136399999999997</v>
      </c>
      <c r="AA720">
        <v>21.2151</v>
      </c>
      <c r="AB720">
        <v>38.096800000000002</v>
      </c>
      <c r="AC720">
        <v>30.151499999999999</v>
      </c>
      <c r="AD720">
        <v>1.7782800000000001</v>
      </c>
      <c r="AE720">
        <v>6.53078</v>
      </c>
      <c r="AF720">
        <v>0</v>
      </c>
      <c r="AG720">
        <v>99.920900000000003</v>
      </c>
      <c r="AH720">
        <v>7.7499600000000002E-2</v>
      </c>
      <c r="AI720">
        <v>1.6489300000000001E-3</v>
      </c>
      <c r="AJ720">
        <v>0</v>
      </c>
      <c r="AK720">
        <v>0</v>
      </c>
      <c r="AL720">
        <v>0.52116200000000001</v>
      </c>
      <c r="AM720">
        <v>0.67523599999999995</v>
      </c>
      <c r="AN720">
        <v>3.6095000000000002</v>
      </c>
      <c r="AO720">
        <v>8.2454599999999996</v>
      </c>
      <c r="AP720">
        <v>15.233599999999999</v>
      </c>
      <c r="AQ720">
        <v>33.174799999999998</v>
      </c>
      <c r="AR720">
        <v>39.061399999999999</v>
      </c>
      <c r="AS720">
        <v>8.62874E-2</v>
      </c>
      <c r="AT720">
        <v>5.1875200000000001</v>
      </c>
      <c r="AU720">
        <v>30.262799999999999</v>
      </c>
      <c r="AV720">
        <v>39.956800000000001</v>
      </c>
      <c r="AW720">
        <v>16.772099999999998</v>
      </c>
      <c r="AX720">
        <v>5.7011700000000003</v>
      </c>
      <c r="AY720">
        <v>2.1196999999999999</v>
      </c>
      <c r="AZ720">
        <v>570.048</v>
      </c>
      <c r="BA720">
        <v>645</v>
      </c>
      <c r="BB720">
        <v>34481.1</v>
      </c>
      <c r="BC720">
        <v>4.40469E-2</v>
      </c>
      <c r="BD720">
        <v>5.19412E-2</v>
      </c>
      <c r="BE720">
        <v>0.37183300000000002</v>
      </c>
      <c r="BF720">
        <v>1.87401</v>
      </c>
      <c r="BG720">
        <v>33.152500000000003</v>
      </c>
      <c r="BH720">
        <v>54.646299999999997</v>
      </c>
      <c r="BI720">
        <v>9.9034600000000008</v>
      </c>
      <c r="BJ720">
        <v>34.609299999999998</v>
      </c>
      <c r="BK720">
        <v>0</v>
      </c>
      <c r="BL720">
        <v>28.073799999999999</v>
      </c>
      <c r="BM720">
        <v>57.599499999999999</v>
      </c>
      <c r="BN720">
        <v>12.3925</v>
      </c>
      <c r="BO720">
        <v>1.30677</v>
      </c>
      <c r="BP720">
        <v>0.627417</v>
      </c>
      <c r="BQ720">
        <v>34.260399999999997</v>
      </c>
      <c r="BR720">
        <v>121291</v>
      </c>
    </row>
    <row r="721" spans="1:70" x14ac:dyDescent="0.25">
      <c r="A721">
        <v>50</v>
      </c>
      <c r="B721" s="7">
        <v>45973.573125000003</v>
      </c>
      <c r="C721" t="s">
        <v>192</v>
      </c>
      <c r="D721" s="6" t="s">
        <v>394</v>
      </c>
      <c r="E721" s="6" t="str">
        <f>VLOOKUP(F721,Germplasm!$A$1:$B$21,2,FALSE)</f>
        <v>Olve</v>
      </c>
      <c r="F721" t="s">
        <v>62</v>
      </c>
      <c r="G721" s="6" t="s">
        <v>113</v>
      </c>
      <c r="H721">
        <v>50396.800000000003</v>
      </c>
      <c r="I721">
        <v>455.83499999999998</v>
      </c>
      <c r="J721">
        <v>185441</v>
      </c>
      <c r="K721">
        <v>15.956799999999999</v>
      </c>
      <c r="L721">
        <v>59.4253</v>
      </c>
      <c r="M721">
        <v>1718.61</v>
      </c>
      <c r="N721">
        <v>654.50400000000002</v>
      </c>
      <c r="O721">
        <v>28206500</v>
      </c>
      <c r="P721">
        <v>0.20358799999999999</v>
      </c>
      <c r="Q721">
        <v>0.54518500000000003</v>
      </c>
      <c r="R721">
        <v>7.7941700000000003</v>
      </c>
      <c r="S721">
        <v>26.153600000000001</v>
      </c>
      <c r="T721">
        <v>40.210099999999997</v>
      </c>
      <c r="U721">
        <v>24.636199999999999</v>
      </c>
      <c r="V721">
        <v>0.660721</v>
      </c>
      <c r="W721">
        <v>101.73699999999999</v>
      </c>
      <c r="X721">
        <v>3.67639</v>
      </c>
      <c r="Y721">
        <v>8.8764099999999999</v>
      </c>
      <c r="Z721">
        <v>7.8013899999999996</v>
      </c>
      <c r="AA721">
        <v>22.6586</v>
      </c>
      <c r="AB721">
        <v>30.264099999999999</v>
      </c>
      <c r="AC721">
        <v>26.723099999999999</v>
      </c>
      <c r="AD721">
        <v>1.7031499999999999</v>
      </c>
      <c r="AE721">
        <v>7.5340400000000001</v>
      </c>
      <c r="AF721">
        <v>0</v>
      </c>
      <c r="AG721">
        <v>99.172300000000007</v>
      </c>
      <c r="AH721">
        <v>0.81958299999999995</v>
      </c>
      <c r="AI721">
        <v>8.1236199999999998E-3</v>
      </c>
      <c r="AJ721">
        <v>0</v>
      </c>
      <c r="AK721">
        <v>0</v>
      </c>
      <c r="AL721">
        <v>0.44573400000000002</v>
      </c>
      <c r="AM721">
        <v>1.2718</v>
      </c>
      <c r="AN721">
        <v>8.8493300000000001</v>
      </c>
      <c r="AO721">
        <v>14.969099999999999</v>
      </c>
      <c r="AP721">
        <v>19.0932</v>
      </c>
      <c r="AQ721">
        <v>30.2957</v>
      </c>
      <c r="AR721">
        <v>25.520800000000001</v>
      </c>
      <c r="AS721">
        <v>0.12336800000000001</v>
      </c>
      <c r="AT721">
        <v>3.8199100000000001</v>
      </c>
      <c r="AU721">
        <v>26.333200000000001</v>
      </c>
      <c r="AV721">
        <v>37.539299999999997</v>
      </c>
      <c r="AW721">
        <v>21.3796</v>
      </c>
      <c r="AX721">
        <v>8.5857700000000001</v>
      </c>
      <c r="AY721">
        <v>2.3423099999999999</v>
      </c>
      <c r="AZ721">
        <v>559.68700000000001</v>
      </c>
      <c r="BA721">
        <v>596.99900000000002</v>
      </c>
      <c r="BB721">
        <v>29590.400000000001</v>
      </c>
      <c r="BC721">
        <v>8.6806800000000003E-2</v>
      </c>
      <c r="BD721">
        <v>4.24234E-2</v>
      </c>
      <c r="BE721">
        <v>0.232877</v>
      </c>
      <c r="BF721">
        <v>1.67798</v>
      </c>
      <c r="BG721">
        <v>28.1998</v>
      </c>
      <c r="BH721">
        <v>50.176900000000003</v>
      </c>
      <c r="BI721">
        <v>19.670000000000002</v>
      </c>
      <c r="BJ721">
        <v>32.933599999999998</v>
      </c>
      <c r="BK721">
        <v>0</v>
      </c>
      <c r="BL721">
        <v>32.986400000000003</v>
      </c>
      <c r="BM721">
        <v>54.524000000000001</v>
      </c>
      <c r="BN721">
        <v>10.6158</v>
      </c>
      <c r="BO721">
        <v>1.2293799999999999</v>
      </c>
      <c r="BP721">
        <v>0.64447399999999999</v>
      </c>
      <c r="BQ721">
        <v>35.998600000000003</v>
      </c>
      <c r="BR721">
        <v>110788</v>
      </c>
    </row>
    <row r="722" spans="1:70" x14ac:dyDescent="0.25">
      <c r="A722">
        <v>50</v>
      </c>
      <c r="B722" s="7">
        <v>45988.587905092594</v>
      </c>
      <c r="C722" t="s">
        <v>192</v>
      </c>
      <c r="D722" s="6" t="s">
        <v>395</v>
      </c>
      <c r="E722" s="6" t="str">
        <f>VLOOKUP(F722,Germplasm!$A$1:$B$21,2,FALSE)</f>
        <v>Olve</v>
      </c>
      <c r="F722" t="s">
        <v>62</v>
      </c>
      <c r="G722" s="6" t="s">
        <v>113</v>
      </c>
      <c r="H722">
        <v>58331.5</v>
      </c>
      <c r="I722">
        <v>496.25599999999997</v>
      </c>
      <c r="J722">
        <v>156906</v>
      </c>
      <c r="K722">
        <v>23.104600000000001</v>
      </c>
      <c r="L722">
        <v>66.665800000000004</v>
      </c>
      <c r="M722">
        <v>1514.12</v>
      </c>
      <c r="N722">
        <v>572.19000000000005</v>
      </c>
      <c r="O722">
        <v>36088000</v>
      </c>
      <c r="P722">
        <v>0.189327</v>
      </c>
      <c r="Q722">
        <v>0.67693800000000004</v>
      </c>
      <c r="R722">
        <v>9.8209300000000006</v>
      </c>
      <c r="S722">
        <v>26.1037</v>
      </c>
      <c r="T722">
        <v>41.706600000000002</v>
      </c>
      <c r="U722">
        <v>21.150600000000001</v>
      </c>
      <c r="V722">
        <v>0.54126600000000002</v>
      </c>
      <c r="W722">
        <v>86.501999999999995</v>
      </c>
      <c r="X722">
        <v>5.0987</v>
      </c>
      <c r="Y722">
        <v>12.6629</v>
      </c>
      <c r="Z722">
        <v>12.864000000000001</v>
      </c>
      <c r="AA722">
        <v>31.3934</v>
      </c>
      <c r="AB722">
        <v>24.0608</v>
      </c>
      <c r="AC722">
        <v>13.920199999999999</v>
      </c>
      <c r="AD722">
        <v>1.60903</v>
      </c>
      <c r="AE722">
        <v>8.4858600000000006</v>
      </c>
      <c r="AF722">
        <v>0</v>
      </c>
      <c r="AG722">
        <v>97.797300000000007</v>
      </c>
      <c r="AH722">
        <v>2.2027100000000002</v>
      </c>
      <c r="AI722">
        <v>0</v>
      </c>
      <c r="AJ722">
        <v>0</v>
      </c>
      <c r="AK722">
        <v>0</v>
      </c>
      <c r="AL722">
        <v>0.37896800000000003</v>
      </c>
      <c r="AM722">
        <v>2.71983</v>
      </c>
      <c r="AN722">
        <v>15.5092</v>
      </c>
      <c r="AO722">
        <v>16.6493</v>
      </c>
      <c r="AP722">
        <v>21.7103</v>
      </c>
      <c r="AQ722">
        <v>29.863399999999999</v>
      </c>
      <c r="AR722">
        <v>13.548</v>
      </c>
      <c r="AS722">
        <v>0.19919500000000001</v>
      </c>
      <c r="AT722">
        <v>1.58473</v>
      </c>
      <c r="AU722">
        <v>13.6006</v>
      </c>
      <c r="AV722">
        <v>35.9253</v>
      </c>
      <c r="AW722">
        <v>34.383899999999997</v>
      </c>
      <c r="AX722">
        <v>11.7509</v>
      </c>
      <c r="AY722">
        <v>2.7546300000000001</v>
      </c>
      <c r="AZ722">
        <v>618.67100000000005</v>
      </c>
      <c r="BA722">
        <v>690</v>
      </c>
      <c r="BB722">
        <v>36252.5</v>
      </c>
      <c r="BC722">
        <v>0.15754599999999999</v>
      </c>
      <c r="BD722">
        <v>4.4040000000000003E-2</v>
      </c>
      <c r="BE722">
        <v>0.21664900000000001</v>
      </c>
      <c r="BF722">
        <v>0.961067</v>
      </c>
      <c r="BG722">
        <v>13.9628</v>
      </c>
      <c r="BH722">
        <v>50.788800000000002</v>
      </c>
      <c r="BI722">
        <v>34.026600000000002</v>
      </c>
      <c r="BJ722">
        <v>34.561700000000002</v>
      </c>
      <c r="BK722">
        <v>0</v>
      </c>
      <c r="BL722">
        <v>28.003799999999998</v>
      </c>
      <c r="BM722">
        <v>57.938200000000002</v>
      </c>
      <c r="BN722">
        <v>12.017200000000001</v>
      </c>
      <c r="BO722">
        <v>1.36666</v>
      </c>
      <c r="BP722">
        <v>0.67409699999999995</v>
      </c>
      <c r="BQ722">
        <v>38.478499999999997</v>
      </c>
      <c r="BR722">
        <v>140781</v>
      </c>
    </row>
    <row r="723" spans="1:70" x14ac:dyDescent="0.25">
      <c r="A723">
        <v>50</v>
      </c>
      <c r="B723" s="7">
        <v>45994.565081018518</v>
      </c>
      <c r="C723" t="s">
        <v>192</v>
      </c>
      <c r="D723" s="6" t="s">
        <v>396</v>
      </c>
      <c r="E723" s="6" t="str">
        <f>VLOOKUP(F723,Germplasm!$A$1:$B$21,2,FALSE)</f>
        <v>Olve</v>
      </c>
      <c r="F723" t="s">
        <v>62</v>
      </c>
      <c r="G723" s="6" t="s">
        <v>113</v>
      </c>
      <c r="H723">
        <v>48746.5</v>
      </c>
      <c r="I723">
        <v>533.12599999999998</v>
      </c>
      <c r="J723">
        <v>138488</v>
      </c>
      <c r="K723">
        <v>19.776</v>
      </c>
      <c r="L723">
        <v>79.8185</v>
      </c>
      <c r="M723">
        <v>1418.3</v>
      </c>
      <c r="N723">
        <v>534.20100000000002</v>
      </c>
      <c r="O723">
        <v>32330700</v>
      </c>
      <c r="P723">
        <v>0.129689</v>
      </c>
      <c r="Q723">
        <v>0.87231599999999998</v>
      </c>
      <c r="R723">
        <v>13.5715</v>
      </c>
      <c r="S723">
        <v>43.253900000000002</v>
      </c>
      <c r="T723">
        <v>32.270200000000003</v>
      </c>
      <c r="U723">
        <v>9.6756799999999998</v>
      </c>
      <c r="V723">
        <v>0.35640100000000002</v>
      </c>
      <c r="W723">
        <v>67.2988</v>
      </c>
      <c r="X723">
        <v>6.9985799999999996</v>
      </c>
      <c r="Y723">
        <v>30.015999999999998</v>
      </c>
      <c r="Z723">
        <v>16.837399999999999</v>
      </c>
      <c r="AA723">
        <v>23.228000000000002</v>
      </c>
      <c r="AB723">
        <v>12.7393</v>
      </c>
      <c r="AC723">
        <v>10.1807</v>
      </c>
      <c r="AD723">
        <v>1.7798799999999999</v>
      </c>
      <c r="AE723">
        <v>11.0144</v>
      </c>
      <c r="AF723">
        <v>0</v>
      </c>
      <c r="AG723">
        <v>94.813500000000005</v>
      </c>
      <c r="AH723">
        <v>5.1791999999999998</v>
      </c>
      <c r="AI723">
        <v>7.2920800000000003E-3</v>
      </c>
      <c r="AJ723">
        <v>0</v>
      </c>
      <c r="AK723">
        <v>0</v>
      </c>
      <c r="AL723">
        <v>0.24775</v>
      </c>
      <c r="AM723">
        <v>6.78437</v>
      </c>
      <c r="AN723">
        <v>32.906399999999998</v>
      </c>
      <c r="AO723">
        <v>21.346699999999998</v>
      </c>
      <c r="AP723">
        <v>20.085999999999999</v>
      </c>
      <c r="AQ723">
        <v>14.6243</v>
      </c>
      <c r="AR723">
        <v>4.2522000000000002</v>
      </c>
      <c r="AS723">
        <v>0.26294600000000001</v>
      </c>
      <c r="AT723">
        <v>0.99992700000000001</v>
      </c>
      <c r="AU723">
        <v>8.6010100000000005</v>
      </c>
      <c r="AV723">
        <v>28.825600000000001</v>
      </c>
      <c r="AW723">
        <v>35.801400000000001</v>
      </c>
      <c r="AX723">
        <v>21.838000000000001</v>
      </c>
      <c r="AY723">
        <v>3.9340799999999998</v>
      </c>
      <c r="AZ723">
        <v>663.24199999999996</v>
      </c>
      <c r="BA723">
        <v>699.601</v>
      </c>
      <c r="BB723">
        <v>27387.4</v>
      </c>
      <c r="BC723">
        <v>0.26108100000000001</v>
      </c>
      <c r="BD723">
        <v>6.1071199999999999E-2</v>
      </c>
      <c r="BE723">
        <v>0.21238199999999999</v>
      </c>
      <c r="BF723">
        <v>0.88781100000000002</v>
      </c>
      <c r="BG723">
        <v>8.4396799999999992</v>
      </c>
      <c r="BH723">
        <v>35.090400000000002</v>
      </c>
      <c r="BI723">
        <v>55.308599999999998</v>
      </c>
      <c r="BJ723">
        <v>34.8048</v>
      </c>
      <c r="BK723">
        <v>0</v>
      </c>
      <c r="BL723">
        <v>28.6479</v>
      </c>
      <c r="BM723">
        <v>55.396099999999997</v>
      </c>
      <c r="BN723">
        <v>14.109299999999999</v>
      </c>
      <c r="BO723">
        <v>1.1311800000000001</v>
      </c>
      <c r="BP723">
        <v>0.71553599999999995</v>
      </c>
      <c r="BQ723">
        <v>34.222000000000001</v>
      </c>
      <c r="BR723">
        <v>109708</v>
      </c>
    </row>
    <row r="724" spans="1:70" x14ac:dyDescent="0.25">
      <c r="A724">
        <v>50</v>
      </c>
      <c r="B724" s="7">
        <v>46002.59065972222</v>
      </c>
      <c r="C724" t="s">
        <v>192</v>
      </c>
      <c r="D724" s="6" t="s">
        <v>397</v>
      </c>
      <c r="E724" s="6" t="str">
        <f>VLOOKUP(F724,Germplasm!$A$1:$B$21,2,FALSE)</f>
        <v>Olve</v>
      </c>
      <c r="F724" t="s">
        <v>62</v>
      </c>
      <c r="G724" s="6" t="s">
        <v>113</v>
      </c>
      <c r="H724">
        <v>35371.199999999997</v>
      </c>
      <c r="I724">
        <v>466.11099999999999</v>
      </c>
      <c r="J724">
        <v>100610</v>
      </c>
      <c r="K724">
        <v>18.810700000000001</v>
      </c>
      <c r="L724">
        <v>62.201700000000002</v>
      </c>
      <c r="M724">
        <v>1237.98</v>
      </c>
      <c r="N724">
        <v>448.923</v>
      </c>
      <c r="O724">
        <v>21030100</v>
      </c>
      <c r="P724">
        <v>8.2614900000000005E-2</v>
      </c>
      <c r="Q724">
        <v>1.15089</v>
      </c>
      <c r="R724">
        <v>24.542899999999999</v>
      </c>
      <c r="S724">
        <v>46.604300000000002</v>
      </c>
      <c r="T724">
        <v>21.287199999999999</v>
      </c>
      <c r="U724">
        <v>6.2128300000000003</v>
      </c>
      <c r="V724">
        <v>0.201933</v>
      </c>
      <c r="W724">
        <v>54.275799999999997</v>
      </c>
      <c r="X724">
        <v>13.255699999999999</v>
      </c>
      <c r="Y724">
        <v>38.514600000000002</v>
      </c>
      <c r="Z724">
        <v>14.6234</v>
      </c>
      <c r="AA724">
        <v>16.387499999999999</v>
      </c>
      <c r="AB724">
        <v>8.4105500000000006</v>
      </c>
      <c r="AC724">
        <v>8.80823</v>
      </c>
      <c r="AD724">
        <v>1.86897</v>
      </c>
      <c r="AE724">
        <v>12.4253</v>
      </c>
      <c r="AF724">
        <v>0</v>
      </c>
      <c r="AG724">
        <v>93.974199999999996</v>
      </c>
      <c r="AH724">
        <v>5.8981700000000004</v>
      </c>
      <c r="AI724">
        <v>0.12760199999999999</v>
      </c>
      <c r="AJ724">
        <v>0</v>
      </c>
      <c r="AK724">
        <v>0</v>
      </c>
      <c r="AL724">
        <v>0.18765899999999999</v>
      </c>
      <c r="AM724">
        <v>10.428599999999999</v>
      </c>
      <c r="AN724">
        <v>41.487900000000003</v>
      </c>
      <c r="AO724">
        <v>22.689499999999999</v>
      </c>
      <c r="AP724">
        <v>15.1214</v>
      </c>
      <c r="AQ724">
        <v>7.4529199999999998</v>
      </c>
      <c r="AR724">
        <v>2.81962</v>
      </c>
      <c r="AS724">
        <v>0.26757199999999998</v>
      </c>
      <c r="AT724">
        <v>0.85728400000000005</v>
      </c>
      <c r="AU724">
        <v>6.6476699999999997</v>
      </c>
      <c r="AV724">
        <v>26.528700000000001</v>
      </c>
      <c r="AW724">
        <v>44.0349</v>
      </c>
      <c r="AX724">
        <v>18.6967</v>
      </c>
      <c r="AY724">
        <v>3.2346400000000002</v>
      </c>
      <c r="AZ724">
        <v>594.55499999999995</v>
      </c>
      <c r="BA724">
        <v>634.19899999999996</v>
      </c>
      <c r="BB724">
        <v>18925.5</v>
      </c>
      <c r="BC724">
        <v>0.29223500000000002</v>
      </c>
      <c r="BD724">
        <v>4.3359799999999997E-2</v>
      </c>
      <c r="BE724">
        <v>0.29608499999999999</v>
      </c>
      <c r="BF724">
        <v>0.82135800000000003</v>
      </c>
      <c r="BG724">
        <v>6.34415</v>
      </c>
      <c r="BH724">
        <v>25.785399999999999</v>
      </c>
      <c r="BI724">
        <v>66.709599999999995</v>
      </c>
      <c r="BJ724">
        <v>32.700000000000003</v>
      </c>
      <c r="BK724">
        <v>0</v>
      </c>
      <c r="BL724">
        <v>32.727899999999998</v>
      </c>
      <c r="BM724">
        <v>56.392499999999998</v>
      </c>
      <c r="BN724">
        <v>8.9952900000000007</v>
      </c>
      <c r="BO724">
        <v>1.2190300000000001</v>
      </c>
      <c r="BP724">
        <v>0.66526300000000005</v>
      </c>
      <c r="BQ724">
        <v>32.3735</v>
      </c>
      <c r="BR724">
        <v>80720</v>
      </c>
    </row>
    <row r="725" spans="1:70" x14ac:dyDescent="0.25">
      <c r="A725">
        <v>50</v>
      </c>
      <c r="B725" s="7">
        <v>46013.569502314815</v>
      </c>
      <c r="C725" t="s">
        <v>192</v>
      </c>
      <c r="D725" s="6" t="s">
        <v>398</v>
      </c>
      <c r="E725" s="6" t="str">
        <f>VLOOKUP(F725,Germplasm!$A$1:$B$21,2,FALSE)</f>
        <v>Olve</v>
      </c>
      <c r="F725" t="s">
        <v>62</v>
      </c>
      <c r="G725" s="6" t="s">
        <v>113</v>
      </c>
      <c r="H725">
        <v>45093</v>
      </c>
      <c r="I725">
        <v>441.46499999999997</v>
      </c>
      <c r="J725">
        <v>129948</v>
      </c>
      <c r="K725">
        <v>18.122299999999999</v>
      </c>
      <c r="L725">
        <v>55.525300000000001</v>
      </c>
      <c r="M725">
        <v>1477.74</v>
      </c>
      <c r="N725">
        <v>618.49599999999998</v>
      </c>
      <c r="O725">
        <v>25535400</v>
      </c>
      <c r="P725">
        <v>2.0346599999999999E-2</v>
      </c>
      <c r="Q725">
        <v>1.30122</v>
      </c>
      <c r="R725">
        <v>33.020499999999998</v>
      </c>
      <c r="S725">
        <v>60.695</v>
      </c>
      <c r="T725">
        <v>4.0998599999999996</v>
      </c>
      <c r="U725">
        <v>0.81975900000000002</v>
      </c>
      <c r="V725">
        <v>6.3629400000000003E-2</v>
      </c>
      <c r="W725">
        <v>38.908299999999997</v>
      </c>
      <c r="X725">
        <v>16.677299999999999</v>
      </c>
      <c r="Y725">
        <v>56.9664</v>
      </c>
      <c r="Z725">
        <v>10.488200000000001</v>
      </c>
      <c r="AA725">
        <v>4.3458899999999998</v>
      </c>
      <c r="AB725">
        <v>3.0096699999999998</v>
      </c>
      <c r="AC725">
        <v>8.5125600000000006</v>
      </c>
      <c r="AD725">
        <v>1.91482</v>
      </c>
      <c r="AE725">
        <v>18.630600000000001</v>
      </c>
      <c r="AF725">
        <v>0</v>
      </c>
      <c r="AG725">
        <v>74.3001</v>
      </c>
      <c r="AH725">
        <v>25.2683</v>
      </c>
      <c r="AI725">
        <v>0.43055900000000003</v>
      </c>
      <c r="AJ725">
        <v>1.0604900000000001E-3</v>
      </c>
      <c r="AK725">
        <v>0</v>
      </c>
      <c r="AL725">
        <v>0.101451</v>
      </c>
      <c r="AM725">
        <v>16.617899999999999</v>
      </c>
      <c r="AN725">
        <v>58.689700000000002</v>
      </c>
      <c r="AO725">
        <v>16.008099999999999</v>
      </c>
      <c r="AP725">
        <v>5.7786099999999996</v>
      </c>
      <c r="AQ725">
        <v>2.2079399999999998</v>
      </c>
      <c r="AR725">
        <v>0.69780299999999995</v>
      </c>
      <c r="AS725">
        <v>0.248553</v>
      </c>
      <c r="AT725">
        <v>0.57054400000000005</v>
      </c>
      <c r="AU725">
        <v>5.57606</v>
      </c>
      <c r="AV725">
        <v>29.901599999999998</v>
      </c>
      <c r="AW725">
        <v>51.472000000000001</v>
      </c>
      <c r="AX725">
        <v>10.3705</v>
      </c>
      <c r="AY725">
        <v>2.1093199999999999</v>
      </c>
      <c r="AZ725">
        <v>566.28300000000002</v>
      </c>
      <c r="BA725">
        <v>587.399</v>
      </c>
      <c r="BB725">
        <v>23549.5</v>
      </c>
      <c r="BC725">
        <v>0.31594699999999998</v>
      </c>
      <c r="BD725">
        <v>5.0903499999999997E-2</v>
      </c>
      <c r="BE725">
        <v>0.25239699999999998</v>
      </c>
      <c r="BF725">
        <v>0.90883999999999998</v>
      </c>
      <c r="BG725">
        <v>4.9344599999999996</v>
      </c>
      <c r="BH725">
        <v>15.952999999999999</v>
      </c>
      <c r="BI725">
        <v>77.900400000000005</v>
      </c>
      <c r="BJ725">
        <v>27.433499999999999</v>
      </c>
      <c r="BK725">
        <v>0</v>
      </c>
      <c r="BL725">
        <v>46.628700000000002</v>
      </c>
      <c r="BM725">
        <v>49.109200000000001</v>
      </c>
      <c r="BN725">
        <v>2.8293900000000001</v>
      </c>
      <c r="BO725">
        <v>0.81021500000000002</v>
      </c>
      <c r="BP725">
        <v>0.62250799999999995</v>
      </c>
      <c r="BQ725">
        <v>31.513500000000001</v>
      </c>
      <c r="BR725">
        <v>94296</v>
      </c>
    </row>
    <row r="726" spans="1:70" x14ac:dyDescent="0.25">
      <c r="A726">
        <v>50</v>
      </c>
      <c r="B726" s="7">
        <v>46024.566354166665</v>
      </c>
      <c r="C726" t="s">
        <v>192</v>
      </c>
      <c r="D726" s="6" t="s">
        <v>399</v>
      </c>
      <c r="E726" s="6" t="str">
        <f>VLOOKUP(F726,Germplasm!$A$1:$B$21,2,FALSE)</f>
        <v>Olve</v>
      </c>
      <c r="F726" t="s">
        <v>62</v>
      </c>
      <c r="G726" s="6" t="s">
        <v>113</v>
      </c>
      <c r="H726">
        <v>39565.699999999997</v>
      </c>
      <c r="I726">
        <v>466.95400000000001</v>
      </c>
      <c r="J726">
        <v>133146</v>
      </c>
      <c r="K726">
        <v>15.9369</v>
      </c>
      <c r="L726">
        <v>52.650199999999998</v>
      </c>
      <c r="M726">
        <v>1445.23</v>
      </c>
      <c r="N726">
        <v>592.99400000000003</v>
      </c>
      <c r="O726">
        <v>20039000</v>
      </c>
      <c r="P726">
        <v>1.15811E-2</v>
      </c>
      <c r="Q726">
        <v>0.83826999999999996</v>
      </c>
      <c r="R726">
        <v>38.834200000000003</v>
      </c>
      <c r="S726">
        <v>57.232500000000002</v>
      </c>
      <c r="T726">
        <v>2.7098399999999998</v>
      </c>
      <c r="U726">
        <v>0.36341200000000001</v>
      </c>
      <c r="V726">
        <v>2.18047E-2</v>
      </c>
      <c r="W726">
        <v>35.643799999999999</v>
      </c>
      <c r="X726">
        <v>20.581199999999999</v>
      </c>
      <c r="Y726">
        <v>59.846600000000002</v>
      </c>
      <c r="Z726">
        <v>8.7448999999999995</v>
      </c>
      <c r="AA726">
        <v>3.42455</v>
      </c>
      <c r="AB726">
        <v>1.42821</v>
      </c>
      <c r="AC726">
        <v>5.9744900000000003</v>
      </c>
      <c r="AD726">
        <v>1.8646100000000001</v>
      </c>
      <c r="AE726">
        <v>21.252300000000002</v>
      </c>
      <c r="AF726">
        <v>0</v>
      </c>
      <c r="AG726">
        <v>66.029499999999999</v>
      </c>
      <c r="AH726">
        <v>33.552599999999998</v>
      </c>
      <c r="AI726">
        <v>0.41792299999999999</v>
      </c>
      <c r="AJ726">
        <v>0</v>
      </c>
      <c r="AK726">
        <v>0</v>
      </c>
      <c r="AL726">
        <v>6.9269300000000006E-2</v>
      </c>
      <c r="AM726">
        <v>22.787099999999999</v>
      </c>
      <c r="AN726">
        <v>59.273699999999998</v>
      </c>
      <c r="AO726">
        <v>12.8902</v>
      </c>
      <c r="AP726">
        <v>3.6304799999999999</v>
      </c>
      <c r="AQ726">
        <v>1.08297</v>
      </c>
      <c r="AR726">
        <v>0.33555000000000001</v>
      </c>
      <c r="AS726">
        <v>0.24989600000000001</v>
      </c>
      <c r="AT726">
        <v>0.38279400000000002</v>
      </c>
      <c r="AU726">
        <v>3.5408400000000002</v>
      </c>
      <c r="AV726">
        <v>32.606499999999997</v>
      </c>
      <c r="AW726">
        <v>52.2913</v>
      </c>
      <c r="AX726">
        <v>8.3778500000000005</v>
      </c>
      <c r="AY726">
        <v>2.8006899999999999</v>
      </c>
      <c r="AZ726">
        <v>506.47399999999999</v>
      </c>
      <c r="BA726">
        <v>537.899</v>
      </c>
      <c r="BB726">
        <v>21219.3</v>
      </c>
      <c r="BC726">
        <v>0.32888899999999999</v>
      </c>
      <c r="BD726">
        <v>7.7527799999999994E-2</v>
      </c>
      <c r="BE726">
        <v>0.28588400000000003</v>
      </c>
      <c r="BF726">
        <v>0.69775100000000001</v>
      </c>
      <c r="BG726">
        <v>2.8624700000000001</v>
      </c>
      <c r="BH726">
        <v>12.9665</v>
      </c>
      <c r="BI726">
        <v>83.109800000000007</v>
      </c>
      <c r="BJ726">
        <v>26.4893</v>
      </c>
      <c r="BK726">
        <v>0</v>
      </c>
      <c r="BL726">
        <v>52.047800000000002</v>
      </c>
      <c r="BM726">
        <v>42.780799999999999</v>
      </c>
      <c r="BN726">
        <v>3.5941399999999999</v>
      </c>
      <c r="BO726">
        <v>1.0660099999999999</v>
      </c>
      <c r="BP726">
        <v>0.51119899999999996</v>
      </c>
      <c r="BQ726">
        <v>32.461799999999997</v>
      </c>
      <c r="BR726">
        <v>82551</v>
      </c>
    </row>
    <row r="727" spans="1:70" x14ac:dyDescent="0.25">
      <c r="A727">
        <v>50</v>
      </c>
      <c r="B727" s="7">
        <v>46024.566886574074</v>
      </c>
      <c r="C727" t="s">
        <v>192</v>
      </c>
      <c r="D727" s="6" t="s">
        <v>400</v>
      </c>
      <c r="E727" s="6" t="str">
        <f>VLOOKUP(F727,Germplasm!$A$1:$B$21,2,FALSE)</f>
        <v>Olve</v>
      </c>
      <c r="F727" t="s">
        <v>62</v>
      </c>
      <c r="G727" s="6" t="s">
        <v>113</v>
      </c>
      <c r="H727">
        <v>35590.800000000003</v>
      </c>
      <c r="I727">
        <v>473.81799999999998</v>
      </c>
      <c r="J727">
        <v>118796</v>
      </c>
      <c r="K727">
        <v>16.187799999999999</v>
      </c>
      <c r="L727">
        <v>68.83</v>
      </c>
      <c r="M727">
        <v>1322.15</v>
      </c>
      <c r="N727">
        <v>508.142</v>
      </c>
      <c r="O727">
        <v>18241600</v>
      </c>
      <c r="P727">
        <v>1.47283E-2</v>
      </c>
      <c r="Q727">
        <v>1.1085799999999999</v>
      </c>
      <c r="R727">
        <v>37.585099999999997</v>
      </c>
      <c r="S727">
        <v>56.930599999999998</v>
      </c>
      <c r="T727">
        <v>3.5655800000000002</v>
      </c>
      <c r="U727">
        <v>0.76881100000000002</v>
      </c>
      <c r="V727">
        <v>4.13052E-2</v>
      </c>
      <c r="W727">
        <v>36.993899999999996</v>
      </c>
      <c r="X727">
        <v>19.3935</v>
      </c>
      <c r="Y727">
        <v>57.039900000000003</v>
      </c>
      <c r="Z727">
        <v>8.9259299999999993</v>
      </c>
      <c r="AA727">
        <v>4.5502399999999996</v>
      </c>
      <c r="AB727">
        <v>2.1878500000000001</v>
      </c>
      <c r="AC727">
        <v>7.9026300000000003</v>
      </c>
      <c r="AD727">
        <v>1.8507400000000001</v>
      </c>
      <c r="AE727">
        <v>20.654499999999999</v>
      </c>
      <c r="AF727">
        <v>0</v>
      </c>
      <c r="AG727">
        <v>67.069100000000006</v>
      </c>
      <c r="AH727">
        <v>32.5565</v>
      </c>
      <c r="AI727">
        <v>0.36908200000000002</v>
      </c>
      <c r="AJ727">
        <v>5.3297099999999997E-3</v>
      </c>
      <c r="AK727">
        <v>0</v>
      </c>
      <c r="AL727">
        <v>7.2470000000000007E-2</v>
      </c>
      <c r="AM727">
        <v>23.921099999999999</v>
      </c>
      <c r="AN727">
        <v>56.3217</v>
      </c>
      <c r="AO727">
        <v>13.2963</v>
      </c>
      <c r="AP727">
        <v>4.4209899999999998</v>
      </c>
      <c r="AQ727">
        <v>1.65354</v>
      </c>
      <c r="AR727">
        <v>0.38640400000000003</v>
      </c>
      <c r="AS727">
        <v>0.239707</v>
      </c>
      <c r="AT727">
        <v>0.56095200000000001</v>
      </c>
      <c r="AU727">
        <v>4.9059999999999997</v>
      </c>
      <c r="AV727">
        <v>33.926299999999998</v>
      </c>
      <c r="AW727">
        <v>49.923400000000001</v>
      </c>
      <c r="AX727">
        <v>7.8919699999999997</v>
      </c>
      <c r="AY727">
        <v>2.7914400000000001</v>
      </c>
      <c r="AZ727">
        <v>512.53700000000003</v>
      </c>
      <c r="BA727">
        <v>530.99900000000002</v>
      </c>
      <c r="BB727">
        <v>19230.5</v>
      </c>
      <c r="BC727">
        <v>0.313301</v>
      </c>
      <c r="BD727">
        <v>0.121251</v>
      </c>
      <c r="BE727">
        <v>0.41305199999999997</v>
      </c>
      <c r="BF727">
        <v>0.99132600000000004</v>
      </c>
      <c r="BG727">
        <v>3.9413200000000002</v>
      </c>
      <c r="BH727">
        <v>14.7193</v>
      </c>
      <c r="BI727">
        <v>79.813699999999997</v>
      </c>
      <c r="BJ727">
        <v>26.1281</v>
      </c>
      <c r="BK727">
        <v>0</v>
      </c>
      <c r="BL727">
        <v>53.396999999999998</v>
      </c>
      <c r="BM727">
        <v>41.321199999999997</v>
      </c>
      <c r="BN727">
        <v>3.5642399999999999</v>
      </c>
      <c r="BO727">
        <v>1.0846</v>
      </c>
      <c r="BP727">
        <v>0.63290299999999999</v>
      </c>
      <c r="BQ727">
        <v>32.732500000000002</v>
      </c>
      <c r="BR727">
        <v>75051</v>
      </c>
    </row>
    <row r="728" spans="1:70" x14ac:dyDescent="0.25">
      <c r="A728">
        <v>50</v>
      </c>
      <c r="B728" s="7">
        <v>45952.579398148147</v>
      </c>
      <c r="C728" t="s">
        <v>193</v>
      </c>
      <c r="D728" s="6" t="s">
        <v>391</v>
      </c>
      <c r="E728" s="6" t="str">
        <f>VLOOKUP(F728,Germplasm!$A$1:$B$21,2,FALSE)</f>
        <v>Helium</v>
      </c>
      <c r="F728" t="s">
        <v>76</v>
      </c>
      <c r="G728" s="6" t="s">
        <v>113</v>
      </c>
      <c r="H728">
        <v>35521.1</v>
      </c>
      <c r="I728">
        <v>344.58499999999998</v>
      </c>
      <c r="J728">
        <v>138883</v>
      </c>
      <c r="K728">
        <v>14.780099999999999</v>
      </c>
      <c r="L728">
        <v>73.765000000000001</v>
      </c>
      <c r="M728">
        <v>1441.67</v>
      </c>
      <c r="N728">
        <v>552.96199999999999</v>
      </c>
      <c r="O728">
        <v>13458800</v>
      </c>
      <c r="P728">
        <v>0.241784</v>
      </c>
      <c r="Q728">
        <v>0.47487299999999999</v>
      </c>
      <c r="R728">
        <v>3.7026300000000001</v>
      </c>
      <c r="S728">
        <v>17.7713</v>
      </c>
      <c r="T728">
        <v>44.066800000000001</v>
      </c>
      <c r="U728">
        <v>33.554900000000004</v>
      </c>
      <c r="V728">
        <v>0.42945</v>
      </c>
      <c r="W728">
        <v>119.774</v>
      </c>
      <c r="X728">
        <v>0.84100699999999995</v>
      </c>
      <c r="Y728">
        <v>1.8003899999999999</v>
      </c>
      <c r="Z728">
        <v>3.4920399999999998</v>
      </c>
      <c r="AA728">
        <v>15.3088</v>
      </c>
      <c r="AB728">
        <v>37.304400000000001</v>
      </c>
      <c r="AC728">
        <v>41.253399999999999</v>
      </c>
      <c r="AD728">
        <v>1.7304600000000001</v>
      </c>
      <c r="AE728">
        <v>6.8049299999999997</v>
      </c>
      <c r="AF728">
        <v>0</v>
      </c>
      <c r="AG728">
        <v>99.782499999999999</v>
      </c>
      <c r="AH728">
        <v>0.19545499999999999</v>
      </c>
      <c r="AI728">
        <v>2.20231E-2</v>
      </c>
      <c r="AJ728">
        <v>0</v>
      </c>
      <c r="AK728">
        <v>0</v>
      </c>
      <c r="AL728">
        <v>0.53361400000000003</v>
      </c>
      <c r="AM728">
        <v>0.432203</v>
      </c>
      <c r="AN728">
        <v>2.2215799999999999</v>
      </c>
      <c r="AO728">
        <v>4.8092899999999998</v>
      </c>
      <c r="AP728">
        <v>15.350099999999999</v>
      </c>
      <c r="AQ728">
        <v>41.167999999999999</v>
      </c>
      <c r="AR728">
        <v>36.018799999999999</v>
      </c>
      <c r="AS728">
        <v>2.4959700000000001E-2</v>
      </c>
      <c r="AT728">
        <v>8.8932000000000002</v>
      </c>
      <c r="AU728">
        <v>38.280299999999997</v>
      </c>
      <c r="AV728">
        <v>38.0366</v>
      </c>
      <c r="AW728">
        <v>10.9826</v>
      </c>
      <c r="AX728">
        <v>2.58771</v>
      </c>
      <c r="AY728">
        <v>1.21953</v>
      </c>
      <c r="AZ728">
        <v>378.89600000000002</v>
      </c>
      <c r="BA728">
        <v>394.79899999999998</v>
      </c>
      <c r="BB728">
        <v>20527</v>
      </c>
      <c r="BC728">
        <v>4.68659E-3</v>
      </c>
      <c r="BD728">
        <v>5.5057700000000001E-2</v>
      </c>
      <c r="BE728">
        <v>0.63591699999999995</v>
      </c>
      <c r="BF728">
        <v>3.63794</v>
      </c>
      <c r="BG728">
        <v>42.8446</v>
      </c>
      <c r="BH728">
        <v>47.970399999999998</v>
      </c>
      <c r="BI728">
        <v>4.85609</v>
      </c>
      <c r="BJ728">
        <v>32.662199999999999</v>
      </c>
      <c r="BK728">
        <v>0</v>
      </c>
      <c r="BL728">
        <v>29.605899999999998</v>
      </c>
      <c r="BM728">
        <v>60.929600000000001</v>
      </c>
      <c r="BN728">
        <v>8.3068399999999993</v>
      </c>
      <c r="BO728">
        <v>0.74052700000000005</v>
      </c>
      <c r="BP728">
        <v>0.41706199999999999</v>
      </c>
      <c r="BQ728">
        <v>35.334299999999999</v>
      </c>
      <c r="BR728">
        <v>72651</v>
      </c>
    </row>
    <row r="729" spans="1:70" x14ac:dyDescent="0.25">
      <c r="A729">
        <v>50</v>
      </c>
      <c r="B729" s="7">
        <v>45959.548773148148</v>
      </c>
      <c r="C729" t="s">
        <v>193</v>
      </c>
      <c r="D729" s="6" t="s">
        <v>392</v>
      </c>
      <c r="E729" s="6" t="str">
        <f>VLOOKUP(F729,Germplasm!$A$1:$B$21,2,FALSE)</f>
        <v>Helium</v>
      </c>
      <c r="F729" t="s">
        <v>76</v>
      </c>
      <c r="G729" s="6" t="s">
        <v>113</v>
      </c>
      <c r="H729">
        <v>53057.1</v>
      </c>
      <c r="I729">
        <v>468.20100000000002</v>
      </c>
      <c r="J729">
        <v>215578</v>
      </c>
      <c r="K729">
        <v>13.986599999999999</v>
      </c>
      <c r="L729">
        <v>79.188800000000001</v>
      </c>
      <c r="M729">
        <v>1762.25</v>
      </c>
      <c r="N729">
        <v>648.92100000000005</v>
      </c>
      <c r="O729">
        <v>28352600</v>
      </c>
      <c r="P729">
        <v>0.21535899999999999</v>
      </c>
      <c r="Q729">
        <v>0.69021100000000002</v>
      </c>
      <c r="R729">
        <v>3.8640599999999998</v>
      </c>
      <c r="S729">
        <v>22.540900000000001</v>
      </c>
      <c r="T729">
        <v>48.943100000000001</v>
      </c>
      <c r="U729">
        <v>23.4437</v>
      </c>
      <c r="V729">
        <v>0.51789200000000002</v>
      </c>
      <c r="W729">
        <v>123.155</v>
      </c>
      <c r="X729">
        <v>1.0713699999999999</v>
      </c>
      <c r="Y729">
        <v>2.0256799999999999</v>
      </c>
      <c r="Z729">
        <v>3.5915300000000001</v>
      </c>
      <c r="AA729">
        <v>13.649699999999999</v>
      </c>
      <c r="AB729">
        <v>31.6233</v>
      </c>
      <c r="AC729">
        <v>48.038499999999999</v>
      </c>
      <c r="AD729">
        <v>1.75966</v>
      </c>
      <c r="AE729">
        <v>6.5903700000000001</v>
      </c>
      <c r="AF729">
        <v>0</v>
      </c>
      <c r="AG729">
        <v>99.722800000000007</v>
      </c>
      <c r="AH729">
        <v>0.249113</v>
      </c>
      <c r="AI729">
        <v>2.80954E-2</v>
      </c>
      <c r="AJ729">
        <v>0</v>
      </c>
      <c r="AK729">
        <v>0</v>
      </c>
      <c r="AL729">
        <v>0.51522000000000001</v>
      </c>
      <c r="AM729">
        <v>0.63402000000000003</v>
      </c>
      <c r="AN729">
        <v>2.9659399999999998</v>
      </c>
      <c r="AO729">
        <v>6.0039899999999999</v>
      </c>
      <c r="AP729">
        <v>18.371600000000001</v>
      </c>
      <c r="AQ729">
        <v>39.5246</v>
      </c>
      <c r="AR729">
        <v>32.4998</v>
      </c>
      <c r="AS729">
        <v>6.1741599999999997E-3</v>
      </c>
      <c r="AT729">
        <v>9.4419299999999993</v>
      </c>
      <c r="AU729">
        <v>44.321399999999997</v>
      </c>
      <c r="AV729">
        <v>33.875599999999999</v>
      </c>
      <c r="AW729">
        <v>8.8060399999999994</v>
      </c>
      <c r="AX729">
        <v>2.0893600000000001</v>
      </c>
      <c r="AY729">
        <v>1.4656400000000001</v>
      </c>
      <c r="AZ729">
        <v>534.38</v>
      </c>
      <c r="BA729">
        <v>623.399</v>
      </c>
      <c r="BB729">
        <v>30151.9</v>
      </c>
      <c r="BC729">
        <v>-6.47044E-3</v>
      </c>
      <c r="BD729">
        <v>9.7397399999999995E-2</v>
      </c>
      <c r="BE729">
        <v>0.85222799999999999</v>
      </c>
      <c r="BF729">
        <v>4.3023400000000001</v>
      </c>
      <c r="BG729">
        <v>48.5105</v>
      </c>
      <c r="BH729">
        <v>41.029600000000002</v>
      </c>
      <c r="BI729">
        <v>5.2079500000000003</v>
      </c>
      <c r="BJ729">
        <v>30.307600000000001</v>
      </c>
      <c r="BK729">
        <v>0</v>
      </c>
      <c r="BL729">
        <v>37.876399999999997</v>
      </c>
      <c r="BM729">
        <v>54.539700000000003</v>
      </c>
      <c r="BN729">
        <v>5.9609100000000002</v>
      </c>
      <c r="BO729">
        <v>0.78760799999999997</v>
      </c>
      <c r="BP729">
        <v>0.83536999999999995</v>
      </c>
      <c r="BQ729">
        <v>34.674100000000003</v>
      </c>
      <c r="BR729">
        <v>106779</v>
      </c>
    </row>
    <row r="730" spans="1:70" x14ac:dyDescent="0.25">
      <c r="A730">
        <v>50</v>
      </c>
      <c r="B730" s="7">
        <v>45966.532557870371</v>
      </c>
      <c r="C730" t="s">
        <v>193</v>
      </c>
      <c r="D730" s="6" t="s">
        <v>393</v>
      </c>
      <c r="E730" s="6" t="str">
        <f>VLOOKUP(F730,Germplasm!$A$1:$B$21,2,FALSE)</f>
        <v>Helium</v>
      </c>
      <c r="F730" t="s">
        <v>76</v>
      </c>
      <c r="G730" s="6" t="s">
        <v>113</v>
      </c>
      <c r="H730">
        <v>66245.5</v>
      </c>
      <c r="I730">
        <v>543.57299999999998</v>
      </c>
      <c r="J730">
        <v>229242</v>
      </c>
      <c r="K730">
        <v>15.8812</v>
      </c>
      <c r="L730">
        <v>79.094899999999996</v>
      </c>
      <c r="M730">
        <v>1799.74</v>
      </c>
      <c r="N730">
        <v>650.26599999999996</v>
      </c>
      <c r="O730">
        <v>43462200</v>
      </c>
      <c r="P730">
        <v>0.213979</v>
      </c>
      <c r="Q730">
        <v>0.49423899999999998</v>
      </c>
      <c r="R730">
        <v>3.85629</v>
      </c>
      <c r="S730">
        <v>23.0017</v>
      </c>
      <c r="T730">
        <v>49.514600000000002</v>
      </c>
      <c r="U730">
        <v>22.729600000000001</v>
      </c>
      <c r="V730">
        <v>0.40353899999999998</v>
      </c>
      <c r="W730">
        <v>117.07599999999999</v>
      </c>
      <c r="X730">
        <v>1.15066</v>
      </c>
      <c r="Y730">
        <v>2.7617400000000001</v>
      </c>
      <c r="Z730">
        <v>4.7271700000000001</v>
      </c>
      <c r="AA730">
        <v>15.942500000000001</v>
      </c>
      <c r="AB730">
        <v>36.286999999999999</v>
      </c>
      <c r="AC730">
        <v>39.131</v>
      </c>
      <c r="AD730">
        <v>1.8196099999999999</v>
      </c>
      <c r="AE730">
        <v>6.6775200000000003</v>
      </c>
      <c r="AF730">
        <v>0</v>
      </c>
      <c r="AG730">
        <v>99.730199999999996</v>
      </c>
      <c r="AH730">
        <v>0.26748899999999998</v>
      </c>
      <c r="AI730">
        <v>2.3059399999999998E-3</v>
      </c>
      <c r="AJ730">
        <v>0</v>
      </c>
      <c r="AK730">
        <v>0</v>
      </c>
      <c r="AL730">
        <v>0.50214099999999995</v>
      </c>
      <c r="AM730">
        <v>0.74328000000000005</v>
      </c>
      <c r="AN730">
        <v>3.3828100000000001</v>
      </c>
      <c r="AO730">
        <v>6.7233400000000003</v>
      </c>
      <c r="AP730">
        <v>17.994</v>
      </c>
      <c r="AQ730">
        <v>42.643700000000003</v>
      </c>
      <c r="AR730">
        <v>28.512899999999998</v>
      </c>
      <c r="AS730">
        <v>3.9425799999999997E-2</v>
      </c>
      <c r="AT730">
        <v>5.38436</v>
      </c>
      <c r="AU730">
        <v>39.697499999999998</v>
      </c>
      <c r="AV730">
        <v>39.884999999999998</v>
      </c>
      <c r="AW730">
        <v>10.8748</v>
      </c>
      <c r="AX730">
        <v>2.6395300000000002</v>
      </c>
      <c r="AY730">
        <v>1.51884</v>
      </c>
      <c r="AZ730">
        <v>656.077</v>
      </c>
      <c r="BA730">
        <v>762.6</v>
      </c>
      <c r="BB730">
        <v>36406.5</v>
      </c>
      <c r="BC730">
        <v>1.61519E-2</v>
      </c>
      <c r="BD730">
        <v>7.9170500000000005E-2</v>
      </c>
      <c r="BE730">
        <v>0.57187200000000005</v>
      </c>
      <c r="BF730">
        <v>2.76328</v>
      </c>
      <c r="BG730">
        <v>41.665199999999999</v>
      </c>
      <c r="BH730">
        <v>48.008099999999999</v>
      </c>
      <c r="BI730">
        <v>6.9124299999999996</v>
      </c>
      <c r="BJ730">
        <v>29.657800000000002</v>
      </c>
      <c r="BK730">
        <v>0</v>
      </c>
      <c r="BL730">
        <v>39.656700000000001</v>
      </c>
      <c r="BM730">
        <v>53.3309</v>
      </c>
      <c r="BN730">
        <v>5.5480799999999997</v>
      </c>
      <c r="BO730">
        <v>0.85319599999999995</v>
      </c>
      <c r="BP730">
        <v>0.61107299999999998</v>
      </c>
      <c r="BQ730">
        <v>33.380000000000003</v>
      </c>
      <c r="BR730">
        <v>130099</v>
      </c>
    </row>
    <row r="731" spans="1:70" x14ac:dyDescent="0.25">
      <c r="A731">
        <v>50</v>
      </c>
      <c r="B731" s="7">
        <v>45973.573125000003</v>
      </c>
      <c r="C731" t="s">
        <v>193</v>
      </c>
      <c r="D731" s="6" t="s">
        <v>394</v>
      </c>
      <c r="E731" s="6" t="str">
        <f>VLOOKUP(F731,Germplasm!$A$1:$B$21,2,FALSE)</f>
        <v>Helium</v>
      </c>
      <c r="F731" t="s">
        <v>76</v>
      </c>
      <c r="G731" s="6" t="s">
        <v>113</v>
      </c>
      <c r="H731">
        <v>63714.6</v>
      </c>
      <c r="I731">
        <v>572.78399999999999</v>
      </c>
      <c r="J731">
        <v>212949</v>
      </c>
      <c r="K731">
        <v>16.337599999999998</v>
      </c>
      <c r="L731">
        <v>69.107799999999997</v>
      </c>
      <c r="M731">
        <v>1726.84</v>
      </c>
      <c r="N731">
        <v>649.96500000000003</v>
      </c>
      <c r="O731">
        <v>45666600</v>
      </c>
      <c r="P731">
        <v>0.19963600000000001</v>
      </c>
      <c r="Q731">
        <v>0.70311299999999999</v>
      </c>
      <c r="R731">
        <v>4.9624300000000003</v>
      </c>
      <c r="S731">
        <v>25.682400000000001</v>
      </c>
      <c r="T731">
        <v>48.9818</v>
      </c>
      <c r="U731">
        <v>19.238600000000002</v>
      </c>
      <c r="V731">
        <v>0.43168200000000001</v>
      </c>
      <c r="W731">
        <v>114.137</v>
      </c>
      <c r="X731">
        <v>1.70756</v>
      </c>
      <c r="Y731">
        <v>3.28477</v>
      </c>
      <c r="Z731">
        <v>4.9156599999999999</v>
      </c>
      <c r="AA731">
        <v>17.874600000000001</v>
      </c>
      <c r="AB731">
        <v>36.088000000000001</v>
      </c>
      <c r="AC731">
        <v>36.129399999999997</v>
      </c>
      <c r="AD731">
        <v>1.8313699999999999</v>
      </c>
      <c r="AE731">
        <v>7.0782999999999996</v>
      </c>
      <c r="AF731">
        <v>0</v>
      </c>
      <c r="AG731">
        <v>99.674099999999996</v>
      </c>
      <c r="AH731">
        <v>0.325104</v>
      </c>
      <c r="AI731">
        <v>7.6675400000000002E-4</v>
      </c>
      <c r="AJ731">
        <v>0</v>
      </c>
      <c r="AK731">
        <v>0</v>
      </c>
      <c r="AL731">
        <v>0.47082299999999999</v>
      </c>
      <c r="AM731">
        <v>1.0358799999999999</v>
      </c>
      <c r="AN731">
        <v>4.9041600000000001</v>
      </c>
      <c r="AO731">
        <v>9.7807099999999991</v>
      </c>
      <c r="AP731">
        <v>20.540600000000001</v>
      </c>
      <c r="AQ731">
        <v>42.024999999999999</v>
      </c>
      <c r="AR731">
        <v>21.713699999999999</v>
      </c>
      <c r="AS731">
        <v>5.3356000000000001E-2</v>
      </c>
      <c r="AT731">
        <v>4.0231599999999998</v>
      </c>
      <c r="AU731">
        <v>37.005099999999999</v>
      </c>
      <c r="AV731">
        <v>42.910600000000002</v>
      </c>
      <c r="AW731">
        <v>11.8049</v>
      </c>
      <c r="AX731">
        <v>2.6867000000000001</v>
      </c>
      <c r="AY731">
        <v>1.5695399999999999</v>
      </c>
      <c r="AZ731">
        <v>716.73699999999997</v>
      </c>
      <c r="BA731">
        <v>811.79899999999998</v>
      </c>
      <c r="BB731">
        <v>34790.699999999997</v>
      </c>
      <c r="BC731">
        <v>2.8566500000000002E-2</v>
      </c>
      <c r="BD731">
        <v>7.3608300000000002E-2</v>
      </c>
      <c r="BE731">
        <v>0.41251300000000002</v>
      </c>
      <c r="BF731">
        <v>2.3416700000000001</v>
      </c>
      <c r="BG731">
        <v>38.197400000000002</v>
      </c>
      <c r="BH731">
        <v>50.818899999999999</v>
      </c>
      <c r="BI731">
        <v>8.1559600000000003</v>
      </c>
      <c r="BJ731">
        <v>28.498899999999999</v>
      </c>
      <c r="BK731">
        <v>0</v>
      </c>
      <c r="BL731">
        <v>43.587600000000002</v>
      </c>
      <c r="BM731">
        <v>50.146500000000003</v>
      </c>
      <c r="BN731">
        <v>4.6886999999999999</v>
      </c>
      <c r="BO731">
        <v>0.91473700000000002</v>
      </c>
      <c r="BP731">
        <v>0.66247500000000004</v>
      </c>
      <c r="BQ731">
        <v>33.138300000000001</v>
      </c>
      <c r="BR731">
        <v>130420</v>
      </c>
    </row>
    <row r="732" spans="1:70" x14ac:dyDescent="0.25">
      <c r="A732">
        <v>50</v>
      </c>
      <c r="B732" s="7">
        <v>45988.587905092594</v>
      </c>
      <c r="C732" t="s">
        <v>193</v>
      </c>
      <c r="D732" s="6" t="s">
        <v>395</v>
      </c>
      <c r="E732" s="6" t="str">
        <f>VLOOKUP(F732,Germplasm!$A$1:$B$21,2,FALSE)</f>
        <v>Helium</v>
      </c>
      <c r="F732" t="s">
        <v>76</v>
      </c>
      <c r="G732" s="6" t="s">
        <v>113</v>
      </c>
      <c r="H732">
        <v>58655</v>
      </c>
      <c r="I732">
        <v>601.26099999999997</v>
      </c>
      <c r="J732">
        <v>174409</v>
      </c>
      <c r="K732">
        <v>19.254200000000001</v>
      </c>
      <c r="L732">
        <v>91.803600000000003</v>
      </c>
      <c r="M732">
        <v>1550.44</v>
      </c>
      <c r="N732">
        <v>524.65200000000004</v>
      </c>
      <c r="O732">
        <v>42520600</v>
      </c>
      <c r="P732">
        <v>0.19467799999999999</v>
      </c>
      <c r="Q732">
        <v>0.89622100000000005</v>
      </c>
      <c r="R732">
        <v>5.5804299999999998</v>
      </c>
      <c r="S732">
        <v>25.0746</v>
      </c>
      <c r="T732">
        <v>50.433799999999998</v>
      </c>
      <c r="U732">
        <v>17.457100000000001</v>
      </c>
      <c r="V732">
        <v>0.55796699999999999</v>
      </c>
      <c r="W732">
        <v>99.501099999999994</v>
      </c>
      <c r="X732">
        <v>2.7762500000000001</v>
      </c>
      <c r="Y732">
        <v>5.6853800000000003</v>
      </c>
      <c r="Z732">
        <v>9.1154799999999998</v>
      </c>
      <c r="AA732">
        <v>28.7485</v>
      </c>
      <c r="AB732">
        <v>33.615499999999997</v>
      </c>
      <c r="AC732">
        <v>20.058900000000001</v>
      </c>
      <c r="AD732">
        <v>1.7466699999999999</v>
      </c>
      <c r="AE732">
        <v>6.9656500000000001</v>
      </c>
      <c r="AF732">
        <v>0</v>
      </c>
      <c r="AG732">
        <v>99.774199999999993</v>
      </c>
      <c r="AH732">
        <v>0.22197900000000001</v>
      </c>
      <c r="AI732">
        <v>3.7751500000000001E-3</v>
      </c>
      <c r="AJ732">
        <v>0</v>
      </c>
      <c r="AK732">
        <v>0</v>
      </c>
      <c r="AL732">
        <v>0.43160900000000002</v>
      </c>
      <c r="AM732">
        <v>1.88456</v>
      </c>
      <c r="AN732">
        <v>7.1078599999999996</v>
      </c>
      <c r="AO732">
        <v>12.6211</v>
      </c>
      <c r="AP732">
        <v>23.7684</v>
      </c>
      <c r="AQ732">
        <v>40.545099999999998</v>
      </c>
      <c r="AR732">
        <v>14.073</v>
      </c>
      <c r="AS732">
        <v>0.12867799999999999</v>
      </c>
      <c r="AT732">
        <v>1.88984</v>
      </c>
      <c r="AU732">
        <v>20.847100000000001</v>
      </c>
      <c r="AV732">
        <v>47.508000000000003</v>
      </c>
      <c r="AW732">
        <v>22.522600000000001</v>
      </c>
      <c r="AX732">
        <v>5.07456</v>
      </c>
      <c r="AY732">
        <v>2.15788</v>
      </c>
      <c r="AZ732">
        <v>724.92600000000004</v>
      </c>
      <c r="BA732">
        <v>814.2</v>
      </c>
      <c r="BB732">
        <v>33581</v>
      </c>
      <c r="BC732">
        <v>8.86681E-2</v>
      </c>
      <c r="BD732">
        <v>6.5687599999999999E-2</v>
      </c>
      <c r="BE732">
        <v>0.24614</v>
      </c>
      <c r="BF732">
        <v>1.1921900000000001</v>
      </c>
      <c r="BG732">
        <v>21.2315</v>
      </c>
      <c r="BH732">
        <v>60.148000000000003</v>
      </c>
      <c r="BI732">
        <v>17.116499999999998</v>
      </c>
      <c r="BJ732">
        <v>30.6175</v>
      </c>
      <c r="BK732">
        <v>0</v>
      </c>
      <c r="BL732">
        <v>37.771900000000002</v>
      </c>
      <c r="BM732">
        <v>53.926499999999997</v>
      </c>
      <c r="BN732">
        <v>6.3558500000000002</v>
      </c>
      <c r="BO732">
        <v>1.0223100000000001</v>
      </c>
      <c r="BP732">
        <v>0.92340199999999995</v>
      </c>
      <c r="BQ732">
        <v>34.971699999999998</v>
      </c>
      <c r="BR732">
        <v>132445</v>
      </c>
    </row>
    <row r="733" spans="1:70" x14ac:dyDescent="0.25">
      <c r="A733">
        <v>50</v>
      </c>
      <c r="B733" s="7">
        <v>45994.565081018518</v>
      </c>
      <c r="C733" t="s">
        <v>193</v>
      </c>
      <c r="D733" s="6" t="s">
        <v>396</v>
      </c>
      <c r="E733" s="6" t="str">
        <f>VLOOKUP(F733,Germplasm!$A$1:$B$21,2,FALSE)</f>
        <v>Helium</v>
      </c>
      <c r="F733" t="s">
        <v>76</v>
      </c>
      <c r="G733" s="6" t="s">
        <v>113</v>
      </c>
      <c r="H733">
        <v>52390.5</v>
      </c>
      <c r="I733">
        <v>577.31899999999996</v>
      </c>
      <c r="J733">
        <v>151328</v>
      </c>
      <c r="K733">
        <v>17.8414</v>
      </c>
      <c r="L733">
        <v>81.3386</v>
      </c>
      <c r="M733">
        <v>1455.39</v>
      </c>
      <c r="N733">
        <v>503.52</v>
      </c>
      <c r="O733">
        <v>38117100</v>
      </c>
      <c r="P733">
        <v>0.17441799999999999</v>
      </c>
      <c r="Q733">
        <v>0.65637599999999996</v>
      </c>
      <c r="R733">
        <v>7.0380099999999999</v>
      </c>
      <c r="S733">
        <v>31.169799999999999</v>
      </c>
      <c r="T733">
        <v>47.935299999999998</v>
      </c>
      <c r="U733">
        <v>12.823700000000001</v>
      </c>
      <c r="V733">
        <v>0.37687500000000002</v>
      </c>
      <c r="W733">
        <v>87.601900000000001</v>
      </c>
      <c r="X733">
        <v>3.6515399999999998</v>
      </c>
      <c r="Y733">
        <v>11.205299999999999</v>
      </c>
      <c r="Z733">
        <v>16.5519</v>
      </c>
      <c r="AA733">
        <v>30.321300000000001</v>
      </c>
      <c r="AB733">
        <v>24.188500000000001</v>
      </c>
      <c r="AC733">
        <v>14.0814</v>
      </c>
      <c r="AD733">
        <v>1.94045</v>
      </c>
      <c r="AE733">
        <v>8.1572999999999993</v>
      </c>
      <c r="AF733">
        <v>0</v>
      </c>
      <c r="AG733">
        <v>99.273300000000006</v>
      </c>
      <c r="AH733">
        <v>0.72580100000000003</v>
      </c>
      <c r="AI733">
        <v>9.0161600000000005E-4</v>
      </c>
      <c r="AJ733">
        <v>0</v>
      </c>
      <c r="AK733">
        <v>0</v>
      </c>
      <c r="AL733">
        <v>0.35073900000000002</v>
      </c>
      <c r="AM733">
        <v>3.3504</v>
      </c>
      <c r="AN733">
        <v>13.532299999999999</v>
      </c>
      <c r="AO733">
        <v>19.921199999999999</v>
      </c>
      <c r="AP733">
        <v>28.244</v>
      </c>
      <c r="AQ733">
        <v>29.470199999999998</v>
      </c>
      <c r="AR733">
        <v>5.4818199999999999</v>
      </c>
      <c r="AS733">
        <v>0.187502</v>
      </c>
      <c r="AT733">
        <v>1.18472</v>
      </c>
      <c r="AU733">
        <v>14.2239</v>
      </c>
      <c r="AV733">
        <v>41.5077</v>
      </c>
      <c r="AW733">
        <v>29.0501</v>
      </c>
      <c r="AX733">
        <v>11.062799999999999</v>
      </c>
      <c r="AY733">
        <v>2.9708199999999998</v>
      </c>
      <c r="AZ733">
        <v>727.55799999999999</v>
      </c>
      <c r="BA733">
        <v>814.80100000000004</v>
      </c>
      <c r="BB733">
        <v>26999.1</v>
      </c>
      <c r="BC733">
        <v>0.15302499999999999</v>
      </c>
      <c r="BD733">
        <v>5.5900199999999997E-2</v>
      </c>
      <c r="BE733">
        <v>0.21007600000000001</v>
      </c>
      <c r="BF733">
        <v>1.0305500000000001</v>
      </c>
      <c r="BG733">
        <v>14.1112</v>
      </c>
      <c r="BH733">
        <v>52.101700000000001</v>
      </c>
      <c r="BI733">
        <v>32.490600000000001</v>
      </c>
      <c r="BJ733">
        <v>31.898700000000002</v>
      </c>
      <c r="BK733">
        <v>0</v>
      </c>
      <c r="BL733">
        <v>34.777099999999997</v>
      </c>
      <c r="BM733">
        <v>54.266399999999997</v>
      </c>
      <c r="BN733">
        <v>9.1955799999999996</v>
      </c>
      <c r="BO733">
        <v>1.10538</v>
      </c>
      <c r="BP733">
        <v>0.65547500000000003</v>
      </c>
      <c r="BQ733">
        <v>31.055</v>
      </c>
      <c r="BR733">
        <v>110912</v>
      </c>
    </row>
    <row r="734" spans="1:70" x14ac:dyDescent="0.25">
      <c r="A734">
        <v>50</v>
      </c>
      <c r="B734" s="7">
        <v>46002.59065972222</v>
      </c>
      <c r="C734" t="s">
        <v>193</v>
      </c>
      <c r="D734" s="6" t="s">
        <v>397</v>
      </c>
      <c r="E734" s="6" t="str">
        <f>VLOOKUP(F734,Germplasm!$A$1:$B$21,2,FALSE)</f>
        <v>Helium</v>
      </c>
      <c r="F734" t="s">
        <v>76</v>
      </c>
      <c r="G734" s="6" t="s">
        <v>113</v>
      </c>
      <c r="H734">
        <v>40185.199999999997</v>
      </c>
      <c r="I734">
        <v>577.98</v>
      </c>
      <c r="J734">
        <v>143701</v>
      </c>
      <c r="K734">
        <v>14.897</v>
      </c>
      <c r="L734">
        <v>76.228399999999993</v>
      </c>
      <c r="M734">
        <v>1439.45</v>
      </c>
      <c r="N734">
        <v>512.10900000000004</v>
      </c>
      <c r="O734">
        <v>29659900</v>
      </c>
      <c r="P734">
        <v>0.109181</v>
      </c>
      <c r="Q734">
        <v>1.20333</v>
      </c>
      <c r="R734">
        <v>17.0914</v>
      </c>
      <c r="S734">
        <v>44.733199999999997</v>
      </c>
      <c r="T734">
        <v>29.180800000000001</v>
      </c>
      <c r="U734">
        <v>7.5118400000000003</v>
      </c>
      <c r="V734">
        <v>0.279505</v>
      </c>
      <c r="W734">
        <v>60.582900000000002</v>
      </c>
      <c r="X734">
        <v>9.6143099999999997</v>
      </c>
      <c r="Y734">
        <v>32.392299999999999</v>
      </c>
      <c r="Z734">
        <v>18.427099999999999</v>
      </c>
      <c r="AA734">
        <v>22.969899999999999</v>
      </c>
      <c r="AB734">
        <v>8.9722299999999997</v>
      </c>
      <c r="AC734">
        <v>7.6240899999999998</v>
      </c>
      <c r="AD734">
        <v>1.8771800000000001</v>
      </c>
      <c r="AE734">
        <v>10.394600000000001</v>
      </c>
      <c r="AF734">
        <v>0</v>
      </c>
      <c r="AG734">
        <v>97.586600000000004</v>
      </c>
      <c r="AH734">
        <v>2.41228</v>
      </c>
      <c r="AI734">
        <v>1.12251E-3</v>
      </c>
      <c r="AJ734">
        <v>0</v>
      </c>
      <c r="AK734">
        <v>0</v>
      </c>
      <c r="AL734">
        <v>0.230436</v>
      </c>
      <c r="AM734">
        <v>8.4749599999999994</v>
      </c>
      <c r="AN734">
        <v>31.385400000000001</v>
      </c>
      <c r="AO734">
        <v>24.778300000000002</v>
      </c>
      <c r="AP734">
        <v>21.190799999999999</v>
      </c>
      <c r="AQ734">
        <v>11.273400000000001</v>
      </c>
      <c r="AR734">
        <v>2.8972000000000002</v>
      </c>
      <c r="AS734">
        <v>0.27051900000000001</v>
      </c>
      <c r="AT734">
        <v>0.73075500000000004</v>
      </c>
      <c r="AU734">
        <v>5.7068500000000002</v>
      </c>
      <c r="AV734">
        <v>26.776399999999999</v>
      </c>
      <c r="AW734">
        <v>44.988</v>
      </c>
      <c r="AX734">
        <v>18.655000000000001</v>
      </c>
      <c r="AY734">
        <v>3.14303</v>
      </c>
      <c r="AZ734">
        <v>738.08100000000002</v>
      </c>
      <c r="BA734">
        <v>813.59900000000005</v>
      </c>
      <c r="BB734">
        <v>21407.200000000001</v>
      </c>
      <c r="BC734">
        <v>0.27058100000000002</v>
      </c>
      <c r="BD734">
        <v>7.96983E-2</v>
      </c>
      <c r="BE734">
        <v>0.19756199999999999</v>
      </c>
      <c r="BF734">
        <v>0.55788800000000005</v>
      </c>
      <c r="BG734">
        <v>5.6002099999999997</v>
      </c>
      <c r="BH734">
        <v>31.7255</v>
      </c>
      <c r="BI734">
        <v>61.839100000000002</v>
      </c>
      <c r="BJ734">
        <v>33.751100000000001</v>
      </c>
      <c r="BK734">
        <v>0</v>
      </c>
      <c r="BL734">
        <v>29.360399999999998</v>
      </c>
      <c r="BM734">
        <v>59.588500000000003</v>
      </c>
      <c r="BN734">
        <v>9.0216200000000004</v>
      </c>
      <c r="BO734">
        <v>1.2415</v>
      </c>
      <c r="BP734">
        <v>0.78800300000000001</v>
      </c>
      <c r="BQ734">
        <v>32.219099999999997</v>
      </c>
      <c r="BR734">
        <v>89086</v>
      </c>
    </row>
    <row r="735" spans="1:70" x14ac:dyDescent="0.25">
      <c r="A735">
        <v>50</v>
      </c>
      <c r="B735" s="7">
        <v>46013.569502314815</v>
      </c>
      <c r="C735" t="s">
        <v>193</v>
      </c>
      <c r="D735" s="6" t="s">
        <v>398</v>
      </c>
      <c r="E735" s="6" t="str">
        <f>VLOOKUP(F735,Germplasm!$A$1:$B$21,2,FALSE)</f>
        <v>Helium</v>
      </c>
      <c r="F735" t="s">
        <v>76</v>
      </c>
      <c r="G735" s="6" t="s">
        <v>113</v>
      </c>
      <c r="H735">
        <v>37024.6</v>
      </c>
      <c r="I735">
        <v>508</v>
      </c>
      <c r="J735">
        <v>204826</v>
      </c>
      <c r="K735">
        <v>9.7084200000000003</v>
      </c>
      <c r="L735">
        <v>65.996099999999998</v>
      </c>
      <c r="M735">
        <v>1746.09</v>
      </c>
      <c r="N735">
        <v>617.47</v>
      </c>
      <c r="O735">
        <v>25706600</v>
      </c>
      <c r="P735">
        <v>3.0001199999999999E-2</v>
      </c>
      <c r="Q735">
        <v>1.28016</v>
      </c>
      <c r="R735">
        <v>29.678999999999998</v>
      </c>
      <c r="S735">
        <v>61.787700000000001</v>
      </c>
      <c r="T735">
        <v>5.4505299999999997</v>
      </c>
      <c r="U735">
        <v>1.7226399999999999</v>
      </c>
      <c r="V735">
        <v>7.99396E-2</v>
      </c>
      <c r="W735">
        <v>39.721499999999999</v>
      </c>
      <c r="X735">
        <v>15.488</v>
      </c>
      <c r="Y735">
        <v>55.903700000000001</v>
      </c>
      <c r="Z735">
        <v>14.576000000000001</v>
      </c>
      <c r="AA735">
        <v>5.5484900000000001</v>
      </c>
      <c r="AB735">
        <v>1.7721800000000001</v>
      </c>
      <c r="AC735">
        <v>6.7115499999999999</v>
      </c>
      <c r="AD735">
        <v>1.8619000000000001</v>
      </c>
      <c r="AE735">
        <v>15.462</v>
      </c>
      <c r="AF735">
        <v>0</v>
      </c>
      <c r="AG735">
        <v>84.286799999999999</v>
      </c>
      <c r="AH735">
        <v>15.4396</v>
      </c>
      <c r="AI735">
        <v>0.27359600000000001</v>
      </c>
      <c r="AJ735">
        <v>0</v>
      </c>
      <c r="AK735">
        <v>0</v>
      </c>
      <c r="AL735">
        <v>0.11534800000000001</v>
      </c>
      <c r="AM735">
        <v>15.3428</v>
      </c>
      <c r="AN735">
        <v>52.401000000000003</v>
      </c>
      <c r="AO735">
        <v>23.354800000000001</v>
      </c>
      <c r="AP735">
        <v>6.15198</v>
      </c>
      <c r="AQ735">
        <v>2.0030000000000001</v>
      </c>
      <c r="AR735">
        <v>0.746479</v>
      </c>
      <c r="AS735">
        <v>0.25944899999999999</v>
      </c>
      <c r="AT735">
        <v>0.56182900000000002</v>
      </c>
      <c r="AU735">
        <v>3.4340299999999999</v>
      </c>
      <c r="AV735">
        <v>30.1935</v>
      </c>
      <c r="AW735">
        <v>51.753599999999999</v>
      </c>
      <c r="AX735">
        <v>11.5563</v>
      </c>
      <c r="AY735">
        <v>2.5006499999999998</v>
      </c>
      <c r="AZ735">
        <v>694.31200000000001</v>
      </c>
      <c r="BA735">
        <v>743.399</v>
      </c>
      <c r="BB735">
        <v>19885.400000000001</v>
      </c>
      <c r="BC735">
        <v>0.31595099999999998</v>
      </c>
      <c r="BD735">
        <v>6.0799199999999998E-2</v>
      </c>
      <c r="BE735">
        <v>0.25333</v>
      </c>
      <c r="BF735">
        <v>0.58322200000000002</v>
      </c>
      <c r="BG735">
        <v>3.0973799999999998</v>
      </c>
      <c r="BH735">
        <v>16.1996</v>
      </c>
      <c r="BI735">
        <v>79.805700000000002</v>
      </c>
      <c r="BJ735">
        <v>28.1006</v>
      </c>
      <c r="BK735">
        <v>0</v>
      </c>
      <c r="BL735">
        <v>46.635199999999998</v>
      </c>
      <c r="BM735">
        <v>47.299500000000002</v>
      </c>
      <c r="BN735">
        <v>4.5768300000000002</v>
      </c>
      <c r="BO735">
        <v>0.89735100000000001</v>
      </c>
      <c r="BP735">
        <v>0.59110300000000005</v>
      </c>
      <c r="BQ735">
        <v>32.512599999999999</v>
      </c>
      <c r="BR735">
        <v>88817</v>
      </c>
    </row>
    <row r="736" spans="1:70" x14ac:dyDescent="0.25">
      <c r="A736">
        <v>50</v>
      </c>
      <c r="B736" s="7">
        <v>46024.566354166665</v>
      </c>
      <c r="C736" t="s">
        <v>193</v>
      </c>
      <c r="D736" s="6" t="s">
        <v>399</v>
      </c>
      <c r="E736" s="6" t="str">
        <f>VLOOKUP(F736,Germplasm!$A$1:$B$21,2,FALSE)</f>
        <v>Helium</v>
      </c>
      <c r="F736" t="s">
        <v>76</v>
      </c>
      <c r="G736" s="6" t="s">
        <v>113</v>
      </c>
      <c r="H736">
        <v>29899.8</v>
      </c>
      <c r="I736">
        <v>586.84</v>
      </c>
      <c r="J736">
        <v>107316</v>
      </c>
      <c r="K736">
        <v>15.145200000000001</v>
      </c>
      <c r="L736">
        <v>71.755700000000004</v>
      </c>
      <c r="M736">
        <v>1233.28</v>
      </c>
      <c r="N736">
        <v>449.94400000000002</v>
      </c>
      <c r="O736">
        <v>20047400</v>
      </c>
      <c r="P736">
        <v>1.81405E-3</v>
      </c>
      <c r="Q736">
        <v>1.5602100000000001</v>
      </c>
      <c r="R736">
        <v>40.9773</v>
      </c>
      <c r="S736">
        <v>55.908200000000001</v>
      </c>
      <c r="T736">
        <v>1.2431300000000001</v>
      </c>
      <c r="U736">
        <v>0.263739</v>
      </c>
      <c r="V736">
        <v>4.7413700000000003E-2</v>
      </c>
      <c r="W736">
        <v>32.7316</v>
      </c>
      <c r="X736">
        <v>21.494700000000002</v>
      </c>
      <c r="Y736">
        <v>62.491300000000003</v>
      </c>
      <c r="Z736">
        <v>7.2854200000000002</v>
      </c>
      <c r="AA736">
        <v>1.89507</v>
      </c>
      <c r="AB736">
        <v>0.74084000000000005</v>
      </c>
      <c r="AC736">
        <v>6.0926600000000004</v>
      </c>
      <c r="AD736">
        <v>1.83962</v>
      </c>
      <c r="AE736">
        <v>16.9238</v>
      </c>
      <c r="AF736">
        <v>0</v>
      </c>
      <c r="AG736">
        <v>81.287899999999993</v>
      </c>
      <c r="AH736">
        <v>18.355</v>
      </c>
      <c r="AI736">
        <v>0.34375</v>
      </c>
      <c r="AJ736">
        <v>1.3335100000000001E-2</v>
      </c>
      <c r="AK736">
        <v>0</v>
      </c>
      <c r="AL736">
        <v>0.101036</v>
      </c>
      <c r="AM736">
        <v>16.86</v>
      </c>
      <c r="AN736">
        <v>56.034100000000002</v>
      </c>
      <c r="AO736">
        <v>19.535900000000002</v>
      </c>
      <c r="AP736">
        <v>5.3488600000000002</v>
      </c>
      <c r="AQ736">
        <v>1.7113400000000001</v>
      </c>
      <c r="AR736">
        <v>0.50969799999999998</v>
      </c>
      <c r="AS736">
        <v>0.27713100000000002</v>
      </c>
      <c r="AT736">
        <v>0.46821099999999999</v>
      </c>
      <c r="AU736">
        <v>2.6907299999999998</v>
      </c>
      <c r="AV736">
        <v>25.922000000000001</v>
      </c>
      <c r="AW736">
        <v>54.614699999999999</v>
      </c>
      <c r="AX736">
        <v>13.1425</v>
      </c>
      <c r="AY736">
        <v>3.1619000000000002</v>
      </c>
      <c r="AZ736">
        <v>670.48599999999999</v>
      </c>
      <c r="BA736">
        <v>701.99900000000002</v>
      </c>
      <c r="BB736">
        <v>16253.3</v>
      </c>
      <c r="BC736">
        <v>0.34285900000000002</v>
      </c>
      <c r="BD736">
        <v>7.4083999999999997E-2</v>
      </c>
      <c r="BE736">
        <v>0.25929400000000002</v>
      </c>
      <c r="BF736">
        <v>0.46524700000000002</v>
      </c>
      <c r="BG736">
        <v>2.3588300000000002</v>
      </c>
      <c r="BH736">
        <v>12.2446</v>
      </c>
      <c r="BI736">
        <v>84.597899999999996</v>
      </c>
      <c r="BJ736">
        <v>29.017700000000001</v>
      </c>
      <c r="BK736">
        <v>0</v>
      </c>
      <c r="BL736">
        <v>43.4191</v>
      </c>
      <c r="BM736">
        <v>50.4512</v>
      </c>
      <c r="BN736">
        <v>4.36503</v>
      </c>
      <c r="BO736">
        <v>1.1779299999999999</v>
      </c>
      <c r="BP736">
        <v>0.58674499999999996</v>
      </c>
      <c r="BQ736">
        <v>32.949399999999997</v>
      </c>
      <c r="BR736">
        <v>67491</v>
      </c>
    </row>
    <row r="737" spans="1:70" x14ac:dyDescent="0.25">
      <c r="A737">
        <v>50</v>
      </c>
      <c r="B737" s="7">
        <v>46024.566886574074</v>
      </c>
      <c r="C737" t="s">
        <v>193</v>
      </c>
      <c r="D737" s="6" t="s">
        <v>400</v>
      </c>
      <c r="E737" s="6" t="str">
        <f>VLOOKUP(F737,Germplasm!$A$1:$B$21,2,FALSE)</f>
        <v>Helium</v>
      </c>
      <c r="F737" t="s">
        <v>76</v>
      </c>
      <c r="G737" s="6" t="s">
        <v>113</v>
      </c>
      <c r="H737">
        <v>30218.2</v>
      </c>
      <c r="I737">
        <v>587.71699999999998</v>
      </c>
      <c r="J737">
        <v>107003</v>
      </c>
      <c r="K737">
        <v>15.420999999999999</v>
      </c>
      <c r="L737">
        <v>71.342299999999994</v>
      </c>
      <c r="M737">
        <v>1230.98</v>
      </c>
      <c r="N737">
        <v>450.435</v>
      </c>
      <c r="O737">
        <v>20303100</v>
      </c>
      <c r="P737">
        <v>1.22036E-4</v>
      </c>
      <c r="Q737">
        <v>1.77112</v>
      </c>
      <c r="R737">
        <v>41.247900000000001</v>
      </c>
      <c r="S737">
        <v>55.4726</v>
      </c>
      <c r="T737">
        <v>1.22966</v>
      </c>
      <c r="U737">
        <v>0.25385600000000003</v>
      </c>
      <c r="V737">
        <v>2.49453E-2</v>
      </c>
      <c r="W737">
        <v>32.4602</v>
      </c>
      <c r="X737">
        <v>21.869700000000002</v>
      </c>
      <c r="Y737">
        <v>61.097000000000001</v>
      </c>
      <c r="Z737">
        <v>7.3192599999999999</v>
      </c>
      <c r="AA737">
        <v>1.98976</v>
      </c>
      <c r="AB737">
        <v>0.77330600000000005</v>
      </c>
      <c r="AC737">
        <v>6.9509499999999997</v>
      </c>
      <c r="AD737">
        <v>1.83131</v>
      </c>
      <c r="AE737">
        <v>16.685400000000001</v>
      </c>
      <c r="AF737">
        <v>0</v>
      </c>
      <c r="AG737">
        <v>82.007099999999994</v>
      </c>
      <c r="AH737">
        <v>17.6496</v>
      </c>
      <c r="AI737">
        <v>0.32575700000000002</v>
      </c>
      <c r="AJ737">
        <v>1.7608499999999999E-2</v>
      </c>
      <c r="AK737">
        <v>0</v>
      </c>
      <c r="AL737">
        <v>9.9124400000000001E-2</v>
      </c>
      <c r="AM737">
        <v>17.943000000000001</v>
      </c>
      <c r="AN737">
        <v>54.749200000000002</v>
      </c>
      <c r="AO737">
        <v>19.673100000000002</v>
      </c>
      <c r="AP737">
        <v>5.5349300000000001</v>
      </c>
      <c r="AQ737">
        <v>1.5246</v>
      </c>
      <c r="AR737">
        <v>0.57521</v>
      </c>
      <c r="AS737">
        <v>0.27149499999999999</v>
      </c>
      <c r="AT737">
        <v>0.69847000000000004</v>
      </c>
      <c r="AU737">
        <v>3.05654</v>
      </c>
      <c r="AV737">
        <v>26.314399999999999</v>
      </c>
      <c r="AW737">
        <v>54.537799999999997</v>
      </c>
      <c r="AX737">
        <v>12.2643</v>
      </c>
      <c r="AY737">
        <v>3.1284399999999999</v>
      </c>
      <c r="AZ737">
        <v>671.88400000000001</v>
      </c>
      <c r="BA737">
        <v>695.99900000000002</v>
      </c>
      <c r="BB737">
        <v>16500.900000000001</v>
      </c>
      <c r="BC737">
        <v>0.33913199999999999</v>
      </c>
      <c r="BD737">
        <v>8.5107600000000005E-2</v>
      </c>
      <c r="BE737">
        <v>0.33896300000000001</v>
      </c>
      <c r="BF737">
        <v>0.62656800000000001</v>
      </c>
      <c r="BG737">
        <v>2.7043699999999999</v>
      </c>
      <c r="BH737">
        <v>12.6576</v>
      </c>
      <c r="BI737">
        <v>83.587400000000002</v>
      </c>
      <c r="BJ737">
        <v>28.706600000000002</v>
      </c>
      <c r="BK737">
        <v>0</v>
      </c>
      <c r="BL737">
        <v>44.385100000000001</v>
      </c>
      <c r="BM737">
        <v>49.7102</v>
      </c>
      <c r="BN737">
        <v>4.1512000000000002</v>
      </c>
      <c r="BO737">
        <v>1.0682499999999999</v>
      </c>
      <c r="BP737">
        <v>0.68526299999999996</v>
      </c>
      <c r="BQ737">
        <v>33.1188</v>
      </c>
      <c r="BR737">
        <v>68149</v>
      </c>
    </row>
    <row r="738" spans="1:70" x14ac:dyDescent="0.25">
      <c r="A738">
        <v>32</v>
      </c>
      <c r="B738" s="7">
        <v>45952.554155092592</v>
      </c>
      <c r="C738" t="s">
        <v>126</v>
      </c>
      <c r="D738" s="6" t="s">
        <v>221</v>
      </c>
      <c r="E738" s="6" t="str">
        <f>VLOOKUP(F738,Germplasm!$A$1:$B$21,2,FALSE)</f>
        <v>Bamse</v>
      </c>
      <c r="F738" t="s">
        <v>69</v>
      </c>
      <c r="G738" s="6" t="s">
        <v>113</v>
      </c>
      <c r="H738">
        <v>28212.9</v>
      </c>
      <c r="I738">
        <v>250.27799999999999</v>
      </c>
      <c r="J738">
        <v>58299.3</v>
      </c>
      <c r="K738">
        <v>28.412400000000002</v>
      </c>
      <c r="L738">
        <v>77.262100000000004</v>
      </c>
      <c r="M738">
        <v>918.35500000000002</v>
      </c>
      <c r="N738">
        <v>324.40899999999999</v>
      </c>
      <c r="O738">
        <v>8118260</v>
      </c>
      <c r="P738">
        <v>0.241614</v>
      </c>
      <c r="Q738">
        <v>0.47280499999999998</v>
      </c>
      <c r="R738">
        <v>3.0965099999999999</v>
      </c>
      <c r="S738">
        <v>16.195399999999999</v>
      </c>
      <c r="T738">
        <v>47.6297</v>
      </c>
      <c r="U738">
        <v>32.471299999999999</v>
      </c>
      <c r="V738">
        <v>0.13431999999999999</v>
      </c>
      <c r="W738">
        <v>117.03100000000001</v>
      </c>
      <c r="X738">
        <v>0.71457999999999999</v>
      </c>
      <c r="Y738">
        <v>1.3234999999999999</v>
      </c>
      <c r="Z738">
        <v>3.0356200000000002</v>
      </c>
      <c r="AA738">
        <v>17.6675</v>
      </c>
      <c r="AB738">
        <v>41.6158</v>
      </c>
      <c r="AC738">
        <v>35.643000000000001</v>
      </c>
      <c r="AD738">
        <v>1.7032400000000001</v>
      </c>
      <c r="AE738">
        <v>7.5045599999999997</v>
      </c>
      <c r="AF738">
        <v>0</v>
      </c>
      <c r="AG738">
        <v>99.973100000000002</v>
      </c>
      <c r="AH738">
        <v>2.5073000000000002E-2</v>
      </c>
      <c r="AI738">
        <v>1.79093E-3</v>
      </c>
      <c r="AJ738">
        <v>0</v>
      </c>
      <c r="AK738">
        <v>0</v>
      </c>
      <c r="AL738">
        <v>0.52657799999999999</v>
      </c>
      <c r="AM738">
        <v>0.27043</v>
      </c>
      <c r="AN738">
        <v>1.2787200000000001</v>
      </c>
      <c r="AO738">
        <v>3.8773599999999999</v>
      </c>
      <c r="AP738">
        <v>16.378</v>
      </c>
      <c r="AQ738">
        <v>49.125100000000003</v>
      </c>
      <c r="AR738">
        <v>29.0703</v>
      </c>
      <c r="AS738">
        <v>3.4403700000000002E-2</v>
      </c>
      <c r="AT738">
        <v>6.5691199999999998</v>
      </c>
      <c r="AU738">
        <v>35.223999999999997</v>
      </c>
      <c r="AV738">
        <v>44.526000000000003</v>
      </c>
      <c r="AW738">
        <v>11.0608</v>
      </c>
      <c r="AX738">
        <v>1.7801800000000001</v>
      </c>
      <c r="AY738">
        <v>0.83994500000000005</v>
      </c>
      <c r="AZ738">
        <v>287.75</v>
      </c>
      <c r="BA738">
        <v>302.399</v>
      </c>
      <c r="BB738">
        <v>16564.3</v>
      </c>
      <c r="BC738">
        <v>9.5243700000000008E-3</v>
      </c>
      <c r="BD738">
        <v>6.6264299999999998E-2</v>
      </c>
      <c r="BE738">
        <v>0.40116800000000002</v>
      </c>
      <c r="BF738">
        <v>3.07681</v>
      </c>
      <c r="BG738">
        <v>38.248800000000003</v>
      </c>
      <c r="BH738">
        <v>55.119399999999999</v>
      </c>
      <c r="BI738">
        <v>3.0875599999999999</v>
      </c>
      <c r="BJ738">
        <v>31.903600000000001</v>
      </c>
      <c r="BK738">
        <v>0</v>
      </c>
      <c r="BL738">
        <v>30.0625</v>
      </c>
      <c r="BM738">
        <v>62.571399999999997</v>
      </c>
      <c r="BN738">
        <v>6.6031500000000003</v>
      </c>
      <c r="BO738">
        <v>0.58026</v>
      </c>
      <c r="BP738">
        <v>0.182675</v>
      </c>
      <c r="BQ738">
        <v>35.978299999999997</v>
      </c>
      <c r="BR738">
        <v>55837</v>
      </c>
    </row>
    <row r="739" spans="1:70" x14ac:dyDescent="0.25">
      <c r="A739">
        <v>32</v>
      </c>
      <c r="B739" s="7">
        <v>45959.511377314811</v>
      </c>
      <c r="C739" t="s">
        <v>126</v>
      </c>
      <c r="D739" s="6" t="s">
        <v>222</v>
      </c>
      <c r="E739" s="6" t="str">
        <f>VLOOKUP(F739,Germplasm!$A$1:$B$21,2,FALSE)</f>
        <v>Bamse</v>
      </c>
      <c r="F739" t="s">
        <v>69</v>
      </c>
      <c r="G739" s="6" t="s">
        <v>113</v>
      </c>
      <c r="H739">
        <v>25798.5</v>
      </c>
      <c r="I739">
        <v>342.47899999999998</v>
      </c>
      <c r="J739">
        <v>101170</v>
      </c>
      <c r="K739">
        <v>15.5802</v>
      </c>
      <c r="L739">
        <v>74.7911</v>
      </c>
      <c r="M739">
        <v>1188.95</v>
      </c>
      <c r="N739">
        <v>438.46</v>
      </c>
      <c r="O739">
        <v>10375000</v>
      </c>
      <c r="P739">
        <v>0.215533</v>
      </c>
      <c r="Q739">
        <v>1.20682</v>
      </c>
      <c r="R739">
        <v>4.5357399999999997</v>
      </c>
      <c r="S739">
        <v>22.335899999999999</v>
      </c>
      <c r="T739">
        <v>45.532299999999999</v>
      </c>
      <c r="U739">
        <v>25.737300000000001</v>
      </c>
      <c r="V739">
        <v>0.65200100000000005</v>
      </c>
      <c r="W739">
        <v>126.253</v>
      </c>
      <c r="X739">
        <v>1.00362</v>
      </c>
      <c r="Y739">
        <v>1.5178</v>
      </c>
      <c r="Z739">
        <v>2.9101499999999998</v>
      </c>
      <c r="AA739">
        <v>12.011699999999999</v>
      </c>
      <c r="AB739">
        <v>30.3931</v>
      </c>
      <c r="AC739">
        <v>52.163600000000002</v>
      </c>
      <c r="AD739">
        <v>1.63669</v>
      </c>
      <c r="AE739">
        <v>6.3711500000000001</v>
      </c>
      <c r="AF739">
        <v>0</v>
      </c>
      <c r="AG739">
        <v>99.957599999999999</v>
      </c>
      <c r="AH739">
        <v>4.2406600000000003E-2</v>
      </c>
      <c r="AI739">
        <v>0</v>
      </c>
      <c r="AJ739">
        <v>0</v>
      </c>
      <c r="AK739">
        <v>0</v>
      </c>
      <c r="AL739">
        <v>0.52035600000000004</v>
      </c>
      <c r="AM739">
        <v>0.36752400000000002</v>
      </c>
      <c r="AN739">
        <v>1.8058099999999999</v>
      </c>
      <c r="AO739">
        <v>4.7654399999999999</v>
      </c>
      <c r="AP739">
        <v>18.694199999999999</v>
      </c>
      <c r="AQ739">
        <v>45.497</v>
      </c>
      <c r="AR739">
        <v>28.87</v>
      </c>
      <c r="AS739">
        <v>-1.2514900000000001E-2</v>
      </c>
      <c r="AT739">
        <v>12.822699999999999</v>
      </c>
      <c r="AU739">
        <v>44.187600000000003</v>
      </c>
      <c r="AV739">
        <v>31.875599999999999</v>
      </c>
      <c r="AW739">
        <v>7.9406299999999996</v>
      </c>
      <c r="AX739">
        <v>1.63619</v>
      </c>
      <c r="AY739">
        <v>1.5372399999999999</v>
      </c>
      <c r="AZ739">
        <v>402.154</v>
      </c>
      <c r="BA739">
        <v>448.19900000000001</v>
      </c>
      <c r="BB739">
        <v>15762.6</v>
      </c>
      <c r="BC739">
        <v>-2.1872300000000001E-2</v>
      </c>
      <c r="BD739">
        <v>0.11485099999999999</v>
      </c>
      <c r="BE739">
        <v>0.89407199999999998</v>
      </c>
      <c r="BF739">
        <v>5.6277100000000004</v>
      </c>
      <c r="BG739">
        <v>50.373699999999999</v>
      </c>
      <c r="BH739">
        <v>39.395699999999998</v>
      </c>
      <c r="BI739">
        <v>3.59396</v>
      </c>
      <c r="BJ739">
        <v>31.1632</v>
      </c>
      <c r="BK739">
        <v>0</v>
      </c>
      <c r="BL739">
        <v>36.796500000000002</v>
      </c>
      <c r="BM739">
        <v>54.234499999999997</v>
      </c>
      <c r="BN739">
        <v>6.9864800000000002</v>
      </c>
      <c r="BO739">
        <v>1.0159899999999999</v>
      </c>
      <c r="BP739">
        <v>0.96651600000000004</v>
      </c>
      <c r="BQ739">
        <v>37.685899999999997</v>
      </c>
      <c r="BR739">
        <v>56595</v>
      </c>
    </row>
    <row r="740" spans="1:70" x14ac:dyDescent="0.25">
      <c r="A740">
        <v>32</v>
      </c>
      <c r="B740" s="7">
        <v>45966.56695601852</v>
      </c>
      <c r="C740" t="s">
        <v>126</v>
      </c>
      <c r="D740" s="6" t="s">
        <v>223</v>
      </c>
      <c r="E740" s="6" t="str">
        <f>VLOOKUP(F740,Germplasm!$A$1:$B$21,2,FALSE)</f>
        <v>Bamse</v>
      </c>
      <c r="F740" t="s">
        <v>69</v>
      </c>
      <c r="G740" s="6" t="s">
        <v>113</v>
      </c>
      <c r="H740">
        <v>56712.1</v>
      </c>
      <c r="I740">
        <v>458.78899999999999</v>
      </c>
      <c r="J740">
        <v>123153</v>
      </c>
      <c r="K740">
        <v>26.5045</v>
      </c>
      <c r="L740">
        <v>55.996000000000002</v>
      </c>
      <c r="M740">
        <v>1389.23</v>
      </c>
      <c r="N740">
        <v>535.375</v>
      </c>
      <c r="O740">
        <v>30016700</v>
      </c>
      <c r="P740">
        <v>0.24163799999999999</v>
      </c>
      <c r="Q740">
        <v>0.53052500000000002</v>
      </c>
      <c r="R740">
        <v>2.5768399999999998</v>
      </c>
      <c r="S740">
        <v>16.982199999999999</v>
      </c>
      <c r="T740">
        <v>48.414200000000001</v>
      </c>
      <c r="U740">
        <v>30.863199999999999</v>
      </c>
      <c r="V740">
        <v>0.63306399999999996</v>
      </c>
      <c r="W740">
        <v>119.128</v>
      </c>
      <c r="X740">
        <v>0.77305100000000004</v>
      </c>
      <c r="Y740">
        <v>1.38828</v>
      </c>
      <c r="Z740">
        <v>2.9504299999999999</v>
      </c>
      <c r="AA740">
        <v>14.3179</v>
      </c>
      <c r="AB740">
        <v>41.403300000000002</v>
      </c>
      <c r="AC740">
        <v>39.167000000000002</v>
      </c>
      <c r="AD740">
        <v>1.7374499999999999</v>
      </c>
      <c r="AE740">
        <v>6.9242499999999998</v>
      </c>
      <c r="AF740">
        <v>0</v>
      </c>
      <c r="AG740">
        <v>99.670100000000005</v>
      </c>
      <c r="AH740">
        <v>0.32990599999999998</v>
      </c>
      <c r="AI740">
        <v>0</v>
      </c>
      <c r="AJ740">
        <v>0</v>
      </c>
      <c r="AK740">
        <v>0</v>
      </c>
      <c r="AL740">
        <v>0.53095000000000003</v>
      </c>
      <c r="AM740">
        <v>0.35308899999999999</v>
      </c>
      <c r="AN740">
        <v>1.6192200000000001</v>
      </c>
      <c r="AO740">
        <v>4.8621100000000004</v>
      </c>
      <c r="AP740">
        <v>14.775399999999999</v>
      </c>
      <c r="AQ740">
        <v>45.353200000000001</v>
      </c>
      <c r="AR740">
        <v>33.036999999999999</v>
      </c>
      <c r="AS740">
        <v>2.6809099999999999E-2</v>
      </c>
      <c r="AT740">
        <v>6.1371500000000001</v>
      </c>
      <c r="AU740">
        <v>39.76</v>
      </c>
      <c r="AV740">
        <v>41.882100000000001</v>
      </c>
      <c r="AW740">
        <v>9.2035</v>
      </c>
      <c r="AX740">
        <v>1.67093</v>
      </c>
      <c r="AY740">
        <v>1.3463700000000001</v>
      </c>
      <c r="AZ740">
        <v>529.28200000000004</v>
      </c>
      <c r="BA740">
        <v>600.6</v>
      </c>
      <c r="BB740">
        <v>32641</v>
      </c>
      <c r="BC740">
        <v>7.2816299999999999E-3</v>
      </c>
      <c r="BD740">
        <v>4.10154E-2</v>
      </c>
      <c r="BE740">
        <v>0.32990599999999998</v>
      </c>
      <c r="BF740">
        <v>2.45201</v>
      </c>
      <c r="BG740">
        <v>43.074199999999998</v>
      </c>
      <c r="BH740">
        <v>49.997799999999998</v>
      </c>
      <c r="BI740">
        <v>4.1051099999999998</v>
      </c>
      <c r="BJ740">
        <v>31.741499999999998</v>
      </c>
      <c r="BK740">
        <v>0</v>
      </c>
      <c r="BL740">
        <v>31.992899999999999</v>
      </c>
      <c r="BM740">
        <v>60.2044</v>
      </c>
      <c r="BN740">
        <v>6.27536</v>
      </c>
      <c r="BO740">
        <v>0.84794899999999995</v>
      </c>
      <c r="BP740">
        <v>0.67942899999999995</v>
      </c>
      <c r="BQ740">
        <v>35.182699999999997</v>
      </c>
      <c r="BR740">
        <v>112153</v>
      </c>
    </row>
    <row r="741" spans="1:70" x14ac:dyDescent="0.25">
      <c r="A741">
        <v>32</v>
      </c>
      <c r="B741" s="7">
        <v>45973.545034722221</v>
      </c>
      <c r="C741" t="s">
        <v>126</v>
      </c>
      <c r="D741" s="6" t="s">
        <v>224</v>
      </c>
      <c r="E741" s="6" t="str">
        <f>VLOOKUP(F741,Germplasm!$A$1:$B$21,2,FALSE)</f>
        <v>Bamse</v>
      </c>
      <c r="F741" t="s">
        <v>69</v>
      </c>
      <c r="G741" s="6" t="s">
        <v>113</v>
      </c>
      <c r="H741">
        <v>70857.3</v>
      </c>
      <c r="I741">
        <v>457.904</v>
      </c>
      <c r="J741">
        <v>147637</v>
      </c>
      <c r="K741">
        <v>27.7453</v>
      </c>
      <c r="L741">
        <v>74.132199999999997</v>
      </c>
      <c r="M741">
        <v>1423.95</v>
      </c>
      <c r="N741">
        <v>515.30799999999999</v>
      </c>
      <c r="O741">
        <v>41917200</v>
      </c>
      <c r="P741">
        <v>0.23107800000000001</v>
      </c>
      <c r="Q741">
        <v>0.54257</v>
      </c>
      <c r="R741">
        <v>2.74173</v>
      </c>
      <c r="S741">
        <v>19.380500000000001</v>
      </c>
      <c r="T741">
        <v>50.344200000000001</v>
      </c>
      <c r="U741">
        <v>26.0839</v>
      </c>
      <c r="V741">
        <v>0.90703400000000001</v>
      </c>
      <c r="W741">
        <v>117.36199999999999</v>
      </c>
      <c r="X741">
        <v>0.99299300000000001</v>
      </c>
      <c r="Y741">
        <v>2.4164699999999999</v>
      </c>
      <c r="Z741">
        <v>4.1101900000000002</v>
      </c>
      <c r="AA741">
        <v>16.413900000000002</v>
      </c>
      <c r="AB741">
        <v>35.938899999999997</v>
      </c>
      <c r="AC741">
        <v>40.127499999999998</v>
      </c>
      <c r="AD741">
        <v>1.7298199999999999</v>
      </c>
      <c r="AE741">
        <v>6.3849999999999998</v>
      </c>
      <c r="AF741">
        <v>0</v>
      </c>
      <c r="AG741">
        <v>99.927099999999996</v>
      </c>
      <c r="AH741">
        <v>7.2892799999999994E-2</v>
      </c>
      <c r="AI741">
        <v>0</v>
      </c>
      <c r="AJ741">
        <v>0</v>
      </c>
      <c r="AK741">
        <v>0</v>
      </c>
      <c r="AL741">
        <v>0.51946199999999998</v>
      </c>
      <c r="AM741">
        <v>0.43941999999999998</v>
      </c>
      <c r="AN741">
        <v>2.48936</v>
      </c>
      <c r="AO741">
        <v>6.4015000000000004</v>
      </c>
      <c r="AP741">
        <v>16.48</v>
      </c>
      <c r="AQ741">
        <v>41.484999999999999</v>
      </c>
      <c r="AR741">
        <v>32.704799999999999</v>
      </c>
      <c r="AS741">
        <v>4.1794600000000001E-2</v>
      </c>
      <c r="AT741">
        <v>5.2950400000000002</v>
      </c>
      <c r="AU741">
        <v>41.046900000000001</v>
      </c>
      <c r="AV741">
        <v>37.782499999999999</v>
      </c>
      <c r="AW741">
        <v>10.7338</v>
      </c>
      <c r="AX741">
        <v>3.1103200000000002</v>
      </c>
      <c r="AY741">
        <v>2.0313699999999999</v>
      </c>
      <c r="AZ741">
        <v>591.57299999999998</v>
      </c>
      <c r="BA741">
        <v>640.19899999999996</v>
      </c>
      <c r="BB741">
        <v>40962.400000000001</v>
      </c>
      <c r="BC741">
        <v>1.9114200000000001E-2</v>
      </c>
      <c r="BD741">
        <v>4.4698399999999999E-2</v>
      </c>
      <c r="BE741">
        <v>0.25374999999999998</v>
      </c>
      <c r="BF741">
        <v>1.94129</v>
      </c>
      <c r="BG741">
        <v>44.1008</v>
      </c>
      <c r="BH741">
        <v>46.889299999999999</v>
      </c>
      <c r="BI741">
        <v>6.7700899999999997</v>
      </c>
      <c r="BJ741">
        <v>31.519100000000002</v>
      </c>
      <c r="BK741">
        <v>0</v>
      </c>
      <c r="BL741">
        <v>34.652299999999997</v>
      </c>
      <c r="BM741">
        <v>56.490600000000001</v>
      </c>
      <c r="BN741">
        <v>6.7687200000000001</v>
      </c>
      <c r="BO741">
        <v>1.2096100000000001</v>
      </c>
      <c r="BP741">
        <v>0.87883999999999995</v>
      </c>
      <c r="BQ741">
        <v>35.368000000000002</v>
      </c>
      <c r="BR741">
        <v>145419</v>
      </c>
    </row>
    <row r="742" spans="1:70" x14ac:dyDescent="0.25">
      <c r="A742">
        <v>32</v>
      </c>
      <c r="B742" s="7">
        <v>45988.519780092596</v>
      </c>
      <c r="C742" t="s">
        <v>126</v>
      </c>
      <c r="D742" s="6" t="s">
        <v>225</v>
      </c>
      <c r="E742" s="6" t="str">
        <f>VLOOKUP(F742,Germplasm!$A$1:$B$21,2,FALSE)</f>
        <v>Bamse</v>
      </c>
      <c r="F742" t="s">
        <v>69</v>
      </c>
      <c r="G742" s="6" t="s">
        <v>113</v>
      </c>
      <c r="H742">
        <v>45195.6</v>
      </c>
      <c r="I742">
        <v>542.74599999999998</v>
      </c>
      <c r="J742">
        <v>106768</v>
      </c>
      <c r="K742">
        <v>23.958200000000001</v>
      </c>
      <c r="L742">
        <v>63.274500000000003</v>
      </c>
      <c r="M742">
        <v>1270.3599999999999</v>
      </c>
      <c r="N742">
        <v>510.51</v>
      </c>
      <c r="O742">
        <v>30443200</v>
      </c>
      <c r="P742">
        <v>0.139238</v>
      </c>
      <c r="Q742">
        <v>1.15191</v>
      </c>
      <c r="R742">
        <v>17.168700000000001</v>
      </c>
      <c r="S742">
        <v>31.275099999999998</v>
      </c>
      <c r="T742">
        <v>38.8767</v>
      </c>
      <c r="U742">
        <v>11.1181</v>
      </c>
      <c r="V742">
        <v>0.40956799999999999</v>
      </c>
      <c r="W742">
        <v>80.988100000000003</v>
      </c>
      <c r="X742">
        <v>10.3767</v>
      </c>
      <c r="Y742">
        <v>17.065300000000001</v>
      </c>
      <c r="Z742">
        <v>10.190799999999999</v>
      </c>
      <c r="AA742">
        <v>22.954799999999999</v>
      </c>
      <c r="AB742">
        <v>21.6616</v>
      </c>
      <c r="AC742">
        <v>17.750800000000002</v>
      </c>
      <c r="AD742">
        <v>1.7668600000000001</v>
      </c>
      <c r="AE742">
        <v>9.3043300000000002</v>
      </c>
      <c r="AF742">
        <v>0</v>
      </c>
      <c r="AG742">
        <v>98.086799999999997</v>
      </c>
      <c r="AH742">
        <v>1.9132100000000001</v>
      </c>
      <c r="AI742">
        <v>0</v>
      </c>
      <c r="AJ742">
        <v>0</v>
      </c>
      <c r="AK742">
        <v>0</v>
      </c>
      <c r="AL742">
        <v>0.33300299999999999</v>
      </c>
      <c r="AM742">
        <v>2.4611999999999998</v>
      </c>
      <c r="AN742">
        <v>20.477399999999999</v>
      </c>
      <c r="AO742">
        <v>21.259599999999999</v>
      </c>
      <c r="AP742">
        <v>23.386099999999999</v>
      </c>
      <c r="AQ742">
        <v>24.618600000000001</v>
      </c>
      <c r="AR742">
        <v>7.7969600000000003</v>
      </c>
      <c r="AS742">
        <v>0.177151</v>
      </c>
      <c r="AT742">
        <v>1.48563</v>
      </c>
      <c r="AU742">
        <v>17.061499999999999</v>
      </c>
      <c r="AV742">
        <v>37.010899999999999</v>
      </c>
      <c r="AW742">
        <v>33.353200000000001</v>
      </c>
      <c r="AX742">
        <v>8.5487800000000007</v>
      </c>
      <c r="AY742">
        <v>2.5398900000000002</v>
      </c>
      <c r="AZ742">
        <v>673.58699999999999</v>
      </c>
      <c r="BA742">
        <v>708.59900000000005</v>
      </c>
      <c r="BB742">
        <v>25579.599999999999</v>
      </c>
      <c r="BC742">
        <v>0.159495</v>
      </c>
      <c r="BD742">
        <v>2.2753800000000001E-2</v>
      </c>
      <c r="BE742">
        <v>0.25029200000000001</v>
      </c>
      <c r="BF742">
        <v>1.11209</v>
      </c>
      <c r="BG742">
        <v>17.161999999999999</v>
      </c>
      <c r="BH742">
        <v>44.7273</v>
      </c>
      <c r="BI742">
        <v>36.725499999999997</v>
      </c>
      <c r="BJ742">
        <v>30.825800000000001</v>
      </c>
      <c r="BK742">
        <v>0</v>
      </c>
      <c r="BL742">
        <v>35.6419</v>
      </c>
      <c r="BM742">
        <v>56.351599999999998</v>
      </c>
      <c r="BN742">
        <v>6.1918699999999998</v>
      </c>
      <c r="BO742">
        <v>1.1983699999999999</v>
      </c>
      <c r="BP742">
        <v>0.61624800000000002</v>
      </c>
      <c r="BQ742">
        <v>34.507100000000001</v>
      </c>
      <c r="BR742">
        <v>105477</v>
      </c>
    </row>
    <row r="743" spans="1:70" x14ac:dyDescent="0.25">
      <c r="A743">
        <v>32</v>
      </c>
      <c r="B743" s="7">
        <v>45994.531909722224</v>
      </c>
      <c r="C743" t="s">
        <v>126</v>
      </c>
      <c r="D743" s="6" t="s">
        <v>226</v>
      </c>
      <c r="E743" s="6" t="str">
        <f>VLOOKUP(F743,Germplasm!$A$1:$B$21,2,FALSE)</f>
        <v>Bamse</v>
      </c>
      <c r="F743" t="s">
        <v>69</v>
      </c>
      <c r="G743" s="6" t="s">
        <v>113</v>
      </c>
      <c r="H743">
        <v>43478.8</v>
      </c>
      <c r="I743">
        <v>501.96600000000001</v>
      </c>
      <c r="J743">
        <v>107386</v>
      </c>
      <c r="K743">
        <v>23.494399999999999</v>
      </c>
      <c r="L743">
        <v>71.431600000000003</v>
      </c>
      <c r="M743">
        <v>1303.3900000000001</v>
      </c>
      <c r="N743">
        <v>510.976</v>
      </c>
      <c r="O743">
        <v>29241100</v>
      </c>
      <c r="P743">
        <v>0.13680100000000001</v>
      </c>
      <c r="Q743">
        <v>1.0127699999999999</v>
      </c>
      <c r="R743">
        <v>15.837199999999999</v>
      </c>
      <c r="S743">
        <v>34.6494</v>
      </c>
      <c r="T743">
        <v>37.796300000000002</v>
      </c>
      <c r="U743">
        <v>10.4382</v>
      </c>
      <c r="V743">
        <v>0.26617099999999999</v>
      </c>
      <c r="W743">
        <v>74.734700000000004</v>
      </c>
      <c r="X743">
        <v>9.3933800000000005</v>
      </c>
      <c r="Y743">
        <v>19.6815</v>
      </c>
      <c r="Z743">
        <v>14.230700000000001</v>
      </c>
      <c r="AA743">
        <v>26.401900000000001</v>
      </c>
      <c r="AB743">
        <v>17.351099999999999</v>
      </c>
      <c r="AC743">
        <v>12.9414</v>
      </c>
      <c r="AD743">
        <v>1.7233099999999999</v>
      </c>
      <c r="AE743">
        <v>9.7578800000000001</v>
      </c>
      <c r="AF743">
        <v>0</v>
      </c>
      <c r="AG743">
        <v>97.868700000000004</v>
      </c>
      <c r="AH743">
        <v>2.1246499999999999</v>
      </c>
      <c r="AI743">
        <v>6.6070800000000004E-3</v>
      </c>
      <c r="AJ743">
        <v>0</v>
      </c>
      <c r="AK743">
        <v>0</v>
      </c>
      <c r="AL743">
        <v>0.30631399999999998</v>
      </c>
      <c r="AM743">
        <v>3.2214200000000002</v>
      </c>
      <c r="AN743">
        <v>22.887899999999998</v>
      </c>
      <c r="AO743">
        <v>22.2545</v>
      </c>
      <c r="AP743">
        <v>24.633099999999999</v>
      </c>
      <c r="AQ743">
        <v>22.3215</v>
      </c>
      <c r="AR743">
        <v>4.6815899999999999</v>
      </c>
      <c r="AS743">
        <v>0.20960100000000001</v>
      </c>
      <c r="AT743">
        <v>0.94953100000000001</v>
      </c>
      <c r="AU743">
        <v>11.8597</v>
      </c>
      <c r="AV743">
        <v>35.244</v>
      </c>
      <c r="AW743">
        <v>38.227600000000002</v>
      </c>
      <c r="AX743">
        <v>11.2651</v>
      </c>
      <c r="AY743">
        <v>2.4540600000000001</v>
      </c>
      <c r="AZ743">
        <v>672.53700000000003</v>
      </c>
      <c r="BA743">
        <v>697.8</v>
      </c>
      <c r="BB743">
        <v>25229.7</v>
      </c>
      <c r="BC743">
        <v>0.191944</v>
      </c>
      <c r="BD743">
        <v>2.7372199999999999E-2</v>
      </c>
      <c r="BE743">
        <v>0.13686100000000001</v>
      </c>
      <c r="BF743">
        <v>0.83060400000000001</v>
      </c>
      <c r="BG743">
        <v>11.814399999999999</v>
      </c>
      <c r="BH743">
        <v>43.638800000000003</v>
      </c>
      <c r="BI743">
        <v>43.552</v>
      </c>
      <c r="BJ743">
        <v>31.695499999999999</v>
      </c>
      <c r="BK743">
        <v>0</v>
      </c>
      <c r="BL743">
        <v>33.230800000000002</v>
      </c>
      <c r="BM743">
        <v>58.362200000000001</v>
      </c>
      <c r="BN743">
        <v>6.6967400000000001</v>
      </c>
      <c r="BO743">
        <v>1.0448599999999999</v>
      </c>
      <c r="BP743">
        <v>0.66542699999999999</v>
      </c>
      <c r="BQ743">
        <v>35.507899999999999</v>
      </c>
      <c r="BR743">
        <v>105947</v>
      </c>
    </row>
    <row r="744" spans="1:70" x14ac:dyDescent="0.25">
      <c r="A744">
        <v>32</v>
      </c>
      <c r="B744" s="7">
        <v>45994.532407407409</v>
      </c>
      <c r="C744" t="s">
        <v>126</v>
      </c>
      <c r="D744" s="6" t="s">
        <v>227</v>
      </c>
      <c r="E744" s="6" t="str">
        <f>VLOOKUP(F744,Germplasm!$A$1:$B$21,2,FALSE)</f>
        <v>Bamse</v>
      </c>
      <c r="F744" t="s">
        <v>69</v>
      </c>
      <c r="G744" s="6" t="s">
        <v>113</v>
      </c>
      <c r="H744">
        <v>43044.5</v>
      </c>
      <c r="I744">
        <v>506.97</v>
      </c>
      <c r="J744">
        <v>107474</v>
      </c>
      <c r="K744">
        <v>23.020099999999999</v>
      </c>
      <c r="L744">
        <v>70.713700000000003</v>
      </c>
      <c r="M744">
        <v>1300.56</v>
      </c>
      <c r="N744">
        <v>511.42</v>
      </c>
      <c r="O744">
        <v>28915100</v>
      </c>
      <c r="P744">
        <v>0.13656599999999999</v>
      </c>
      <c r="Q744">
        <v>1.02308</v>
      </c>
      <c r="R744">
        <v>16.045400000000001</v>
      </c>
      <c r="S744">
        <v>34.577599999999997</v>
      </c>
      <c r="T744">
        <v>37.639099999999999</v>
      </c>
      <c r="U744">
        <v>10.444900000000001</v>
      </c>
      <c r="V744">
        <v>0.26999400000000001</v>
      </c>
      <c r="W744">
        <v>74.833100000000002</v>
      </c>
      <c r="X744">
        <v>9.6204699999999992</v>
      </c>
      <c r="Y744">
        <v>19.507999999999999</v>
      </c>
      <c r="Z744">
        <v>14.142899999999999</v>
      </c>
      <c r="AA744">
        <v>26.220300000000002</v>
      </c>
      <c r="AB744">
        <v>17.654699999999998</v>
      </c>
      <c r="AC744">
        <v>12.8536</v>
      </c>
      <c r="AD744">
        <v>1.73983</v>
      </c>
      <c r="AE744">
        <v>9.8058499999999995</v>
      </c>
      <c r="AF744">
        <v>0</v>
      </c>
      <c r="AG744">
        <v>97.799499999999995</v>
      </c>
      <c r="AH744">
        <v>2.1937000000000002</v>
      </c>
      <c r="AI744">
        <v>6.7498499999999999E-3</v>
      </c>
      <c r="AJ744">
        <v>0</v>
      </c>
      <c r="AK744">
        <v>0</v>
      </c>
      <c r="AL744">
        <v>0.30502200000000002</v>
      </c>
      <c r="AM744">
        <v>3.2833199999999998</v>
      </c>
      <c r="AN744">
        <v>23.1144</v>
      </c>
      <c r="AO744">
        <v>22.583100000000002</v>
      </c>
      <c r="AP744">
        <v>24.105599999999999</v>
      </c>
      <c r="AQ744">
        <v>22.155899999999999</v>
      </c>
      <c r="AR744">
        <v>4.7576799999999997</v>
      </c>
      <c r="AS744">
        <v>0.20887800000000001</v>
      </c>
      <c r="AT744">
        <v>1.00091</v>
      </c>
      <c r="AU744">
        <v>11.7553</v>
      </c>
      <c r="AV744">
        <v>35.609299999999998</v>
      </c>
      <c r="AW744">
        <v>37.977600000000002</v>
      </c>
      <c r="AX744">
        <v>11.117000000000001</v>
      </c>
      <c r="AY744">
        <v>2.5398700000000001</v>
      </c>
      <c r="AZ744">
        <v>671.75</v>
      </c>
      <c r="BA744">
        <v>699.59900000000005</v>
      </c>
      <c r="BB744">
        <v>24740.7</v>
      </c>
      <c r="BC744">
        <v>0.191633</v>
      </c>
      <c r="BD744">
        <v>1.8321E-2</v>
      </c>
      <c r="BE744">
        <v>0.13499700000000001</v>
      </c>
      <c r="BF744">
        <v>0.83312399999999998</v>
      </c>
      <c r="BG744">
        <v>11.7698</v>
      </c>
      <c r="BH744">
        <v>43.530799999999999</v>
      </c>
      <c r="BI744">
        <v>43.713000000000001</v>
      </c>
      <c r="BJ744">
        <v>31.645900000000001</v>
      </c>
      <c r="BK744">
        <v>0</v>
      </c>
      <c r="BL744">
        <v>33.6143</v>
      </c>
      <c r="BM744">
        <v>57.878999999999998</v>
      </c>
      <c r="BN744">
        <v>6.7652799999999997</v>
      </c>
      <c r="BO744">
        <v>1.0983000000000001</v>
      </c>
      <c r="BP744">
        <v>0.64316399999999996</v>
      </c>
      <c r="BQ744">
        <v>35.120800000000003</v>
      </c>
      <c r="BR744">
        <v>103706</v>
      </c>
    </row>
    <row r="745" spans="1:70" x14ac:dyDescent="0.25">
      <c r="A745">
        <v>32</v>
      </c>
      <c r="B745" s="7">
        <v>46002.577800925923</v>
      </c>
      <c r="C745" t="s">
        <v>126</v>
      </c>
      <c r="D745" s="6" t="s">
        <v>228</v>
      </c>
      <c r="E745" s="6" t="str">
        <f>VLOOKUP(F745,Germplasm!$A$1:$B$21,2,FALSE)</f>
        <v>Bamse</v>
      </c>
      <c r="F745" t="s">
        <v>69</v>
      </c>
      <c r="G745" s="6" t="s">
        <v>113</v>
      </c>
      <c r="H745">
        <v>38128.400000000001</v>
      </c>
      <c r="I745">
        <v>519.67700000000002</v>
      </c>
      <c r="J745">
        <v>98219.9</v>
      </c>
      <c r="K745">
        <v>21.127500000000001</v>
      </c>
      <c r="L745">
        <v>71.770399999999995</v>
      </c>
      <c r="M745">
        <v>1180.93</v>
      </c>
      <c r="N745">
        <v>445.77699999999999</v>
      </c>
      <c r="O745">
        <v>25065000</v>
      </c>
      <c r="P745">
        <v>6.9335800000000003E-2</v>
      </c>
      <c r="Q745">
        <v>1.20061</v>
      </c>
      <c r="R745">
        <v>27.402699999999999</v>
      </c>
      <c r="S745">
        <v>47.673999999999999</v>
      </c>
      <c r="T745">
        <v>18.596299999999999</v>
      </c>
      <c r="U745">
        <v>4.9506500000000004</v>
      </c>
      <c r="V745">
        <v>0.17578299999999999</v>
      </c>
      <c r="W745">
        <v>49.345799999999997</v>
      </c>
      <c r="X745">
        <v>15.2081</v>
      </c>
      <c r="Y745">
        <v>43.200200000000002</v>
      </c>
      <c r="Z745">
        <v>13.124000000000001</v>
      </c>
      <c r="AA745">
        <v>13.630699999999999</v>
      </c>
      <c r="AB745">
        <v>7.89072</v>
      </c>
      <c r="AC745">
        <v>6.9463100000000004</v>
      </c>
      <c r="AD745">
        <v>1.8373900000000001</v>
      </c>
      <c r="AE745">
        <v>13.537800000000001</v>
      </c>
      <c r="AF745">
        <v>0</v>
      </c>
      <c r="AG745">
        <v>90.300899999999999</v>
      </c>
      <c r="AH745">
        <v>9.5681200000000004</v>
      </c>
      <c r="AI745">
        <v>0.13097600000000001</v>
      </c>
      <c r="AJ745">
        <v>0</v>
      </c>
      <c r="AK745">
        <v>0</v>
      </c>
      <c r="AL745">
        <v>0.17468800000000001</v>
      </c>
      <c r="AM745">
        <v>10.4941</v>
      </c>
      <c r="AN745">
        <v>47.2363</v>
      </c>
      <c r="AO745">
        <v>19.378699999999998</v>
      </c>
      <c r="AP745">
        <v>11.6706</v>
      </c>
      <c r="AQ745">
        <v>9.5934000000000008</v>
      </c>
      <c r="AR745">
        <v>1.62686</v>
      </c>
      <c r="AS745">
        <v>0.27054899999999998</v>
      </c>
      <c r="AT745">
        <v>0.79964199999999996</v>
      </c>
      <c r="AU745">
        <v>4.4175599999999999</v>
      </c>
      <c r="AV745">
        <v>26.31</v>
      </c>
      <c r="AW745">
        <v>49.553600000000003</v>
      </c>
      <c r="AX745">
        <v>16.047999999999998</v>
      </c>
      <c r="AY745">
        <v>2.87113</v>
      </c>
      <c r="AZ745">
        <v>657.38499999999999</v>
      </c>
      <c r="BA745">
        <v>700.19899999999996</v>
      </c>
      <c r="BB745">
        <v>20751.400000000001</v>
      </c>
      <c r="BC745">
        <v>0.306863</v>
      </c>
      <c r="BD745">
        <v>4.3658599999999999E-2</v>
      </c>
      <c r="BE745">
        <v>0.21025099999999999</v>
      </c>
      <c r="BF745">
        <v>0.65258099999999997</v>
      </c>
      <c r="BG745">
        <v>4.3095600000000003</v>
      </c>
      <c r="BH745">
        <v>23.759499999999999</v>
      </c>
      <c r="BI745">
        <v>71.024500000000003</v>
      </c>
      <c r="BJ745">
        <v>32.1267</v>
      </c>
      <c r="BK745">
        <v>0</v>
      </c>
      <c r="BL745">
        <v>31.191800000000001</v>
      </c>
      <c r="BM745">
        <v>60.1845</v>
      </c>
      <c r="BN745">
        <v>6.9807800000000002</v>
      </c>
      <c r="BO745">
        <v>1.1167400000000001</v>
      </c>
      <c r="BP745">
        <v>0.52620100000000003</v>
      </c>
      <c r="BQ745">
        <v>33.002699999999997</v>
      </c>
      <c r="BR745">
        <v>87039</v>
      </c>
    </row>
    <row r="746" spans="1:70" x14ac:dyDescent="0.25">
      <c r="A746">
        <v>32</v>
      </c>
      <c r="B746" s="7">
        <v>46013.592499999999</v>
      </c>
      <c r="C746" t="s">
        <v>126</v>
      </c>
      <c r="D746" s="6" t="s">
        <v>229</v>
      </c>
      <c r="E746" s="6" t="str">
        <f>VLOOKUP(F746,Germplasm!$A$1:$B$21,2,FALSE)</f>
        <v>Bamse</v>
      </c>
      <c r="F746" t="s">
        <v>69</v>
      </c>
      <c r="G746" s="6" t="s">
        <v>113</v>
      </c>
      <c r="H746">
        <v>30914.799999999999</v>
      </c>
      <c r="I746">
        <v>510.84899999999999</v>
      </c>
      <c r="J746">
        <v>72848.600000000006</v>
      </c>
      <c r="K746">
        <v>23.972300000000001</v>
      </c>
      <c r="L746">
        <v>74.608699999999999</v>
      </c>
      <c r="M746">
        <v>1016.93</v>
      </c>
      <c r="N746">
        <v>363.65</v>
      </c>
      <c r="O746">
        <v>19921400</v>
      </c>
      <c r="P746">
        <v>1.48203E-2</v>
      </c>
      <c r="Q746">
        <v>1.4614400000000001</v>
      </c>
      <c r="R746">
        <v>36.886600000000001</v>
      </c>
      <c r="S746">
        <v>56.359699999999997</v>
      </c>
      <c r="T746">
        <v>4.4837800000000003</v>
      </c>
      <c r="U746">
        <v>0.757498</v>
      </c>
      <c r="V746">
        <v>5.101E-2</v>
      </c>
      <c r="W746">
        <v>35.397399999999998</v>
      </c>
      <c r="X746">
        <v>19.539400000000001</v>
      </c>
      <c r="Y746">
        <v>58.653799999999997</v>
      </c>
      <c r="Z746">
        <v>9.76586</v>
      </c>
      <c r="AA746">
        <v>4.5551899999999996</v>
      </c>
      <c r="AB746">
        <v>1.11202</v>
      </c>
      <c r="AC746">
        <v>6.3737000000000004</v>
      </c>
      <c r="AD746">
        <v>1.7702599999999999</v>
      </c>
      <c r="AE746">
        <v>14.657</v>
      </c>
      <c r="AF746">
        <v>0</v>
      </c>
      <c r="AG746">
        <v>88.284300000000002</v>
      </c>
      <c r="AH746">
        <v>11.629</v>
      </c>
      <c r="AI746">
        <v>8.6717000000000002E-2</v>
      </c>
      <c r="AJ746">
        <v>0</v>
      </c>
      <c r="AK746">
        <v>0</v>
      </c>
      <c r="AL746">
        <v>9.9579200000000007E-2</v>
      </c>
      <c r="AM746">
        <v>16.7058</v>
      </c>
      <c r="AN746">
        <v>57.842799999999997</v>
      </c>
      <c r="AO746">
        <v>17.340800000000002</v>
      </c>
      <c r="AP746">
        <v>6.1212</v>
      </c>
      <c r="AQ746">
        <v>1.44486</v>
      </c>
      <c r="AR746">
        <v>0.54453200000000002</v>
      </c>
      <c r="AS746">
        <v>0.28247899999999998</v>
      </c>
      <c r="AT746">
        <v>0.51520100000000002</v>
      </c>
      <c r="AU746">
        <v>2.7915199999999998</v>
      </c>
      <c r="AV746">
        <v>21.023800000000001</v>
      </c>
      <c r="AW746">
        <v>59.505699999999997</v>
      </c>
      <c r="AX746">
        <v>14.08</v>
      </c>
      <c r="AY746">
        <v>2.0837599999999998</v>
      </c>
      <c r="AZ746">
        <v>644.39800000000002</v>
      </c>
      <c r="BA746">
        <v>691.79899999999998</v>
      </c>
      <c r="BB746">
        <v>17463.5</v>
      </c>
      <c r="BC746">
        <v>0.35521399999999997</v>
      </c>
      <c r="BD746">
        <v>6.24872E-2</v>
      </c>
      <c r="BE746">
        <v>0.20914099999999999</v>
      </c>
      <c r="BF746">
        <v>0.535605</v>
      </c>
      <c r="BG746">
        <v>2.4994900000000002</v>
      </c>
      <c r="BH746">
        <v>12.2819</v>
      </c>
      <c r="BI746">
        <v>84.411299999999997</v>
      </c>
      <c r="BJ746">
        <v>30.092600000000001</v>
      </c>
      <c r="BK746">
        <v>0</v>
      </c>
      <c r="BL746">
        <v>34.726300000000002</v>
      </c>
      <c r="BM746">
        <v>60.236400000000003</v>
      </c>
      <c r="BN746">
        <v>3.7619899999999999</v>
      </c>
      <c r="BO746">
        <v>0.73326899999999995</v>
      </c>
      <c r="BP746">
        <v>0.54198100000000005</v>
      </c>
      <c r="BQ746">
        <v>34.42</v>
      </c>
      <c r="BR746">
        <v>78416</v>
      </c>
    </row>
    <row r="747" spans="1:70" x14ac:dyDescent="0.25">
      <c r="A747">
        <v>32</v>
      </c>
      <c r="B747" s="7">
        <v>46024.540335648147</v>
      </c>
      <c r="C747" t="s">
        <v>126</v>
      </c>
      <c r="D747" s="6" t="s">
        <v>230</v>
      </c>
      <c r="E747" s="6" t="str">
        <f>VLOOKUP(F747,Germplasm!$A$1:$B$21,2,FALSE)</f>
        <v>Bamse</v>
      </c>
      <c r="F747" t="s">
        <v>69</v>
      </c>
      <c r="G747" s="6" t="s">
        <v>113</v>
      </c>
      <c r="H747">
        <v>31303.5</v>
      </c>
      <c r="I747">
        <v>522.42200000000003</v>
      </c>
      <c r="J747">
        <v>99316.5</v>
      </c>
      <c r="K747">
        <v>16.938300000000002</v>
      </c>
      <c r="L747">
        <v>51.5548</v>
      </c>
      <c r="M747">
        <v>1255.74</v>
      </c>
      <c r="N747">
        <v>503.26</v>
      </c>
      <c r="O747">
        <v>19059300</v>
      </c>
      <c r="P747">
        <v>4.5058900000000002E-3</v>
      </c>
      <c r="Q747">
        <v>1.4028099999999999</v>
      </c>
      <c r="R747">
        <v>38.8125</v>
      </c>
      <c r="S747">
        <v>58.405200000000001</v>
      </c>
      <c r="T747">
        <v>1.15954</v>
      </c>
      <c r="U747">
        <v>0.196655</v>
      </c>
      <c r="V747">
        <v>2.33073E-2</v>
      </c>
      <c r="W747">
        <v>33.331800000000001</v>
      </c>
      <c r="X747">
        <v>20.599299999999999</v>
      </c>
      <c r="Y747">
        <v>60.684899999999999</v>
      </c>
      <c r="Z747">
        <v>8.9004799999999999</v>
      </c>
      <c r="AA747">
        <v>2.2680899999999999</v>
      </c>
      <c r="AB747">
        <v>0.74146400000000001</v>
      </c>
      <c r="AC747">
        <v>6.8057299999999996</v>
      </c>
      <c r="AD747">
        <v>1.8608100000000001</v>
      </c>
      <c r="AE747">
        <v>18.6845</v>
      </c>
      <c r="AF747">
        <v>0</v>
      </c>
      <c r="AG747">
        <v>74.965000000000003</v>
      </c>
      <c r="AH747">
        <v>24.778600000000001</v>
      </c>
      <c r="AI747">
        <v>0.25638</v>
      </c>
      <c r="AJ747">
        <v>0</v>
      </c>
      <c r="AK747">
        <v>0</v>
      </c>
      <c r="AL747">
        <v>7.6944600000000002E-2</v>
      </c>
      <c r="AM747">
        <v>19.5869</v>
      </c>
      <c r="AN747">
        <v>62.001800000000003</v>
      </c>
      <c r="AO747">
        <v>13.282299999999999</v>
      </c>
      <c r="AP747">
        <v>3.68838</v>
      </c>
      <c r="AQ747">
        <v>1.0706800000000001</v>
      </c>
      <c r="AR747">
        <v>0.37000300000000003</v>
      </c>
      <c r="AS747">
        <v>0.25914399999999999</v>
      </c>
      <c r="AT747">
        <v>0.43409900000000001</v>
      </c>
      <c r="AU747">
        <v>2.9585699999999999</v>
      </c>
      <c r="AV747">
        <v>28.360600000000002</v>
      </c>
      <c r="AW747">
        <v>56.520200000000003</v>
      </c>
      <c r="AX747">
        <v>9.5909600000000008</v>
      </c>
      <c r="AY747">
        <v>2.1355300000000002</v>
      </c>
      <c r="AZ747">
        <v>608.85699999999997</v>
      </c>
      <c r="BA747">
        <v>650.99900000000002</v>
      </c>
      <c r="BB747">
        <v>16822.5</v>
      </c>
      <c r="BC747">
        <v>0.34221800000000002</v>
      </c>
      <c r="BD747">
        <v>5.0984700000000001E-2</v>
      </c>
      <c r="BE747">
        <v>0.2389</v>
      </c>
      <c r="BF747">
        <v>0.53024099999999996</v>
      </c>
      <c r="BG747">
        <v>2.57254</v>
      </c>
      <c r="BH747">
        <v>12.1577</v>
      </c>
      <c r="BI747">
        <v>84.449700000000007</v>
      </c>
      <c r="BJ747">
        <v>27.2742</v>
      </c>
      <c r="BK747">
        <v>0</v>
      </c>
      <c r="BL747">
        <v>47.053100000000001</v>
      </c>
      <c r="BM747">
        <v>48.654000000000003</v>
      </c>
      <c r="BN747">
        <v>3.0372300000000001</v>
      </c>
      <c r="BO747">
        <v>0.80264500000000005</v>
      </c>
      <c r="BP747">
        <v>0.45303599999999999</v>
      </c>
      <c r="BQ747">
        <v>32.529200000000003</v>
      </c>
      <c r="BR747">
        <v>68648</v>
      </c>
    </row>
    <row r="748" spans="1:70" x14ac:dyDescent="0.25">
      <c r="A748">
        <v>50</v>
      </c>
      <c r="B748" s="7">
        <v>45952.579398148147</v>
      </c>
      <c r="C748" t="s">
        <v>190</v>
      </c>
      <c r="D748" s="6" t="s">
        <v>391</v>
      </c>
      <c r="E748" s="6" t="str">
        <f>VLOOKUP(F748,Germplasm!$A$1:$B$21,2,FALSE)</f>
        <v>Arve</v>
      </c>
      <c r="F748" t="s">
        <v>68</v>
      </c>
      <c r="G748" s="6" t="s">
        <v>113</v>
      </c>
      <c r="H748">
        <v>36506.800000000003</v>
      </c>
      <c r="I748">
        <v>281.57600000000002</v>
      </c>
      <c r="J748">
        <v>82138.8</v>
      </c>
      <c r="K748">
        <v>25.895800000000001</v>
      </c>
      <c r="L748">
        <v>75.055899999999994</v>
      </c>
      <c r="M748">
        <v>1131.97</v>
      </c>
      <c r="N748">
        <v>418.149</v>
      </c>
      <c r="O748">
        <v>11756600</v>
      </c>
      <c r="P748">
        <v>0.25953900000000002</v>
      </c>
      <c r="Q748">
        <v>0.32141799999999998</v>
      </c>
      <c r="R748">
        <v>2.4832999999999998</v>
      </c>
      <c r="S748">
        <v>15.327400000000001</v>
      </c>
      <c r="T748">
        <v>43.219499999999996</v>
      </c>
      <c r="U748">
        <v>38.273800000000001</v>
      </c>
      <c r="V748">
        <v>0.37452099999999999</v>
      </c>
      <c r="W748">
        <v>116.761</v>
      </c>
      <c r="X748">
        <v>0.596719</v>
      </c>
      <c r="Y748">
        <v>1.2130000000000001</v>
      </c>
      <c r="Z748">
        <v>2.9807999999999999</v>
      </c>
      <c r="AA748">
        <v>18.2607</v>
      </c>
      <c r="AB748">
        <v>41.658499999999997</v>
      </c>
      <c r="AC748">
        <v>35.290300000000002</v>
      </c>
      <c r="AD748">
        <v>1.71631</v>
      </c>
      <c r="AE748">
        <v>7.1126300000000002</v>
      </c>
      <c r="AF748">
        <v>0</v>
      </c>
      <c r="AG748">
        <v>99.977599999999995</v>
      </c>
      <c r="AH748">
        <v>2.2359500000000001E-2</v>
      </c>
      <c r="AI748">
        <v>0</v>
      </c>
      <c r="AJ748">
        <v>0</v>
      </c>
      <c r="AK748">
        <v>0</v>
      </c>
      <c r="AL748">
        <v>0.55340999999999996</v>
      </c>
      <c r="AM748">
        <v>0.2208</v>
      </c>
      <c r="AN748">
        <v>1.2605200000000001</v>
      </c>
      <c r="AO748">
        <v>3.6823299999999999</v>
      </c>
      <c r="AP748">
        <v>12.819000000000001</v>
      </c>
      <c r="AQ748">
        <v>40.485999999999997</v>
      </c>
      <c r="AR748">
        <v>41.531300000000002</v>
      </c>
      <c r="AS748">
        <v>3.7262700000000003E-2</v>
      </c>
      <c r="AT748">
        <v>7.72241</v>
      </c>
      <c r="AU748">
        <v>34.105200000000004</v>
      </c>
      <c r="AV748">
        <v>42.421500000000002</v>
      </c>
      <c r="AW748">
        <v>12.8385</v>
      </c>
      <c r="AX748">
        <v>2.1101800000000002</v>
      </c>
      <c r="AY748">
        <v>0.80214600000000003</v>
      </c>
      <c r="AZ748">
        <v>322.03899999999999</v>
      </c>
      <c r="BA748">
        <v>334.79899999999998</v>
      </c>
      <c r="BB748">
        <v>21270.5</v>
      </c>
      <c r="BC748">
        <v>1.27362E-2</v>
      </c>
      <c r="BD748">
        <v>1.39747E-2</v>
      </c>
      <c r="BE748">
        <v>0.26691599999999999</v>
      </c>
      <c r="BF748">
        <v>2.4958800000000001</v>
      </c>
      <c r="BG748">
        <v>39.050800000000002</v>
      </c>
      <c r="BH748">
        <v>55.131500000000003</v>
      </c>
      <c r="BI748">
        <v>3.0408900000000001</v>
      </c>
      <c r="BJ748">
        <v>33.596800000000002</v>
      </c>
      <c r="BK748">
        <v>0</v>
      </c>
      <c r="BL748">
        <v>27.503599999999999</v>
      </c>
      <c r="BM748">
        <v>61.497</v>
      </c>
      <c r="BN748">
        <v>10.159599999999999</v>
      </c>
      <c r="BO748">
        <v>0.65122000000000002</v>
      </c>
      <c r="BP748">
        <v>0.18865799999999999</v>
      </c>
      <c r="BQ748">
        <v>35.670499999999997</v>
      </c>
      <c r="BR748">
        <v>71558</v>
      </c>
    </row>
    <row r="749" spans="1:70" x14ac:dyDescent="0.25">
      <c r="A749">
        <v>50</v>
      </c>
      <c r="B749" s="7">
        <v>45959.548773148148</v>
      </c>
      <c r="C749" t="s">
        <v>190</v>
      </c>
      <c r="D749" s="6" t="s">
        <v>392</v>
      </c>
      <c r="E749" s="6" t="str">
        <f>VLOOKUP(F749,Germplasm!$A$1:$B$21,2,FALSE)</f>
        <v>Arve</v>
      </c>
      <c r="F749" t="s">
        <v>68</v>
      </c>
      <c r="G749" s="6" t="s">
        <v>113</v>
      </c>
      <c r="H749">
        <v>52888.800000000003</v>
      </c>
      <c r="I749">
        <v>415.87700000000001</v>
      </c>
      <c r="J749">
        <v>143992</v>
      </c>
      <c r="K749">
        <v>21.3508</v>
      </c>
      <c r="L749">
        <v>91.317099999999996</v>
      </c>
      <c r="M749">
        <v>1432.77</v>
      </c>
      <c r="N749">
        <v>481.358</v>
      </c>
      <c r="O749">
        <v>24555500</v>
      </c>
      <c r="P749">
        <v>0.25313999999999998</v>
      </c>
      <c r="Q749">
        <v>0.57414299999999996</v>
      </c>
      <c r="R749">
        <v>3.00197</v>
      </c>
      <c r="S749">
        <v>17.145900000000001</v>
      </c>
      <c r="T749">
        <v>42.452599999999997</v>
      </c>
      <c r="U749">
        <v>35.869799999999998</v>
      </c>
      <c r="V749">
        <v>0.955646</v>
      </c>
      <c r="W749">
        <v>120.607</v>
      </c>
      <c r="X749">
        <v>0.89993100000000004</v>
      </c>
      <c r="Y749">
        <v>1.43347</v>
      </c>
      <c r="Z749">
        <v>2.85466</v>
      </c>
      <c r="AA749">
        <v>14.7332</v>
      </c>
      <c r="AB749">
        <v>37.4298</v>
      </c>
      <c r="AC749">
        <v>42.649000000000001</v>
      </c>
      <c r="AD749">
        <v>1.7203299999999999</v>
      </c>
      <c r="AE749">
        <v>6.3974500000000001</v>
      </c>
      <c r="AF749">
        <v>0</v>
      </c>
      <c r="AG749">
        <v>99.896100000000004</v>
      </c>
      <c r="AH749">
        <v>9.9153000000000005E-2</v>
      </c>
      <c r="AI749">
        <v>4.7215699999999996E-3</v>
      </c>
      <c r="AJ749">
        <v>0</v>
      </c>
      <c r="AK749">
        <v>0</v>
      </c>
      <c r="AL749">
        <v>0.54846200000000001</v>
      </c>
      <c r="AM749">
        <v>0.48254399999999997</v>
      </c>
      <c r="AN749">
        <v>2.2418</v>
      </c>
      <c r="AO749">
        <v>4.5336499999999997</v>
      </c>
      <c r="AP749">
        <v>12.758599999999999</v>
      </c>
      <c r="AQ749">
        <v>38.013399999999997</v>
      </c>
      <c r="AR749">
        <v>41.97</v>
      </c>
      <c r="AS749">
        <v>2.4799499999999999E-2</v>
      </c>
      <c r="AT749">
        <v>9.1107399999999998</v>
      </c>
      <c r="AU749">
        <v>39.577100000000002</v>
      </c>
      <c r="AV749">
        <v>35.799900000000001</v>
      </c>
      <c r="AW749">
        <v>11.2515</v>
      </c>
      <c r="AX749">
        <v>2.51471</v>
      </c>
      <c r="AY749">
        <v>1.74604</v>
      </c>
      <c r="AZ749">
        <v>464.28399999999999</v>
      </c>
      <c r="BA749">
        <v>530.399</v>
      </c>
      <c r="BB749">
        <v>30743.5</v>
      </c>
      <c r="BC749">
        <v>2.3313100000000001E-3</v>
      </c>
      <c r="BD749">
        <v>5.4770199999999998E-2</v>
      </c>
      <c r="BE749">
        <v>0.43155100000000002</v>
      </c>
      <c r="BF749">
        <v>3.2503299999999999</v>
      </c>
      <c r="BG749">
        <v>44.949300000000001</v>
      </c>
      <c r="BH749">
        <v>47.094799999999999</v>
      </c>
      <c r="BI749">
        <v>4.2191900000000002</v>
      </c>
      <c r="BJ749">
        <v>33.973500000000001</v>
      </c>
      <c r="BK749">
        <v>0</v>
      </c>
      <c r="BL749">
        <v>29.665600000000001</v>
      </c>
      <c r="BM749">
        <v>57.5229</v>
      </c>
      <c r="BN749">
        <v>10.666</v>
      </c>
      <c r="BO749">
        <v>1.30315</v>
      </c>
      <c r="BP749">
        <v>0.84232799999999997</v>
      </c>
      <c r="BQ749">
        <v>35.585999999999999</v>
      </c>
      <c r="BR749">
        <v>105897</v>
      </c>
    </row>
    <row r="750" spans="1:70" x14ac:dyDescent="0.25">
      <c r="A750">
        <v>50</v>
      </c>
      <c r="B750" s="7">
        <v>45966.532557870371</v>
      </c>
      <c r="C750" t="s">
        <v>190</v>
      </c>
      <c r="D750" s="6" t="s">
        <v>393</v>
      </c>
      <c r="E750" s="6" t="str">
        <f>VLOOKUP(F750,Germplasm!$A$1:$B$21,2,FALSE)</f>
        <v>Arve</v>
      </c>
      <c r="F750" t="s">
        <v>68</v>
      </c>
      <c r="G750" s="6" t="s">
        <v>113</v>
      </c>
      <c r="H750">
        <v>69508.3</v>
      </c>
      <c r="I750">
        <v>417.238</v>
      </c>
      <c r="J750">
        <v>202428</v>
      </c>
      <c r="K750">
        <v>18.5717</v>
      </c>
      <c r="L750">
        <v>62.451900000000002</v>
      </c>
      <c r="M750">
        <v>1747.88</v>
      </c>
      <c r="N750">
        <v>671.01499999999999</v>
      </c>
      <c r="O750">
        <v>33280600</v>
      </c>
      <c r="P750">
        <v>0.245674</v>
      </c>
      <c r="Q750">
        <v>0.47749799999999998</v>
      </c>
      <c r="R750">
        <v>2.82761</v>
      </c>
      <c r="S750">
        <v>18.1114</v>
      </c>
      <c r="T750">
        <v>45.253999999999998</v>
      </c>
      <c r="U750">
        <v>32.295999999999999</v>
      </c>
      <c r="V750">
        <v>1.03356</v>
      </c>
      <c r="W750">
        <v>116.825</v>
      </c>
      <c r="X750">
        <v>0.84134299999999995</v>
      </c>
      <c r="Y750">
        <v>1.9343999999999999</v>
      </c>
      <c r="Z750">
        <v>3.6353900000000001</v>
      </c>
      <c r="AA750">
        <v>17.258600000000001</v>
      </c>
      <c r="AB750">
        <v>38.652900000000002</v>
      </c>
      <c r="AC750">
        <v>37.677300000000002</v>
      </c>
      <c r="AD750">
        <v>1.8489</v>
      </c>
      <c r="AE750">
        <v>6.8621400000000001</v>
      </c>
      <c r="AF750">
        <v>0</v>
      </c>
      <c r="AG750">
        <v>99.826099999999997</v>
      </c>
      <c r="AH750">
        <v>0.17391300000000001</v>
      </c>
      <c r="AI750">
        <v>0</v>
      </c>
      <c r="AJ750">
        <v>0</v>
      </c>
      <c r="AK750">
        <v>0</v>
      </c>
      <c r="AL750">
        <v>0.525038</v>
      </c>
      <c r="AM750">
        <v>0.62852799999999998</v>
      </c>
      <c r="AN750">
        <v>2.8176999999999999</v>
      </c>
      <c r="AO750">
        <v>5.4469900000000004</v>
      </c>
      <c r="AP750">
        <v>15.428699999999999</v>
      </c>
      <c r="AQ750">
        <v>40.599499999999999</v>
      </c>
      <c r="AR750">
        <v>35.078600000000002</v>
      </c>
      <c r="AS750">
        <v>4.8567399999999997E-2</v>
      </c>
      <c r="AT750">
        <v>5.9649099999999997</v>
      </c>
      <c r="AU750">
        <v>37.942799999999998</v>
      </c>
      <c r="AV750">
        <v>38.895499999999998</v>
      </c>
      <c r="AW750">
        <v>11.9069</v>
      </c>
      <c r="AX750">
        <v>3.2013699999999998</v>
      </c>
      <c r="AY750">
        <v>2.0884800000000001</v>
      </c>
      <c r="AZ750">
        <v>478.8</v>
      </c>
      <c r="BA750">
        <v>538.79999999999995</v>
      </c>
      <c r="BB750">
        <v>37594.400000000001</v>
      </c>
      <c r="BC750">
        <v>1.9953700000000001E-2</v>
      </c>
      <c r="BD750">
        <v>4.5003799999999997E-2</v>
      </c>
      <c r="BE750">
        <v>0.31197599999999998</v>
      </c>
      <c r="BF750">
        <v>2.15713</v>
      </c>
      <c r="BG750">
        <v>41.389800000000001</v>
      </c>
      <c r="BH750">
        <v>50.102200000000003</v>
      </c>
      <c r="BI750">
        <v>5.9939</v>
      </c>
      <c r="BJ750">
        <v>32.904499999999999</v>
      </c>
      <c r="BK750">
        <v>0</v>
      </c>
      <c r="BL750">
        <v>32.259300000000003</v>
      </c>
      <c r="BM750">
        <v>56.395099999999999</v>
      </c>
      <c r="BN750">
        <v>9.1380599999999994</v>
      </c>
      <c r="BO750">
        <v>1.5125900000000001</v>
      </c>
      <c r="BP750">
        <v>0.69488899999999998</v>
      </c>
      <c r="BQ750">
        <v>32.7849</v>
      </c>
      <c r="BR750">
        <v>131100</v>
      </c>
    </row>
    <row r="751" spans="1:70" x14ac:dyDescent="0.25">
      <c r="A751">
        <v>50</v>
      </c>
      <c r="B751" s="7">
        <v>45973.573125000003</v>
      </c>
      <c r="C751" t="s">
        <v>190</v>
      </c>
      <c r="D751" s="6" t="s">
        <v>394</v>
      </c>
      <c r="E751" s="6" t="str">
        <f>VLOOKUP(F751,Germplasm!$A$1:$B$21,2,FALSE)</f>
        <v>Arve</v>
      </c>
      <c r="F751" t="s">
        <v>68</v>
      </c>
      <c r="G751" s="6" t="s">
        <v>113</v>
      </c>
      <c r="H751">
        <v>51683.5</v>
      </c>
      <c r="I751">
        <v>509.24200000000002</v>
      </c>
      <c r="J751">
        <v>131394</v>
      </c>
      <c r="K751">
        <v>20.776</v>
      </c>
      <c r="L751">
        <v>70.885499999999993</v>
      </c>
      <c r="M751">
        <v>1373.12</v>
      </c>
      <c r="N751">
        <v>504.81799999999998</v>
      </c>
      <c r="O751">
        <v>29568600</v>
      </c>
      <c r="P751">
        <v>0.21207999999999999</v>
      </c>
      <c r="Q751">
        <v>0.59588399999999997</v>
      </c>
      <c r="R751">
        <v>6.0693000000000001</v>
      </c>
      <c r="S751">
        <v>24.712199999999999</v>
      </c>
      <c r="T751">
        <v>43.518900000000002</v>
      </c>
      <c r="U751">
        <v>23.881900000000002</v>
      </c>
      <c r="V751">
        <v>1.2218</v>
      </c>
      <c r="W751">
        <v>108.402</v>
      </c>
      <c r="X751">
        <v>2.9561700000000002</v>
      </c>
      <c r="Y751">
        <v>6.2834300000000001</v>
      </c>
      <c r="Z751">
        <v>7.1312300000000004</v>
      </c>
      <c r="AA751">
        <v>20.047899999999998</v>
      </c>
      <c r="AB751">
        <v>29.7118</v>
      </c>
      <c r="AC751">
        <v>33.869500000000002</v>
      </c>
      <c r="AD751">
        <v>1.8932800000000001</v>
      </c>
      <c r="AE751">
        <v>7.3208399999999996</v>
      </c>
      <c r="AF751">
        <v>0</v>
      </c>
      <c r="AG751">
        <v>99.409899999999993</v>
      </c>
      <c r="AH751">
        <v>0.58522600000000002</v>
      </c>
      <c r="AI751">
        <v>3.8756699999999999E-3</v>
      </c>
      <c r="AJ751">
        <v>9.6891700000000002E-4</v>
      </c>
      <c r="AK751">
        <v>0</v>
      </c>
      <c r="AL751">
        <v>0.45764300000000002</v>
      </c>
      <c r="AM751">
        <v>1.00186</v>
      </c>
      <c r="AN751">
        <v>7.9596499999999999</v>
      </c>
      <c r="AO751">
        <v>11.815</v>
      </c>
      <c r="AP751">
        <v>20.7242</v>
      </c>
      <c r="AQ751">
        <v>33.911099999999998</v>
      </c>
      <c r="AR751">
        <v>24.588200000000001</v>
      </c>
      <c r="AS751">
        <v>9.7286800000000007E-2</v>
      </c>
      <c r="AT751">
        <v>5.1129800000000003</v>
      </c>
      <c r="AU751">
        <v>32.589500000000001</v>
      </c>
      <c r="AV751">
        <v>34.650399999999998</v>
      </c>
      <c r="AW751">
        <v>17.2942</v>
      </c>
      <c r="AX751">
        <v>7.3046699999999998</v>
      </c>
      <c r="AY751">
        <v>3.0482100000000001</v>
      </c>
      <c r="AZ751">
        <v>572.10900000000004</v>
      </c>
      <c r="BA751">
        <v>632.399</v>
      </c>
      <c r="BB751">
        <v>27298.3</v>
      </c>
      <c r="BC751">
        <v>6.5062499999999995E-2</v>
      </c>
      <c r="BD751">
        <v>2.8098600000000001E-2</v>
      </c>
      <c r="BE751">
        <v>0.26839000000000002</v>
      </c>
      <c r="BF751">
        <v>2.3321800000000001</v>
      </c>
      <c r="BG751">
        <v>35.070900000000002</v>
      </c>
      <c r="BH751">
        <v>45.258099999999999</v>
      </c>
      <c r="BI751">
        <v>17.042300000000001</v>
      </c>
      <c r="BJ751">
        <v>32.810499999999998</v>
      </c>
      <c r="BK751">
        <v>0</v>
      </c>
      <c r="BL751">
        <v>34.422699999999999</v>
      </c>
      <c r="BM751">
        <v>53.042400000000001</v>
      </c>
      <c r="BN751">
        <v>9.8412900000000008</v>
      </c>
      <c r="BO751">
        <v>1.9252400000000001</v>
      </c>
      <c r="BP751">
        <v>0.76835100000000001</v>
      </c>
      <c r="BQ751">
        <v>31.918700000000001</v>
      </c>
      <c r="BR751">
        <v>103208</v>
      </c>
    </row>
    <row r="752" spans="1:70" x14ac:dyDescent="0.25">
      <c r="A752">
        <v>50</v>
      </c>
      <c r="B752" s="7">
        <v>45988.587905092594</v>
      </c>
      <c r="C752" t="s">
        <v>190</v>
      </c>
      <c r="D752" s="6" t="s">
        <v>395</v>
      </c>
      <c r="E752" s="6" t="str">
        <f>VLOOKUP(F752,Germplasm!$A$1:$B$21,2,FALSE)</f>
        <v>Arve</v>
      </c>
      <c r="F752" t="s">
        <v>68</v>
      </c>
      <c r="G752" s="6" t="s">
        <v>113</v>
      </c>
      <c r="H752">
        <v>48633.4</v>
      </c>
      <c r="I752">
        <v>505.851</v>
      </c>
      <c r="J752">
        <v>138944</v>
      </c>
      <c r="K752">
        <v>19.903099999999998</v>
      </c>
      <c r="L752">
        <v>66.732399999999998</v>
      </c>
      <c r="M752">
        <v>1420.09</v>
      </c>
      <c r="N752">
        <v>525.46600000000001</v>
      </c>
      <c r="O752">
        <v>29547000</v>
      </c>
      <c r="P752">
        <v>0.170873</v>
      </c>
      <c r="Q752">
        <v>1.2440800000000001</v>
      </c>
      <c r="R752">
        <v>13.0983</v>
      </c>
      <c r="S752">
        <v>31.533799999999999</v>
      </c>
      <c r="T752">
        <v>33.973999999999997</v>
      </c>
      <c r="U752">
        <v>18.536200000000001</v>
      </c>
      <c r="V752">
        <v>1.6136900000000001</v>
      </c>
      <c r="W752">
        <v>79.098299999999995</v>
      </c>
      <c r="X752">
        <v>7.5580800000000004</v>
      </c>
      <c r="Y752">
        <v>17.355</v>
      </c>
      <c r="Z752">
        <v>13.6637</v>
      </c>
      <c r="AA752">
        <v>27.010400000000001</v>
      </c>
      <c r="AB752">
        <v>20.886700000000001</v>
      </c>
      <c r="AC752">
        <v>13.5261</v>
      </c>
      <c r="AD752">
        <v>1.7586200000000001</v>
      </c>
      <c r="AE752">
        <v>7.8812600000000002</v>
      </c>
      <c r="AF752">
        <v>0</v>
      </c>
      <c r="AG752">
        <v>98.996600000000001</v>
      </c>
      <c r="AH752">
        <v>1.00109</v>
      </c>
      <c r="AI752">
        <v>2.3592000000000001E-3</v>
      </c>
      <c r="AJ752">
        <v>0</v>
      </c>
      <c r="AK752">
        <v>0</v>
      </c>
      <c r="AL752">
        <v>0.35800900000000002</v>
      </c>
      <c r="AM752">
        <v>2.5070399999999999</v>
      </c>
      <c r="AN752">
        <v>18.697399999999998</v>
      </c>
      <c r="AO752">
        <v>20.291399999999999</v>
      </c>
      <c r="AP752">
        <v>21.738399999999999</v>
      </c>
      <c r="AQ752">
        <v>22.3432</v>
      </c>
      <c r="AR752">
        <v>14.422499999999999</v>
      </c>
      <c r="AS752">
        <v>0.22579199999999999</v>
      </c>
      <c r="AT752">
        <v>1.6593</v>
      </c>
      <c r="AU752">
        <v>11.8691</v>
      </c>
      <c r="AV752">
        <v>34.7014</v>
      </c>
      <c r="AW752">
        <v>32.081899999999997</v>
      </c>
      <c r="AX752">
        <v>14.5845</v>
      </c>
      <c r="AY752">
        <v>5.1037299999999997</v>
      </c>
      <c r="AZ752">
        <v>607.54499999999996</v>
      </c>
      <c r="BA752">
        <v>675.6</v>
      </c>
      <c r="BB752">
        <v>27654.2</v>
      </c>
      <c r="BC752">
        <v>0.17129900000000001</v>
      </c>
      <c r="BD752">
        <v>7.1562299999999995E-2</v>
      </c>
      <c r="BE752">
        <v>0.36882100000000001</v>
      </c>
      <c r="BF752">
        <v>1.0883799999999999</v>
      </c>
      <c r="BG752">
        <v>11.998900000000001</v>
      </c>
      <c r="BH752">
        <v>49.148299999999999</v>
      </c>
      <c r="BI752">
        <v>37.323999999999998</v>
      </c>
      <c r="BJ752">
        <v>35.623100000000001</v>
      </c>
      <c r="BK752">
        <v>0</v>
      </c>
      <c r="BL752">
        <v>30.4832</v>
      </c>
      <c r="BM752">
        <v>51.439900000000002</v>
      </c>
      <c r="BN752">
        <v>13.810700000000001</v>
      </c>
      <c r="BO752">
        <v>2.9096700000000002</v>
      </c>
      <c r="BP752">
        <v>1.3565400000000001</v>
      </c>
      <c r="BQ752">
        <v>34.694699999999997</v>
      </c>
      <c r="BR752">
        <v>127162</v>
      </c>
    </row>
    <row r="753" spans="1:70" x14ac:dyDescent="0.25">
      <c r="A753">
        <v>50</v>
      </c>
      <c r="B753" s="7">
        <v>45994.565081018518</v>
      </c>
      <c r="C753" t="s">
        <v>190</v>
      </c>
      <c r="D753" s="6" t="s">
        <v>396</v>
      </c>
      <c r="E753" s="6" t="str">
        <f>VLOOKUP(F753,Germplasm!$A$1:$B$21,2,FALSE)</f>
        <v>Arve</v>
      </c>
      <c r="F753" t="s">
        <v>68</v>
      </c>
      <c r="G753" s="6" t="s">
        <v>113</v>
      </c>
      <c r="H753">
        <v>41535.5</v>
      </c>
      <c r="I753">
        <v>492.89800000000002</v>
      </c>
      <c r="J753">
        <v>138891</v>
      </c>
      <c r="K753">
        <v>15.821400000000001</v>
      </c>
      <c r="L753">
        <v>76.620699999999999</v>
      </c>
      <c r="M753">
        <v>1390.28</v>
      </c>
      <c r="N753">
        <v>502.95499999999998</v>
      </c>
      <c r="O753">
        <v>25159100</v>
      </c>
      <c r="P753">
        <v>0.12446400000000001</v>
      </c>
      <c r="Q753">
        <v>1.1135999999999999</v>
      </c>
      <c r="R753">
        <v>19.338999999999999</v>
      </c>
      <c r="S753">
        <v>40.0548</v>
      </c>
      <c r="T753">
        <v>26.379899999999999</v>
      </c>
      <c r="U753">
        <v>12.385199999999999</v>
      </c>
      <c r="V753">
        <v>0.72755000000000003</v>
      </c>
      <c r="W753">
        <v>65.580100000000002</v>
      </c>
      <c r="X753">
        <v>10.894399999999999</v>
      </c>
      <c r="Y753">
        <v>25.770099999999999</v>
      </c>
      <c r="Z753">
        <v>16.667300000000001</v>
      </c>
      <c r="AA753">
        <v>23.087599999999998</v>
      </c>
      <c r="AB753">
        <v>12.5535</v>
      </c>
      <c r="AC753">
        <v>11.027100000000001</v>
      </c>
      <c r="AD753">
        <v>1.8901699999999999</v>
      </c>
      <c r="AE753">
        <v>9.6991499999999995</v>
      </c>
      <c r="AF753">
        <v>0</v>
      </c>
      <c r="AG753">
        <v>96.542400000000001</v>
      </c>
      <c r="AH753">
        <v>3.4427500000000002</v>
      </c>
      <c r="AI753">
        <v>1.4848E-2</v>
      </c>
      <c r="AJ753">
        <v>0</v>
      </c>
      <c r="AK753">
        <v>0</v>
      </c>
      <c r="AL753">
        <v>0.262069</v>
      </c>
      <c r="AM753">
        <v>5.1760000000000002</v>
      </c>
      <c r="AN753">
        <v>30.711500000000001</v>
      </c>
      <c r="AO753">
        <v>25.365300000000001</v>
      </c>
      <c r="AP753">
        <v>18.7104</v>
      </c>
      <c r="AQ753">
        <v>13.677899999999999</v>
      </c>
      <c r="AR753">
        <v>6.3588800000000001</v>
      </c>
      <c r="AS753">
        <v>0.24671100000000001</v>
      </c>
      <c r="AT753">
        <v>1.4353</v>
      </c>
      <c r="AU753">
        <v>8.4890699999999999</v>
      </c>
      <c r="AV753">
        <v>29.658300000000001</v>
      </c>
      <c r="AW753">
        <v>41.759399999999999</v>
      </c>
      <c r="AX753">
        <v>14.2837</v>
      </c>
      <c r="AY753">
        <v>4.3742099999999997</v>
      </c>
      <c r="AZ753">
        <v>605.72500000000002</v>
      </c>
      <c r="BA753">
        <v>737.40099999999995</v>
      </c>
      <c r="BB753">
        <v>21974.5</v>
      </c>
      <c r="BC753">
        <v>0.224355</v>
      </c>
      <c r="BD753">
        <v>0.19797300000000001</v>
      </c>
      <c r="BE753">
        <v>0.44048900000000002</v>
      </c>
      <c r="BF753">
        <v>1.0393600000000001</v>
      </c>
      <c r="BG753">
        <v>8.2455700000000007</v>
      </c>
      <c r="BH753">
        <v>35.953800000000001</v>
      </c>
      <c r="BI753">
        <v>54.122799999999998</v>
      </c>
      <c r="BJ753">
        <v>33.564799999999998</v>
      </c>
      <c r="BK753">
        <v>0</v>
      </c>
      <c r="BL753">
        <v>33.000100000000003</v>
      </c>
      <c r="BM753">
        <v>52.726100000000002</v>
      </c>
      <c r="BN753">
        <v>11.205299999999999</v>
      </c>
      <c r="BO753">
        <v>2.2380800000000001</v>
      </c>
      <c r="BP753">
        <v>0.83049600000000001</v>
      </c>
      <c r="BQ753">
        <v>31.970500000000001</v>
      </c>
      <c r="BR753">
        <v>101024</v>
      </c>
    </row>
    <row r="754" spans="1:70" x14ac:dyDescent="0.25">
      <c r="A754">
        <v>50</v>
      </c>
      <c r="B754" s="7">
        <v>46002.59065972222</v>
      </c>
      <c r="C754" t="s">
        <v>190</v>
      </c>
      <c r="D754" s="6" t="s">
        <v>397</v>
      </c>
      <c r="E754" s="6" t="str">
        <f>VLOOKUP(F754,Germplasm!$A$1:$B$21,2,FALSE)</f>
        <v>Arve</v>
      </c>
      <c r="F754" t="s">
        <v>68</v>
      </c>
      <c r="G754" s="6" t="s">
        <v>113</v>
      </c>
      <c r="H754">
        <v>30360.3</v>
      </c>
      <c r="I754">
        <v>424.05500000000001</v>
      </c>
      <c r="J754">
        <v>87731.5</v>
      </c>
      <c r="K754">
        <v>18.661300000000001</v>
      </c>
      <c r="L754">
        <v>78.94</v>
      </c>
      <c r="M754">
        <v>1120.96</v>
      </c>
      <c r="N754">
        <v>387.95</v>
      </c>
      <c r="O754">
        <v>15030800</v>
      </c>
      <c r="P754">
        <v>2.7668000000000002E-2</v>
      </c>
      <c r="Q754">
        <v>1.3131999999999999</v>
      </c>
      <c r="R754">
        <v>39.452399999999997</v>
      </c>
      <c r="S754">
        <v>49.787399999999998</v>
      </c>
      <c r="T754">
        <v>6.26952</v>
      </c>
      <c r="U754">
        <v>2.8274300000000001</v>
      </c>
      <c r="V754">
        <v>0.34999400000000003</v>
      </c>
      <c r="W754">
        <v>38.025599999999997</v>
      </c>
      <c r="X754">
        <v>22.725000000000001</v>
      </c>
      <c r="Y754">
        <v>50.203899999999997</v>
      </c>
      <c r="Z754">
        <v>11.1275</v>
      </c>
      <c r="AA754">
        <v>6.8104199999999997</v>
      </c>
      <c r="AB754">
        <v>2.63653</v>
      </c>
      <c r="AC754">
        <v>6.4965900000000003</v>
      </c>
      <c r="AD754">
        <v>1.85442</v>
      </c>
      <c r="AE754">
        <v>15.2316</v>
      </c>
      <c r="AF754">
        <v>0</v>
      </c>
      <c r="AG754">
        <v>86.405199999999994</v>
      </c>
      <c r="AH754">
        <v>13.4748</v>
      </c>
      <c r="AI754">
        <v>0.12003900000000001</v>
      </c>
      <c r="AJ754">
        <v>0</v>
      </c>
      <c r="AK754">
        <v>0</v>
      </c>
      <c r="AL754">
        <v>0.12031</v>
      </c>
      <c r="AM754">
        <v>14.310700000000001</v>
      </c>
      <c r="AN754">
        <v>56.952199999999998</v>
      </c>
      <c r="AO754">
        <v>17.948</v>
      </c>
      <c r="AP754">
        <v>6.05403</v>
      </c>
      <c r="AQ754">
        <v>2.95181</v>
      </c>
      <c r="AR754">
        <v>1.7832300000000001</v>
      </c>
      <c r="AS754">
        <v>0.28587600000000002</v>
      </c>
      <c r="AT754">
        <v>0.52209899999999998</v>
      </c>
      <c r="AU754">
        <v>3.4767999999999999</v>
      </c>
      <c r="AV754">
        <v>22.172599999999999</v>
      </c>
      <c r="AW754">
        <v>56.730899999999998</v>
      </c>
      <c r="AX754">
        <v>13.084300000000001</v>
      </c>
      <c r="AY754">
        <v>4.0133599999999996</v>
      </c>
      <c r="AZ754">
        <v>495.08199999999999</v>
      </c>
      <c r="BA754">
        <v>544.79899999999998</v>
      </c>
      <c r="BB754">
        <v>16371.8</v>
      </c>
      <c r="BC754">
        <v>0.33639000000000002</v>
      </c>
      <c r="BD754">
        <v>7.2312899999999999E-2</v>
      </c>
      <c r="BE754">
        <v>0.234294</v>
      </c>
      <c r="BF754">
        <v>0.64792300000000003</v>
      </c>
      <c r="BG754">
        <v>3.0443699999999998</v>
      </c>
      <c r="BH754">
        <v>14.8863</v>
      </c>
      <c r="BI754">
        <v>81.114800000000002</v>
      </c>
      <c r="BJ754">
        <v>31.103899999999999</v>
      </c>
      <c r="BK754">
        <v>0</v>
      </c>
      <c r="BL754">
        <v>35.622799999999998</v>
      </c>
      <c r="BM754">
        <v>55.575299999999999</v>
      </c>
      <c r="BN754">
        <v>6.2897699999999999</v>
      </c>
      <c r="BO754">
        <v>1.7036899999999999</v>
      </c>
      <c r="BP754">
        <v>0.80845800000000001</v>
      </c>
      <c r="BQ754">
        <v>32.6539</v>
      </c>
      <c r="BR754">
        <v>69144</v>
      </c>
    </row>
    <row r="755" spans="1:70" x14ac:dyDescent="0.25">
      <c r="A755">
        <v>50</v>
      </c>
      <c r="B755" s="7">
        <v>46013.569502314815</v>
      </c>
      <c r="C755" t="s">
        <v>190</v>
      </c>
      <c r="D755" s="6" t="s">
        <v>398</v>
      </c>
      <c r="E755" s="6" t="str">
        <f>VLOOKUP(F755,Germplasm!$A$1:$B$21,2,FALSE)</f>
        <v>Arve</v>
      </c>
      <c r="F755" t="s">
        <v>68</v>
      </c>
      <c r="G755" s="6" t="s">
        <v>113</v>
      </c>
      <c r="H755">
        <v>31883.1</v>
      </c>
      <c r="I755">
        <v>484.68599999999998</v>
      </c>
      <c r="J755">
        <v>105296</v>
      </c>
      <c r="K755">
        <v>16.1784</v>
      </c>
      <c r="L755">
        <v>51.057699999999997</v>
      </c>
      <c r="M755">
        <v>1293.72</v>
      </c>
      <c r="N755">
        <v>503.02800000000002</v>
      </c>
      <c r="O755">
        <v>16400900</v>
      </c>
      <c r="P755">
        <v>1.22101E-2</v>
      </c>
      <c r="Q755">
        <v>1.4276599999999999</v>
      </c>
      <c r="R755">
        <v>35.416899999999998</v>
      </c>
      <c r="S755">
        <v>60.893700000000003</v>
      </c>
      <c r="T755">
        <v>1.9975400000000001</v>
      </c>
      <c r="U755">
        <v>0.23596500000000001</v>
      </c>
      <c r="V755">
        <v>2.8197E-2</v>
      </c>
      <c r="W755">
        <v>35.904400000000003</v>
      </c>
      <c r="X755">
        <v>19.446999999999999</v>
      </c>
      <c r="Y755">
        <v>60.599899999999998</v>
      </c>
      <c r="Z755">
        <v>10.900399999999999</v>
      </c>
      <c r="AA755">
        <v>2.8479000000000001</v>
      </c>
      <c r="AB755">
        <v>0.92605000000000004</v>
      </c>
      <c r="AC755">
        <v>5.2787800000000002</v>
      </c>
      <c r="AD755">
        <v>1.8715900000000001</v>
      </c>
      <c r="AE755">
        <v>17.875299999999999</v>
      </c>
      <c r="AF755">
        <v>0</v>
      </c>
      <c r="AG755">
        <v>78.64</v>
      </c>
      <c r="AH755">
        <v>21.308</v>
      </c>
      <c r="AI755">
        <v>5.1941899999999999E-2</v>
      </c>
      <c r="AJ755">
        <v>0</v>
      </c>
      <c r="AK755">
        <v>0</v>
      </c>
      <c r="AL755">
        <v>9.7913399999999998E-2</v>
      </c>
      <c r="AM755">
        <v>13.5954</v>
      </c>
      <c r="AN755">
        <v>62.8245</v>
      </c>
      <c r="AO755">
        <v>18.702000000000002</v>
      </c>
      <c r="AP755">
        <v>3.4237099999999998</v>
      </c>
      <c r="AQ755">
        <v>1.0343899999999999</v>
      </c>
      <c r="AR755">
        <v>0.419987</v>
      </c>
      <c r="AS755">
        <v>0.28082499999999999</v>
      </c>
      <c r="AT755">
        <v>0.45263599999999998</v>
      </c>
      <c r="AU755">
        <v>2.6965300000000001</v>
      </c>
      <c r="AV755">
        <v>23.814599999999999</v>
      </c>
      <c r="AW755">
        <v>57.830599999999997</v>
      </c>
      <c r="AX755">
        <v>11.4139</v>
      </c>
      <c r="AY755">
        <v>3.79176</v>
      </c>
      <c r="AZ755">
        <v>514.40700000000004</v>
      </c>
      <c r="BA755">
        <v>610.79899999999998</v>
      </c>
      <c r="BB755">
        <v>17035.3</v>
      </c>
      <c r="BC755">
        <v>0.33996100000000001</v>
      </c>
      <c r="BD755">
        <v>0.105368</v>
      </c>
      <c r="BE755">
        <v>0.28642200000000001</v>
      </c>
      <c r="BF755">
        <v>0.56839300000000004</v>
      </c>
      <c r="BG755">
        <v>2.1889799999999999</v>
      </c>
      <c r="BH755">
        <v>11.041399999999999</v>
      </c>
      <c r="BI755">
        <v>85.8095</v>
      </c>
      <c r="BJ755">
        <v>29.404</v>
      </c>
      <c r="BK755">
        <v>0</v>
      </c>
      <c r="BL755">
        <v>40.510199999999998</v>
      </c>
      <c r="BM755">
        <v>52.568199999999997</v>
      </c>
      <c r="BN755">
        <v>4.9775200000000002</v>
      </c>
      <c r="BO755">
        <v>1.2406699999999999</v>
      </c>
      <c r="BP755">
        <v>0.70344200000000001</v>
      </c>
      <c r="BQ755">
        <v>32.318800000000003</v>
      </c>
      <c r="BR755">
        <v>67383</v>
      </c>
    </row>
    <row r="756" spans="1:70" x14ac:dyDescent="0.25">
      <c r="A756">
        <v>50</v>
      </c>
      <c r="B756" s="7">
        <v>46024.566354166665</v>
      </c>
      <c r="C756" t="s">
        <v>190</v>
      </c>
      <c r="D756" s="6" t="s">
        <v>399</v>
      </c>
      <c r="E756" s="6" t="str">
        <f>VLOOKUP(F756,Germplasm!$A$1:$B$21,2,FALSE)</f>
        <v>Arve</v>
      </c>
      <c r="F756" t="s">
        <v>68</v>
      </c>
      <c r="G756" s="6" t="s">
        <v>113</v>
      </c>
      <c r="H756">
        <v>31045.3</v>
      </c>
      <c r="I756">
        <v>219.072</v>
      </c>
      <c r="J756">
        <v>80832</v>
      </c>
      <c r="K756">
        <v>20.642299999999999</v>
      </c>
      <c r="L756">
        <v>79.800700000000006</v>
      </c>
      <c r="M756">
        <v>1068.6199999999999</v>
      </c>
      <c r="N756">
        <v>385.67500000000001</v>
      </c>
      <c r="O756">
        <v>7440310</v>
      </c>
      <c r="P756">
        <v>2.4529399999999998E-3</v>
      </c>
      <c r="Q756">
        <v>0.99476399999999998</v>
      </c>
      <c r="R756">
        <v>43.9054</v>
      </c>
      <c r="S756">
        <v>53.630600000000001</v>
      </c>
      <c r="T756">
        <v>1.2401800000000001</v>
      </c>
      <c r="U756">
        <v>0.20288</v>
      </c>
      <c r="V756">
        <v>2.6178E-2</v>
      </c>
      <c r="W756">
        <v>32.686999999999998</v>
      </c>
      <c r="X756">
        <v>24.001999999999999</v>
      </c>
      <c r="Y756">
        <v>62.573599999999999</v>
      </c>
      <c r="Z756">
        <v>6.6263100000000001</v>
      </c>
      <c r="AA756">
        <v>1.6508499999999999</v>
      </c>
      <c r="AB756">
        <v>0.67244800000000005</v>
      </c>
      <c r="AC756">
        <v>4.4748000000000001</v>
      </c>
      <c r="AD756">
        <v>1.8606100000000001</v>
      </c>
      <c r="AE756">
        <v>19.640799999999999</v>
      </c>
      <c r="AF756">
        <v>0</v>
      </c>
      <c r="AG756">
        <v>75.399199999999993</v>
      </c>
      <c r="AH756">
        <v>24.536999999999999</v>
      </c>
      <c r="AI756">
        <v>6.3808900000000002E-2</v>
      </c>
      <c r="AJ756">
        <v>0</v>
      </c>
      <c r="AK756">
        <v>0</v>
      </c>
      <c r="AL756">
        <v>8.9344199999999999E-2</v>
      </c>
      <c r="AM756">
        <v>13.419499999999999</v>
      </c>
      <c r="AN756">
        <v>66.151799999999994</v>
      </c>
      <c r="AO756">
        <v>16.613199999999999</v>
      </c>
      <c r="AP756">
        <v>2.6947000000000001</v>
      </c>
      <c r="AQ756">
        <v>0.83278799999999997</v>
      </c>
      <c r="AR756">
        <v>0.28795799999999999</v>
      </c>
      <c r="AS756">
        <v>0.29649999999999999</v>
      </c>
      <c r="AT756">
        <v>0.39921499999999999</v>
      </c>
      <c r="AU756">
        <v>2.21204</v>
      </c>
      <c r="AV756">
        <v>21.061800000000002</v>
      </c>
      <c r="AW756">
        <v>57.9876</v>
      </c>
      <c r="AX756">
        <v>13.957800000000001</v>
      </c>
      <c r="AY756">
        <v>4.3815400000000002</v>
      </c>
      <c r="AZ756">
        <v>239.66</v>
      </c>
      <c r="BA756">
        <v>248.399</v>
      </c>
      <c r="BB756">
        <v>16685.599999999999</v>
      </c>
      <c r="BC756">
        <v>0.35877199999999998</v>
      </c>
      <c r="BD756">
        <v>0.104712</v>
      </c>
      <c r="BE756">
        <v>0.279777</v>
      </c>
      <c r="BF756">
        <v>0.47774899999999998</v>
      </c>
      <c r="BG756">
        <v>1.74902</v>
      </c>
      <c r="BH756">
        <v>8.5602099999999997</v>
      </c>
      <c r="BI756">
        <v>88.828500000000005</v>
      </c>
      <c r="BJ756">
        <v>30.630500000000001</v>
      </c>
      <c r="BK756">
        <v>0</v>
      </c>
      <c r="BL756">
        <v>36.557600000000001</v>
      </c>
      <c r="BM756">
        <v>55.052399999999999</v>
      </c>
      <c r="BN756">
        <v>6.3547099999999999</v>
      </c>
      <c r="BO756">
        <v>1.5117799999999999</v>
      </c>
      <c r="BP756">
        <v>0.52356000000000003</v>
      </c>
      <c r="BQ756">
        <v>32.532499999999999</v>
      </c>
      <c r="BR756">
        <v>61120</v>
      </c>
    </row>
    <row r="757" spans="1:70" x14ac:dyDescent="0.25">
      <c r="A757">
        <v>50</v>
      </c>
      <c r="B757" s="7">
        <v>46024.566886574074</v>
      </c>
      <c r="C757" t="s">
        <v>190</v>
      </c>
      <c r="D757" s="6" t="s">
        <v>400</v>
      </c>
      <c r="E757" s="6" t="str">
        <f>VLOOKUP(F757,Germplasm!$A$1:$B$21,2,FALSE)</f>
        <v>Arve</v>
      </c>
      <c r="F757" t="s">
        <v>68</v>
      </c>
      <c r="G757" s="6" t="s">
        <v>113</v>
      </c>
      <c r="H757">
        <v>30055.4</v>
      </c>
      <c r="I757">
        <v>218.774</v>
      </c>
      <c r="J757">
        <v>80960.2</v>
      </c>
      <c r="K757">
        <v>20.100000000000001</v>
      </c>
      <c r="L757">
        <v>78.9786</v>
      </c>
      <c r="M757">
        <v>1068.83</v>
      </c>
      <c r="N757">
        <v>384.75900000000001</v>
      </c>
      <c r="O757">
        <v>7201310</v>
      </c>
      <c r="P757">
        <v>1.9214099999999999E-3</v>
      </c>
      <c r="Q757">
        <v>1.2135199999999999</v>
      </c>
      <c r="R757">
        <v>44.172899999999998</v>
      </c>
      <c r="S757">
        <v>52.914000000000001</v>
      </c>
      <c r="T757">
        <v>1.3761099999999999</v>
      </c>
      <c r="U757">
        <v>0.27991500000000002</v>
      </c>
      <c r="V757">
        <v>4.3579600000000003E-2</v>
      </c>
      <c r="W757">
        <v>32.573799999999999</v>
      </c>
      <c r="X757">
        <v>24.357600000000001</v>
      </c>
      <c r="Y757">
        <v>61.443800000000003</v>
      </c>
      <c r="Z757">
        <v>6.6609699999999998</v>
      </c>
      <c r="AA757">
        <v>1.89236</v>
      </c>
      <c r="AB757">
        <v>0.76264200000000004</v>
      </c>
      <c r="AC757">
        <v>4.8825900000000004</v>
      </c>
      <c r="AD757">
        <v>1.8469500000000001</v>
      </c>
      <c r="AE757">
        <v>19.455100000000002</v>
      </c>
      <c r="AF757">
        <v>0</v>
      </c>
      <c r="AG757">
        <v>75.565299999999993</v>
      </c>
      <c r="AH757">
        <v>24.359300000000001</v>
      </c>
      <c r="AI757">
        <v>7.5426199999999999E-2</v>
      </c>
      <c r="AJ757">
        <v>0</v>
      </c>
      <c r="AK757">
        <v>0</v>
      </c>
      <c r="AL757">
        <v>9.0133099999999994E-2</v>
      </c>
      <c r="AM757">
        <v>14.158300000000001</v>
      </c>
      <c r="AN757">
        <v>64.668700000000001</v>
      </c>
      <c r="AO757">
        <v>16.8871</v>
      </c>
      <c r="AP757">
        <v>3.0656500000000002</v>
      </c>
      <c r="AQ757">
        <v>0.90176199999999995</v>
      </c>
      <c r="AR757">
        <v>0.31846600000000003</v>
      </c>
      <c r="AS757">
        <v>0.29594799999999999</v>
      </c>
      <c r="AT757">
        <v>0.38215900000000003</v>
      </c>
      <c r="AU757">
        <v>2.46224</v>
      </c>
      <c r="AV757">
        <v>21.1629</v>
      </c>
      <c r="AW757">
        <v>57.459600000000002</v>
      </c>
      <c r="AX757">
        <v>13.8918</v>
      </c>
      <c r="AY757">
        <v>4.6412199999999997</v>
      </c>
      <c r="AZ757">
        <v>239.602</v>
      </c>
      <c r="BA757">
        <v>248.399</v>
      </c>
      <c r="BB757">
        <v>16273</v>
      </c>
      <c r="BC757">
        <v>0.35663400000000001</v>
      </c>
      <c r="BD757">
        <v>0.100568</v>
      </c>
      <c r="BE757">
        <v>0.27823900000000001</v>
      </c>
      <c r="BF757">
        <v>0.48775600000000002</v>
      </c>
      <c r="BG757">
        <v>1.97784</v>
      </c>
      <c r="BH757">
        <v>9.0997500000000002</v>
      </c>
      <c r="BI757">
        <v>88.055800000000005</v>
      </c>
      <c r="BJ757">
        <v>30.648599999999998</v>
      </c>
      <c r="BK757">
        <v>0</v>
      </c>
      <c r="BL757">
        <v>37.290700000000001</v>
      </c>
      <c r="BM757">
        <v>53.991700000000002</v>
      </c>
      <c r="BN757">
        <v>6.43804</v>
      </c>
      <c r="BO757">
        <v>1.57222</v>
      </c>
      <c r="BP757">
        <v>0.70733000000000001</v>
      </c>
      <c r="BQ757">
        <v>32.802799999999998</v>
      </c>
      <c r="BR757">
        <v>59661</v>
      </c>
    </row>
    <row r="758" spans="1:70" x14ac:dyDescent="0.25">
      <c r="A758">
        <v>51</v>
      </c>
      <c r="B758" s="7">
        <v>45952.580914351849</v>
      </c>
      <c r="C758" t="s">
        <v>197</v>
      </c>
      <c r="D758" s="6" t="s">
        <v>401</v>
      </c>
      <c r="E758" s="6" t="str">
        <f>VLOOKUP(F758,Germplasm!$A$1:$B$21,2,FALSE)</f>
        <v>Bredo</v>
      </c>
      <c r="F758" t="s">
        <v>79</v>
      </c>
      <c r="G758" s="6" t="s">
        <v>113</v>
      </c>
      <c r="H758">
        <v>30555.9</v>
      </c>
      <c r="I758">
        <v>250.87200000000001</v>
      </c>
      <c r="J758">
        <v>104555</v>
      </c>
      <c r="K758">
        <v>17.608599999999999</v>
      </c>
      <c r="L758">
        <v>55.049199999999999</v>
      </c>
      <c r="M758">
        <v>1313.54</v>
      </c>
      <c r="N758">
        <v>507.31599999999997</v>
      </c>
      <c r="O758">
        <v>8397720</v>
      </c>
      <c r="P758">
        <v>0.23928099999999999</v>
      </c>
      <c r="Q758">
        <v>0.51022000000000001</v>
      </c>
      <c r="R758">
        <v>6.5327299999999999</v>
      </c>
      <c r="S758">
        <v>20.8078</v>
      </c>
      <c r="T758">
        <v>34.756999999999998</v>
      </c>
      <c r="U758">
        <v>36.383000000000003</v>
      </c>
      <c r="V758">
        <v>1.0093099999999999</v>
      </c>
      <c r="W758">
        <v>113.831</v>
      </c>
      <c r="X758">
        <v>2.1203500000000002</v>
      </c>
      <c r="Y758">
        <v>3.0136400000000001</v>
      </c>
      <c r="Z758">
        <v>4.9957099999999999</v>
      </c>
      <c r="AA758">
        <v>18.7987</v>
      </c>
      <c r="AB758">
        <v>36.057200000000002</v>
      </c>
      <c r="AC758">
        <v>35.014499999999998</v>
      </c>
      <c r="AD758">
        <v>1.6596900000000001</v>
      </c>
      <c r="AE758">
        <v>15.0563</v>
      </c>
      <c r="AF758">
        <v>0</v>
      </c>
      <c r="AG758">
        <v>88.566900000000004</v>
      </c>
      <c r="AH758">
        <v>0.90917800000000004</v>
      </c>
      <c r="AI758">
        <v>1.88829</v>
      </c>
      <c r="AJ758">
        <v>8.6356000000000002</v>
      </c>
      <c r="AK758">
        <v>0</v>
      </c>
      <c r="AL758">
        <v>0.482238</v>
      </c>
      <c r="AM758">
        <v>9.9707500000000007</v>
      </c>
      <c r="AN758">
        <v>3.59538</v>
      </c>
      <c r="AO758">
        <v>3.98163</v>
      </c>
      <c r="AP758">
        <v>11.53</v>
      </c>
      <c r="AQ758">
        <v>33.297800000000002</v>
      </c>
      <c r="AR758">
        <v>37.624400000000001</v>
      </c>
      <c r="AS758">
        <v>5.5866100000000002E-2</v>
      </c>
      <c r="AT758">
        <v>8.0125200000000003</v>
      </c>
      <c r="AU758">
        <v>32.115299999999998</v>
      </c>
      <c r="AV758">
        <v>39.827399999999997</v>
      </c>
      <c r="AW758">
        <v>14.2957</v>
      </c>
      <c r="AX758">
        <v>3.6351200000000001</v>
      </c>
      <c r="AY758">
        <v>2.1139999999999999</v>
      </c>
      <c r="AZ758">
        <v>274.83100000000002</v>
      </c>
      <c r="BA758">
        <v>280.19900000000001</v>
      </c>
      <c r="BB758">
        <v>18410.7</v>
      </c>
      <c r="BC758">
        <v>6.6092E-3</v>
      </c>
      <c r="BD758">
        <v>0.87261999999999995</v>
      </c>
      <c r="BE758">
        <v>0.93142999999999998</v>
      </c>
      <c r="BF758">
        <v>3.2313999999999998</v>
      </c>
      <c r="BG758">
        <v>35.092399999999998</v>
      </c>
      <c r="BH758">
        <v>53.970500000000001</v>
      </c>
      <c r="BI758">
        <v>5.9017099999999996</v>
      </c>
      <c r="BJ758">
        <v>36.496699999999997</v>
      </c>
      <c r="BK758">
        <v>0</v>
      </c>
      <c r="BL758">
        <v>26.105499999999999</v>
      </c>
      <c r="BM758">
        <v>56.1751</v>
      </c>
      <c r="BN758">
        <v>13.7759</v>
      </c>
      <c r="BO758">
        <v>2.4493800000000001</v>
      </c>
      <c r="BP758">
        <v>1.4941</v>
      </c>
      <c r="BQ758">
        <v>37.0794</v>
      </c>
      <c r="BR758">
        <v>62914</v>
      </c>
    </row>
    <row r="759" spans="1:70" x14ac:dyDescent="0.25">
      <c r="A759">
        <v>51</v>
      </c>
      <c r="B759" s="7">
        <v>45959.551342592589</v>
      </c>
      <c r="C759" t="s">
        <v>197</v>
      </c>
      <c r="D759" s="6" t="s">
        <v>402</v>
      </c>
      <c r="E759" s="6" t="str">
        <f>VLOOKUP(F759,Germplasm!$A$1:$B$21,2,FALSE)</f>
        <v>Bredo</v>
      </c>
      <c r="F759" t="s">
        <v>79</v>
      </c>
      <c r="G759" s="6" t="s">
        <v>113</v>
      </c>
      <c r="H759">
        <v>57489.9</v>
      </c>
      <c r="I759">
        <v>300.822</v>
      </c>
      <c r="J759">
        <v>187152</v>
      </c>
      <c r="K759">
        <v>18.510400000000001</v>
      </c>
      <c r="L759">
        <v>85.644199999999998</v>
      </c>
      <c r="M759">
        <v>1584.98</v>
      </c>
      <c r="N759">
        <v>533.54</v>
      </c>
      <c r="O759">
        <v>21258500</v>
      </c>
      <c r="P759">
        <v>0.24063000000000001</v>
      </c>
      <c r="Q759">
        <v>0.43860700000000002</v>
      </c>
      <c r="R759">
        <v>5.0960000000000001</v>
      </c>
      <c r="S759">
        <v>19.9346</v>
      </c>
      <c r="T759">
        <v>38.505899999999997</v>
      </c>
      <c r="U759">
        <v>35.120199999999997</v>
      </c>
      <c r="V759">
        <v>0.90468000000000004</v>
      </c>
      <c r="W759">
        <v>118.791</v>
      </c>
      <c r="X759">
        <v>1.47479</v>
      </c>
      <c r="Y759">
        <v>2.4926599999999999</v>
      </c>
      <c r="Z759">
        <v>3.62371</v>
      </c>
      <c r="AA759">
        <v>14.1869</v>
      </c>
      <c r="AB759">
        <v>37.895000000000003</v>
      </c>
      <c r="AC759">
        <v>40.326900000000002</v>
      </c>
      <c r="AD759">
        <v>1.6595200000000001</v>
      </c>
      <c r="AE759">
        <v>11.167400000000001</v>
      </c>
      <c r="AF759">
        <v>0</v>
      </c>
      <c r="AG759">
        <v>93.514099999999999</v>
      </c>
      <c r="AH759">
        <v>0.81895600000000002</v>
      </c>
      <c r="AI759">
        <v>0.92049300000000001</v>
      </c>
      <c r="AJ759">
        <v>4.7464500000000003</v>
      </c>
      <c r="AK759">
        <v>0</v>
      </c>
      <c r="AL759">
        <v>0.51369299999999996</v>
      </c>
      <c r="AM759">
        <v>5.7268600000000003</v>
      </c>
      <c r="AN759">
        <v>3.8525900000000002</v>
      </c>
      <c r="AO759">
        <v>4.4177</v>
      </c>
      <c r="AP759">
        <v>10.8512</v>
      </c>
      <c r="AQ759">
        <v>33.007100000000001</v>
      </c>
      <c r="AR759">
        <v>42.144599999999997</v>
      </c>
      <c r="AS759">
        <v>2.52619E-2</v>
      </c>
      <c r="AT759">
        <v>8.4658700000000007</v>
      </c>
      <c r="AU759">
        <v>37.978200000000001</v>
      </c>
      <c r="AV759">
        <v>39.470500000000001</v>
      </c>
      <c r="AW759">
        <v>10.2469</v>
      </c>
      <c r="AX759">
        <v>2.2396400000000001</v>
      </c>
      <c r="AY759">
        <v>1.5987899999999999</v>
      </c>
      <c r="AZ759">
        <v>369.77699999999999</v>
      </c>
      <c r="BA759">
        <v>392.399</v>
      </c>
      <c r="BB759">
        <v>34642.6</v>
      </c>
      <c r="BC759">
        <v>-1.6052799999999999E-3</v>
      </c>
      <c r="BD759">
        <v>0.46773700000000001</v>
      </c>
      <c r="BE759">
        <v>0.78816200000000003</v>
      </c>
      <c r="BF759">
        <v>3.50719</v>
      </c>
      <c r="BG759">
        <v>41.680199999999999</v>
      </c>
      <c r="BH759">
        <v>49.189799999999998</v>
      </c>
      <c r="BI759">
        <v>4.36693</v>
      </c>
      <c r="BJ759">
        <v>34.0276</v>
      </c>
      <c r="BK759">
        <v>0</v>
      </c>
      <c r="BL759">
        <v>29.633099999999999</v>
      </c>
      <c r="BM759">
        <v>57.575800000000001</v>
      </c>
      <c r="BN759">
        <v>10.0588</v>
      </c>
      <c r="BO759">
        <v>1.4697899999999999</v>
      </c>
      <c r="BP759">
        <v>1.2625599999999999</v>
      </c>
      <c r="BQ759">
        <v>37.103099999999998</v>
      </c>
      <c r="BR759">
        <v>120153</v>
      </c>
    </row>
    <row r="760" spans="1:70" x14ac:dyDescent="0.25">
      <c r="A760">
        <v>51</v>
      </c>
      <c r="B760" s="7">
        <v>45966.528078703705</v>
      </c>
      <c r="C760" t="s">
        <v>197</v>
      </c>
      <c r="D760" s="6" t="s">
        <v>403</v>
      </c>
      <c r="E760" s="6" t="str">
        <f>VLOOKUP(F760,Germplasm!$A$1:$B$21,2,FALSE)</f>
        <v>Bredo</v>
      </c>
      <c r="F760" t="s">
        <v>79</v>
      </c>
      <c r="G760" s="6" t="s">
        <v>113</v>
      </c>
      <c r="H760">
        <v>62552.4</v>
      </c>
      <c r="I760">
        <v>484.178</v>
      </c>
      <c r="J760">
        <v>180660</v>
      </c>
      <c r="K760">
        <v>19.734200000000001</v>
      </c>
      <c r="L760">
        <v>78.165400000000005</v>
      </c>
      <c r="M760">
        <v>1614.1</v>
      </c>
      <c r="N760">
        <v>556.02700000000004</v>
      </c>
      <c r="O760">
        <v>35134200</v>
      </c>
      <c r="P760">
        <v>0.23397699999999999</v>
      </c>
      <c r="Q760">
        <v>0.37661800000000001</v>
      </c>
      <c r="R760">
        <v>4.5358999999999998</v>
      </c>
      <c r="S760">
        <v>20.093399999999999</v>
      </c>
      <c r="T760">
        <v>42.462899999999998</v>
      </c>
      <c r="U760">
        <v>31.9451</v>
      </c>
      <c r="V760">
        <v>0.58611199999999997</v>
      </c>
      <c r="W760">
        <v>105.875</v>
      </c>
      <c r="X760">
        <v>1.6524099999999999</v>
      </c>
      <c r="Y760">
        <v>4.2746199999999996</v>
      </c>
      <c r="Z760">
        <v>9.2648100000000007</v>
      </c>
      <c r="AA760">
        <v>25.934899999999999</v>
      </c>
      <c r="AB760">
        <v>31.349499999999999</v>
      </c>
      <c r="AC760">
        <v>27.523700000000002</v>
      </c>
      <c r="AD760">
        <v>1.75454</v>
      </c>
      <c r="AE760">
        <v>11.0069</v>
      </c>
      <c r="AF760">
        <v>0</v>
      </c>
      <c r="AG760">
        <v>94.0471</v>
      </c>
      <c r="AH760">
        <v>0.73911300000000002</v>
      </c>
      <c r="AI760">
        <v>0.93134600000000001</v>
      </c>
      <c r="AJ760">
        <v>4.2824600000000004</v>
      </c>
      <c r="AK760">
        <v>0</v>
      </c>
      <c r="AL760">
        <v>0.45124399999999998</v>
      </c>
      <c r="AM760">
        <v>5.78423</v>
      </c>
      <c r="AN760">
        <v>4.7705000000000002</v>
      </c>
      <c r="AO760">
        <v>8.3036499999999993</v>
      </c>
      <c r="AP760">
        <v>19.239699999999999</v>
      </c>
      <c r="AQ760">
        <v>39.325200000000002</v>
      </c>
      <c r="AR760">
        <v>22.576699999999999</v>
      </c>
      <c r="AS760">
        <v>0.121235</v>
      </c>
      <c r="AT760">
        <v>4.4032999999999998</v>
      </c>
      <c r="AU760">
        <v>26.845800000000001</v>
      </c>
      <c r="AV760">
        <v>36.320099999999996</v>
      </c>
      <c r="AW760">
        <v>21.098500000000001</v>
      </c>
      <c r="AX760">
        <v>8.1804600000000001</v>
      </c>
      <c r="AY760">
        <v>3.1518199999999998</v>
      </c>
      <c r="AZ760">
        <v>561.67700000000002</v>
      </c>
      <c r="BA760">
        <v>610.19899999999996</v>
      </c>
      <c r="BB760">
        <v>35651.699999999997</v>
      </c>
      <c r="BC760">
        <v>6.2698100000000007E-2</v>
      </c>
      <c r="BD760">
        <v>0.35935699999999998</v>
      </c>
      <c r="BE760">
        <v>0.470773</v>
      </c>
      <c r="BF760">
        <v>2.5971000000000002</v>
      </c>
      <c r="BG760">
        <v>27.821100000000001</v>
      </c>
      <c r="BH760">
        <v>52.943899999999999</v>
      </c>
      <c r="BI760">
        <v>15.8078</v>
      </c>
      <c r="BJ760">
        <v>36.196899999999999</v>
      </c>
      <c r="BK760">
        <v>0</v>
      </c>
      <c r="BL760">
        <v>25.6767</v>
      </c>
      <c r="BM760">
        <v>56.854500000000002</v>
      </c>
      <c r="BN760">
        <v>14.334199999999999</v>
      </c>
      <c r="BO760">
        <v>1.8383700000000001</v>
      </c>
      <c r="BP760">
        <v>1.29619</v>
      </c>
      <c r="BQ760">
        <v>34.791899999999998</v>
      </c>
      <c r="BR760">
        <v>127450</v>
      </c>
    </row>
    <row r="761" spans="1:70" x14ac:dyDescent="0.25">
      <c r="A761">
        <v>51</v>
      </c>
      <c r="B761" s="7">
        <v>45973.577291666668</v>
      </c>
      <c r="C761" t="s">
        <v>197</v>
      </c>
      <c r="D761" s="6" t="s">
        <v>404</v>
      </c>
      <c r="E761" s="6" t="str">
        <f>VLOOKUP(F761,Germplasm!$A$1:$B$21,2,FALSE)</f>
        <v>Bredo</v>
      </c>
      <c r="F761" t="s">
        <v>79</v>
      </c>
      <c r="G761" s="6" t="s">
        <v>113</v>
      </c>
      <c r="H761">
        <v>74997.399999999994</v>
      </c>
      <c r="I761">
        <v>515.92100000000005</v>
      </c>
      <c r="J761">
        <v>220693</v>
      </c>
      <c r="K761">
        <v>19.161999999999999</v>
      </c>
      <c r="L761">
        <v>73.558199999999999</v>
      </c>
      <c r="M761">
        <v>1749.67</v>
      </c>
      <c r="N761">
        <v>651.78700000000003</v>
      </c>
      <c r="O761">
        <v>45666700</v>
      </c>
      <c r="P761">
        <v>0.19514500000000001</v>
      </c>
      <c r="Q761">
        <v>0.82445400000000002</v>
      </c>
      <c r="R761">
        <v>8.3941999999999997</v>
      </c>
      <c r="S761">
        <v>24.431699999999999</v>
      </c>
      <c r="T761">
        <v>42.994799999999998</v>
      </c>
      <c r="U761">
        <v>22.931100000000001</v>
      </c>
      <c r="V761">
        <v>0.42381600000000003</v>
      </c>
      <c r="W761">
        <v>103.018</v>
      </c>
      <c r="X761">
        <v>4.18187</v>
      </c>
      <c r="Y761">
        <v>7.6737099999999998</v>
      </c>
      <c r="Z761">
        <v>7.4339899999999997</v>
      </c>
      <c r="AA761">
        <v>20.432600000000001</v>
      </c>
      <c r="AB761">
        <v>32.847700000000003</v>
      </c>
      <c r="AC761">
        <v>27.430199999999999</v>
      </c>
      <c r="AD761">
        <v>1.7734399999999999</v>
      </c>
      <c r="AE761">
        <v>10.5242</v>
      </c>
      <c r="AF761">
        <v>0</v>
      </c>
      <c r="AG761">
        <v>94.642700000000005</v>
      </c>
      <c r="AH761">
        <v>1.0151699999999999</v>
      </c>
      <c r="AI761">
        <v>0.71850000000000003</v>
      </c>
      <c r="AJ761">
        <v>3.6236299999999999</v>
      </c>
      <c r="AK761">
        <v>0</v>
      </c>
      <c r="AL761">
        <v>0.42399900000000001</v>
      </c>
      <c r="AM761">
        <v>5.5738399999999997</v>
      </c>
      <c r="AN761">
        <v>8.6915300000000002</v>
      </c>
      <c r="AO761">
        <v>10.2775</v>
      </c>
      <c r="AP761">
        <v>18.373100000000001</v>
      </c>
      <c r="AQ761">
        <v>38.142099999999999</v>
      </c>
      <c r="AR761">
        <v>18.9419</v>
      </c>
      <c r="AS761">
        <v>0.107851</v>
      </c>
      <c r="AT761">
        <v>3.0057800000000001</v>
      </c>
      <c r="AU761">
        <v>28.1785</v>
      </c>
      <c r="AV761">
        <v>40.7453</v>
      </c>
      <c r="AW761">
        <v>19.705400000000001</v>
      </c>
      <c r="AX761">
        <v>6.1685100000000004</v>
      </c>
      <c r="AY761">
        <v>2.1965599999999998</v>
      </c>
      <c r="AZ761">
        <v>608.91099999999994</v>
      </c>
      <c r="BA761">
        <v>667.19899999999996</v>
      </c>
      <c r="BB761">
        <v>42289.2</v>
      </c>
      <c r="BC761">
        <v>7.4358099999999996E-2</v>
      </c>
      <c r="BD761">
        <v>0.24237</v>
      </c>
      <c r="BE761">
        <v>0.51917400000000002</v>
      </c>
      <c r="BF761">
        <v>1.784</v>
      </c>
      <c r="BG761">
        <v>28.638000000000002</v>
      </c>
      <c r="BH761">
        <v>50.849299999999999</v>
      </c>
      <c r="BI761">
        <v>17.967099999999999</v>
      </c>
      <c r="BJ761">
        <v>32.247700000000002</v>
      </c>
      <c r="BK761">
        <v>0</v>
      </c>
      <c r="BL761">
        <v>33.280099999999997</v>
      </c>
      <c r="BM761">
        <v>56.357599999999998</v>
      </c>
      <c r="BN761">
        <v>8.0366099999999996</v>
      </c>
      <c r="BO761">
        <v>1.17079</v>
      </c>
      <c r="BP761">
        <v>1.1549</v>
      </c>
      <c r="BQ761">
        <v>34.373800000000003</v>
      </c>
      <c r="BR761">
        <v>151009</v>
      </c>
    </row>
    <row r="762" spans="1:70" x14ac:dyDescent="0.25">
      <c r="A762">
        <v>51</v>
      </c>
      <c r="B762" s="7">
        <v>45988.592951388891</v>
      </c>
      <c r="C762" t="s">
        <v>197</v>
      </c>
      <c r="D762" s="6" t="s">
        <v>405</v>
      </c>
      <c r="E762" s="6" t="str">
        <f>VLOOKUP(F762,Germplasm!$A$1:$B$21,2,FALSE)</f>
        <v>Bredo</v>
      </c>
      <c r="F762" t="s">
        <v>79</v>
      </c>
      <c r="G762" s="6" t="s">
        <v>113</v>
      </c>
      <c r="H762">
        <v>66458.600000000006</v>
      </c>
      <c r="I762">
        <v>473.63099999999997</v>
      </c>
      <c r="J762">
        <v>191698</v>
      </c>
      <c r="K762">
        <v>21.304600000000001</v>
      </c>
      <c r="L762">
        <v>58.700899999999997</v>
      </c>
      <c r="M762">
        <v>1686.99</v>
      </c>
      <c r="N762">
        <v>646.15800000000002</v>
      </c>
      <c r="O762">
        <v>37514600</v>
      </c>
      <c r="P762">
        <v>0.151171</v>
      </c>
      <c r="Q762">
        <v>1.3283400000000001</v>
      </c>
      <c r="R762">
        <v>12.423400000000001</v>
      </c>
      <c r="S762">
        <v>34.759700000000002</v>
      </c>
      <c r="T762">
        <v>34.961399999999998</v>
      </c>
      <c r="U762">
        <v>15.991899999999999</v>
      </c>
      <c r="V762">
        <v>0.53520699999999999</v>
      </c>
      <c r="W762">
        <v>80.625399999999999</v>
      </c>
      <c r="X762">
        <v>6.8515199999999998</v>
      </c>
      <c r="Y762">
        <v>18.6342</v>
      </c>
      <c r="Z762">
        <v>12.464</v>
      </c>
      <c r="AA762">
        <v>25.876000000000001</v>
      </c>
      <c r="AB762">
        <v>22.0047</v>
      </c>
      <c r="AC762">
        <v>14.169600000000001</v>
      </c>
      <c r="AD762">
        <v>1.62727</v>
      </c>
      <c r="AE762">
        <v>14.2498</v>
      </c>
      <c r="AF762">
        <v>0</v>
      </c>
      <c r="AG762">
        <v>90.348799999999997</v>
      </c>
      <c r="AH762">
        <v>2.1333299999999999</v>
      </c>
      <c r="AI762">
        <v>2.0334099999999999</v>
      </c>
      <c r="AJ762">
        <v>5.48447</v>
      </c>
      <c r="AK762">
        <v>0</v>
      </c>
      <c r="AL762">
        <v>0.29862699999999998</v>
      </c>
      <c r="AM762">
        <v>10.788399999999999</v>
      </c>
      <c r="AN762">
        <v>20.9499</v>
      </c>
      <c r="AO762">
        <v>16.267299999999999</v>
      </c>
      <c r="AP762">
        <v>20.904900000000001</v>
      </c>
      <c r="AQ762">
        <v>22.882100000000001</v>
      </c>
      <c r="AR762">
        <v>8.2073400000000003</v>
      </c>
      <c r="AS762">
        <v>0.203958</v>
      </c>
      <c r="AT762">
        <v>1.61311</v>
      </c>
      <c r="AU762">
        <v>13.1966</v>
      </c>
      <c r="AV762">
        <v>37.558199999999999</v>
      </c>
      <c r="AW762">
        <v>30.859000000000002</v>
      </c>
      <c r="AX762">
        <v>13.131</v>
      </c>
      <c r="AY762">
        <v>3.64215</v>
      </c>
      <c r="AZ762">
        <v>564.48</v>
      </c>
      <c r="BA762">
        <v>593.399</v>
      </c>
      <c r="BB762">
        <v>40840.5</v>
      </c>
      <c r="BC762">
        <v>0.170459</v>
      </c>
      <c r="BD762">
        <v>0.59640899999999997</v>
      </c>
      <c r="BE762">
        <v>0.51584700000000006</v>
      </c>
      <c r="BF762">
        <v>1.2421500000000001</v>
      </c>
      <c r="BG762">
        <v>12.450900000000001</v>
      </c>
      <c r="BH762">
        <v>47.1113</v>
      </c>
      <c r="BI762">
        <v>38.083399999999997</v>
      </c>
      <c r="BJ762">
        <v>34.3093</v>
      </c>
      <c r="BK762">
        <v>0</v>
      </c>
      <c r="BL762">
        <v>30.6023</v>
      </c>
      <c r="BM762">
        <v>54.843400000000003</v>
      </c>
      <c r="BN762">
        <v>11.213699999999999</v>
      </c>
      <c r="BO762">
        <v>1.6355999999999999</v>
      </c>
      <c r="BP762">
        <v>1.70492</v>
      </c>
      <c r="BQ762">
        <v>37.971800000000002</v>
      </c>
      <c r="BR762">
        <v>160125</v>
      </c>
    </row>
    <row r="763" spans="1:70" x14ac:dyDescent="0.25">
      <c r="A763">
        <v>51</v>
      </c>
      <c r="B763" s="7">
        <v>45994.540277777778</v>
      </c>
      <c r="C763" t="s">
        <v>197</v>
      </c>
      <c r="D763" s="6" t="s">
        <v>406</v>
      </c>
      <c r="E763" s="6" t="str">
        <f>VLOOKUP(F763,Germplasm!$A$1:$B$21,2,FALSE)</f>
        <v>Bredo</v>
      </c>
      <c r="F763" t="s">
        <v>79</v>
      </c>
      <c r="G763" s="6" t="s">
        <v>113</v>
      </c>
      <c r="H763">
        <v>39867.199999999997</v>
      </c>
      <c r="I763">
        <v>460.69600000000003</v>
      </c>
      <c r="J763">
        <v>129827</v>
      </c>
      <c r="K763">
        <v>17.191700000000001</v>
      </c>
      <c r="L763">
        <v>77.217399999999998</v>
      </c>
      <c r="M763">
        <v>1400.32</v>
      </c>
      <c r="N763">
        <v>501.601</v>
      </c>
      <c r="O763">
        <v>21636100</v>
      </c>
      <c r="P763">
        <v>0.13449700000000001</v>
      </c>
      <c r="Q763">
        <v>0.70317099999999999</v>
      </c>
      <c r="R763">
        <v>17.376300000000001</v>
      </c>
      <c r="S763">
        <v>35.956099999999999</v>
      </c>
      <c r="T763">
        <v>32.8125</v>
      </c>
      <c r="U763">
        <v>12.847</v>
      </c>
      <c r="V763">
        <v>0.30492399999999997</v>
      </c>
      <c r="W763">
        <v>74.603700000000003</v>
      </c>
      <c r="X763">
        <v>9.6219400000000004</v>
      </c>
      <c r="Y763">
        <v>20.330100000000002</v>
      </c>
      <c r="Z763">
        <v>11.999499999999999</v>
      </c>
      <c r="AA763">
        <v>27.742699999999999</v>
      </c>
      <c r="AB763">
        <v>18.910699999999999</v>
      </c>
      <c r="AC763">
        <v>11.395099999999999</v>
      </c>
      <c r="AD763">
        <v>1.7862100000000001</v>
      </c>
      <c r="AE763">
        <v>14.716100000000001</v>
      </c>
      <c r="AF763">
        <v>0</v>
      </c>
      <c r="AG763">
        <v>89.774699999999996</v>
      </c>
      <c r="AH763">
        <v>3.0134300000000001</v>
      </c>
      <c r="AI763">
        <v>1.44432</v>
      </c>
      <c r="AJ763">
        <v>5.7675200000000002</v>
      </c>
      <c r="AK763">
        <v>0</v>
      </c>
      <c r="AL763">
        <v>0.27843899999999999</v>
      </c>
      <c r="AM763">
        <v>10.5953</v>
      </c>
      <c r="AN763">
        <v>22.706600000000002</v>
      </c>
      <c r="AO763">
        <v>18.6937</v>
      </c>
      <c r="AP763">
        <v>22.213899999999999</v>
      </c>
      <c r="AQ763">
        <v>20.549299999999999</v>
      </c>
      <c r="AR763">
        <v>5.2412299999999998</v>
      </c>
      <c r="AS763">
        <v>0.20429600000000001</v>
      </c>
      <c r="AT763">
        <v>1.06995</v>
      </c>
      <c r="AU763">
        <v>10.063599999999999</v>
      </c>
      <c r="AV763">
        <v>39.759500000000003</v>
      </c>
      <c r="AW763">
        <v>35.956099999999999</v>
      </c>
      <c r="AX763">
        <v>10.477</v>
      </c>
      <c r="AY763">
        <v>2.6737899999999999</v>
      </c>
      <c r="AZ763">
        <v>542.70299999999997</v>
      </c>
      <c r="BA763">
        <v>571.79899999999998</v>
      </c>
      <c r="BB763">
        <v>22319.4</v>
      </c>
      <c r="BC763">
        <v>0.17790600000000001</v>
      </c>
      <c r="BD763">
        <v>0.40258699999999997</v>
      </c>
      <c r="BE763">
        <v>0.380884</v>
      </c>
      <c r="BF763">
        <v>1.1621900000000001</v>
      </c>
      <c r="BG763">
        <v>9.1878799999999998</v>
      </c>
      <c r="BH763">
        <v>49.591999999999999</v>
      </c>
      <c r="BI763">
        <v>39.274500000000003</v>
      </c>
      <c r="BJ763">
        <v>32.655000000000001</v>
      </c>
      <c r="BK763">
        <v>0</v>
      </c>
      <c r="BL763">
        <v>33.108699999999999</v>
      </c>
      <c r="BM763">
        <v>55.561300000000003</v>
      </c>
      <c r="BN763">
        <v>8.6735199999999999</v>
      </c>
      <c r="BO763">
        <v>1.5843</v>
      </c>
      <c r="BP763">
        <v>1.07212</v>
      </c>
      <c r="BQ763">
        <v>34.076000000000001</v>
      </c>
      <c r="BR763">
        <v>92154</v>
      </c>
    </row>
    <row r="764" spans="1:70" x14ac:dyDescent="0.25">
      <c r="A764">
        <v>51</v>
      </c>
      <c r="B764" s="7">
        <v>46002.54650462963</v>
      </c>
      <c r="C764" t="s">
        <v>197</v>
      </c>
      <c r="D764" s="6" t="s">
        <v>407</v>
      </c>
      <c r="E764" s="6" t="str">
        <f>VLOOKUP(F764,Germplasm!$A$1:$B$21,2,FALSE)</f>
        <v>Bredo</v>
      </c>
      <c r="F764" t="s">
        <v>79</v>
      </c>
      <c r="G764" s="6" t="s">
        <v>113</v>
      </c>
      <c r="H764">
        <v>25040.799999999999</v>
      </c>
      <c r="I764">
        <v>460.64499999999998</v>
      </c>
      <c r="J764">
        <v>109884</v>
      </c>
      <c r="K764">
        <v>13.109</v>
      </c>
      <c r="L764">
        <v>52.1785</v>
      </c>
      <c r="M764">
        <v>1338.09</v>
      </c>
      <c r="N764">
        <v>525.29100000000005</v>
      </c>
      <c r="O764">
        <v>12704300</v>
      </c>
      <c r="P764">
        <v>5.6556500000000003E-2</v>
      </c>
      <c r="Q764">
        <v>3.1170200000000001</v>
      </c>
      <c r="R764">
        <v>27.7315</v>
      </c>
      <c r="S764">
        <v>47.2913</v>
      </c>
      <c r="T764">
        <v>13.672599999999999</v>
      </c>
      <c r="U764">
        <v>7.5631399999999998</v>
      </c>
      <c r="V764">
        <v>0.62434999999999996</v>
      </c>
      <c r="W764">
        <v>52.685699999999997</v>
      </c>
      <c r="X764">
        <v>15.6592</v>
      </c>
      <c r="Y764">
        <v>32.773600000000002</v>
      </c>
      <c r="Z764">
        <v>14.0006</v>
      </c>
      <c r="AA764">
        <v>15.388</v>
      </c>
      <c r="AB764">
        <v>7.7823000000000002</v>
      </c>
      <c r="AC764">
        <v>14.3963</v>
      </c>
      <c r="AD764">
        <v>1.73837</v>
      </c>
      <c r="AE764">
        <v>17.824400000000001</v>
      </c>
      <c r="AF764">
        <v>0</v>
      </c>
      <c r="AG764">
        <v>84.351799999999997</v>
      </c>
      <c r="AH764">
        <v>6.5446299999999997</v>
      </c>
      <c r="AI764">
        <v>2.82376</v>
      </c>
      <c r="AJ764">
        <v>6.2797599999999996</v>
      </c>
      <c r="AK764">
        <v>0</v>
      </c>
      <c r="AL764">
        <v>0.184695</v>
      </c>
      <c r="AM764">
        <v>12.6494</v>
      </c>
      <c r="AN764">
        <v>39.643000000000001</v>
      </c>
      <c r="AO764">
        <v>23.8309</v>
      </c>
      <c r="AP764">
        <v>13.4724</v>
      </c>
      <c r="AQ764">
        <v>7.4385899999999996</v>
      </c>
      <c r="AR764">
        <v>2.9656600000000002</v>
      </c>
      <c r="AS764">
        <v>0.23611399999999999</v>
      </c>
      <c r="AT764">
        <v>2.1048200000000001</v>
      </c>
      <c r="AU764">
        <v>9.1650100000000005</v>
      </c>
      <c r="AV764">
        <v>32.8414</v>
      </c>
      <c r="AW764">
        <v>38.055399999999999</v>
      </c>
      <c r="AX764">
        <v>11.974600000000001</v>
      </c>
      <c r="AY764">
        <v>5.8587999999999996</v>
      </c>
      <c r="AZ764">
        <v>507.346</v>
      </c>
      <c r="BA764">
        <v>555.59900000000005</v>
      </c>
      <c r="BB764">
        <v>14404.7</v>
      </c>
      <c r="BC764">
        <v>0.224826</v>
      </c>
      <c r="BD764">
        <v>0.83246600000000004</v>
      </c>
      <c r="BE764">
        <v>0.90499200000000002</v>
      </c>
      <c r="BF764">
        <v>1.81314</v>
      </c>
      <c r="BG764">
        <v>7.7160799999999998</v>
      </c>
      <c r="BH764">
        <v>31.624300000000002</v>
      </c>
      <c r="BI764">
        <v>57.109099999999998</v>
      </c>
      <c r="BJ764">
        <v>32.671700000000001</v>
      </c>
      <c r="BK764">
        <v>0</v>
      </c>
      <c r="BL764">
        <v>40.5197</v>
      </c>
      <c r="BM764">
        <v>44.8491</v>
      </c>
      <c r="BN764">
        <v>8.82761</v>
      </c>
      <c r="BO764">
        <v>2.42014</v>
      </c>
      <c r="BP764">
        <v>3.38347</v>
      </c>
      <c r="BQ764">
        <v>35.134900000000002</v>
      </c>
      <c r="BR764">
        <v>63426</v>
      </c>
    </row>
    <row r="765" spans="1:70" x14ac:dyDescent="0.25">
      <c r="A765">
        <v>51</v>
      </c>
      <c r="B765" s="7">
        <v>46013.572685185187</v>
      </c>
      <c r="C765" t="s">
        <v>197</v>
      </c>
      <c r="D765" s="6" t="s">
        <v>408</v>
      </c>
      <c r="E765" s="6" t="str">
        <f>VLOOKUP(F765,Germplasm!$A$1:$B$21,2,FALSE)</f>
        <v>Bredo</v>
      </c>
      <c r="F765" t="s">
        <v>79</v>
      </c>
      <c r="G765" s="6" t="s">
        <v>113</v>
      </c>
      <c r="H765">
        <v>31444.1</v>
      </c>
      <c r="I765">
        <v>416.09399999999999</v>
      </c>
      <c r="J765">
        <v>104765</v>
      </c>
      <c r="K765">
        <v>15.9131</v>
      </c>
      <c r="L765">
        <v>52.5229</v>
      </c>
      <c r="M765">
        <v>1285.01</v>
      </c>
      <c r="N765">
        <v>504.35300000000001</v>
      </c>
      <c r="O765">
        <v>15224500</v>
      </c>
      <c r="P765">
        <v>3.2422600000000003E-2</v>
      </c>
      <c r="Q765">
        <v>1.1233900000000001</v>
      </c>
      <c r="R765">
        <v>27.352799999999998</v>
      </c>
      <c r="S765">
        <v>64.188299999999998</v>
      </c>
      <c r="T765">
        <v>6.5395700000000003</v>
      </c>
      <c r="U765">
        <v>0.75319599999999998</v>
      </c>
      <c r="V765">
        <v>4.27144E-2</v>
      </c>
      <c r="W765">
        <v>44.768500000000003</v>
      </c>
      <c r="X765">
        <v>14.483000000000001</v>
      </c>
      <c r="Y765">
        <v>48.935000000000002</v>
      </c>
      <c r="Z765">
        <v>16.127500000000001</v>
      </c>
      <c r="AA765">
        <v>7.4322999999999997</v>
      </c>
      <c r="AB765">
        <v>3.1124499999999999</v>
      </c>
      <c r="AC765">
        <v>9.9097299999999997</v>
      </c>
      <c r="AD765">
        <v>1.88611</v>
      </c>
      <c r="AE765">
        <v>20.170100000000001</v>
      </c>
      <c r="AF765">
        <v>0</v>
      </c>
      <c r="AG765">
        <v>83.031000000000006</v>
      </c>
      <c r="AH765">
        <v>7.66723</v>
      </c>
      <c r="AI765">
        <v>1.6516200000000001</v>
      </c>
      <c r="AJ765">
        <v>7.6501400000000004</v>
      </c>
      <c r="AK765">
        <v>0</v>
      </c>
      <c r="AL765">
        <v>0.109796</v>
      </c>
      <c r="AM765">
        <v>16.825199999999999</v>
      </c>
      <c r="AN765">
        <v>51.153300000000002</v>
      </c>
      <c r="AO765">
        <v>24.691700000000001</v>
      </c>
      <c r="AP765">
        <v>5.9686199999999996</v>
      </c>
      <c r="AQ765">
        <v>1.05504</v>
      </c>
      <c r="AR765">
        <v>0.30612</v>
      </c>
      <c r="AS765">
        <v>0.24343100000000001</v>
      </c>
      <c r="AT765">
        <v>1.3412299999999999</v>
      </c>
      <c r="AU765">
        <v>6.8200599999999998</v>
      </c>
      <c r="AV765">
        <v>28.208600000000001</v>
      </c>
      <c r="AW765">
        <v>48.411000000000001</v>
      </c>
      <c r="AX765">
        <v>12.7118</v>
      </c>
      <c r="AY765">
        <v>2.5073300000000001</v>
      </c>
      <c r="AZ765">
        <v>484.17599999999999</v>
      </c>
      <c r="BA765">
        <v>521.399</v>
      </c>
      <c r="BB765">
        <v>16671.5</v>
      </c>
      <c r="BC765">
        <v>0.27872999999999998</v>
      </c>
      <c r="BD765">
        <v>0.63644400000000001</v>
      </c>
      <c r="BE765">
        <v>0.643563</v>
      </c>
      <c r="BF765">
        <v>1.39961</v>
      </c>
      <c r="BG765">
        <v>5.4788300000000003</v>
      </c>
      <c r="BH765">
        <v>18.748799999999999</v>
      </c>
      <c r="BI765">
        <v>73.092799999999997</v>
      </c>
      <c r="BJ765">
        <v>29.901599999999998</v>
      </c>
      <c r="BK765">
        <v>0</v>
      </c>
      <c r="BL765">
        <v>41.143900000000002</v>
      </c>
      <c r="BM765">
        <v>50.882800000000003</v>
      </c>
      <c r="BN765">
        <v>5.2866099999999996</v>
      </c>
      <c r="BO765">
        <v>1.2743100000000001</v>
      </c>
      <c r="BP765">
        <v>1.41242</v>
      </c>
      <c r="BQ765">
        <v>32.038899999999998</v>
      </c>
      <c r="BR765">
        <v>70234</v>
      </c>
    </row>
    <row r="766" spans="1:70" x14ac:dyDescent="0.25">
      <c r="A766">
        <v>51</v>
      </c>
      <c r="B766" s="7">
        <v>46024.548402777778</v>
      </c>
      <c r="C766" t="s">
        <v>197</v>
      </c>
      <c r="D766" s="6" t="s">
        <v>409</v>
      </c>
      <c r="E766" s="6" t="str">
        <f>VLOOKUP(F766,Germplasm!$A$1:$B$21,2,FALSE)</f>
        <v>Bredo</v>
      </c>
      <c r="F766" t="s">
        <v>79</v>
      </c>
      <c r="G766" s="6" t="s">
        <v>113</v>
      </c>
      <c r="H766">
        <v>36325.5</v>
      </c>
      <c r="I766">
        <v>390.81700000000001</v>
      </c>
      <c r="J766">
        <v>107331</v>
      </c>
      <c r="K766">
        <v>18.654199999999999</v>
      </c>
      <c r="L766">
        <v>84.683400000000006</v>
      </c>
      <c r="M766">
        <v>1244.43</v>
      </c>
      <c r="N766">
        <v>426.38600000000002</v>
      </c>
      <c r="O766">
        <v>15398700</v>
      </c>
      <c r="P766">
        <v>7.6605600000000003E-3</v>
      </c>
      <c r="Q766">
        <v>0.97559099999999999</v>
      </c>
      <c r="R766">
        <v>38.586500000000001</v>
      </c>
      <c r="S766">
        <v>58.887799999999999</v>
      </c>
      <c r="T766">
        <v>1.3328500000000001</v>
      </c>
      <c r="U766">
        <v>0.18737400000000001</v>
      </c>
      <c r="V766">
        <v>2.9979800000000001E-2</v>
      </c>
      <c r="W766">
        <v>36.290500000000002</v>
      </c>
      <c r="X766">
        <v>20.930900000000001</v>
      </c>
      <c r="Y766">
        <v>56.1633</v>
      </c>
      <c r="Z766">
        <v>9.01267</v>
      </c>
      <c r="AA766">
        <v>3.2090800000000002</v>
      </c>
      <c r="AB766">
        <v>1.5914299999999999</v>
      </c>
      <c r="AC766">
        <v>9.0926100000000005</v>
      </c>
      <c r="AD766">
        <v>1.8143</v>
      </c>
      <c r="AE766">
        <v>21.705400000000001</v>
      </c>
      <c r="AF766">
        <v>0</v>
      </c>
      <c r="AG766">
        <v>78.659400000000005</v>
      </c>
      <c r="AH766">
        <v>14.0418</v>
      </c>
      <c r="AI766">
        <v>1.71509</v>
      </c>
      <c r="AJ766">
        <v>5.5837300000000001</v>
      </c>
      <c r="AK766">
        <v>0</v>
      </c>
      <c r="AL766">
        <v>7.9411899999999994E-2</v>
      </c>
      <c r="AM766">
        <v>20.107700000000001</v>
      </c>
      <c r="AN766">
        <v>59.765900000000002</v>
      </c>
      <c r="AO766">
        <v>16.537600000000001</v>
      </c>
      <c r="AP766">
        <v>2.5520299999999998</v>
      </c>
      <c r="AQ766">
        <v>0.63582099999999997</v>
      </c>
      <c r="AR766">
        <v>0.40097899999999997</v>
      </c>
      <c r="AS766">
        <v>0.25389099999999998</v>
      </c>
      <c r="AT766">
        <v>1.32785</v>
      </c>
      <c r="AU766">
        <v>5.7061500000000001</v>
      </c>
      <c r="AV766">
        <v>28.860499999999998</v>
      </c>
      <c r="AW766">
        <v>46.874600000000001</v>
      </c>
      <c r="AX766">
        <v>13.690799999999999</v>
      </c>
      <c r="AY766">
        <v>3.5401099999999999</v>
      </c>
      <c r="AZ766">
        <v>423.90899999999999</v>
      </c>
      <c r="BA766">
        <v>475.79899999999998</v>
      </c>
      <c r="BB766">
        <v>20021.7</v>
      </c>
      <c r="BC766">
        <v>0.30350199999999999</v>
      </c>
      <c r="BD766">
        <v>0.66705000000000003</v>
      </c>
      <c r="BE766">
        <v>0.66580099999999998</v>
      </c>
      <c r="BF766">
        <v>1.1954400000000001</v>
      </c>
      <c r="BG766">
        <v>4.5057099999999997</v>
      </c>
      <c r="BH766">
        <v>14.645099999999999</v>
      </c>
      <c r="BI766">
        <v>78.320899999999995</v>
      </c>
      <c r="BJ766">
        <v>29.235099999999999</v>
      </c>
      <c r="BK766">
        <v>0</v>
      </c>
      <c r="BL766">
        <v>44.792299999999997</v>
      </c>
      <c r="BM766">
        <v>46.344999999999999</v>
      </c>
      <c r="BN766">
        <v>6.4631400000000001</v>
      </c>
      <c r="BO766">
        <v>1.4165399999999999</v>
      </c>
      <c r="BP766">
        <v>0.98308600000000002</v>
      </c>
      <c r="BQ766">
        <v>33.475999999999999</v>
      </c>
      <c r="BR766">
        <v>80054</v>
      </c>
    </row>
    <row r="767" spans="1:70" x14ac:dyDescent="0.25">
      <c r="A767">
        <v>51</v>
      </c>
      <c r="B767" s="7">
        <v>45952.580914351849</v>
      </c>
      <c r="C767" t="s">
        <v>195</v>
      </c>
      <c r="D767" s="6" t="s">
        <v>401</v>
      </c>
      <c r="E767" s="6" t="str">
        <f>VLOOKUP(F767,Germplasm!$A$1:$B$21,2,FALSE)</f>
        <v>Heder</v>
      </c>
      <c r="F767" t="s">
        <v>77</v>
      </c>
      <c r="G767" s="6" t="s">
        <v>113</v>
      </c>
      <c r="H767">
        <v>27551.8</v>
      </c>
      <c r="I767">
        <v>307.96800000000002</v>
      </c>
      <c r="J767">
        <v>94748.2</v>
      </c>
      <c r="K767">
        <v>16.547699999999999</v>
      </c>
      <c r="L767">
        <v>56.177700000000002</v>
      </c>
      <c r="M767">
        <v>1220.22</v>
      </c>
      <c r="N767">
        <v>499.64100000000002</v>
      </c>
      <c r="O767">
        <v>9479970</v>
      </c>
      <c r="P767">
        <v>0.24951300000000001</v>
      </c>
      <c r="Q767">
        <v>0.499193</v>
      </c>
      <c r="R767">
        <v>2.6573600000000002</v>
      </c>
      <c r="S767">
        <v>15.4712</v>
      </c>
      <c r="T767">
        <v>47.164400000000001</v>
      </c>
      <c r="U767">
        <v>33.678600000000003</v>
      </c>
      <c r="V767">
        <v>0.52922000000000002</v>
      </c>
      <c r="W767">
        <v>113.098</v>
      </c>
      <c r="X767">
        <v>0.80884299999999998</v>
      </c>
      <c r="Y767">
        <v>1.8166100000000001</v>
      </c>
      <c r="Z767">
        <v>4.2262500000000003</v>
      </c>
      <c r="AA767">
        <v>21.3902</v>
      </c>
      <c r="AB767">
        <v>40.504100000000001</v>
      </c>
      <c r="AC767">
        <v>31.254000000000001</v>
      </c>
      <c r="AD767">
        <v>1.75728</v>
      </c>
      <c r="AE767">
        <v>7.7222799999999996</v>
      </c>
      <c r="AF767">
        <v>0</v>
      </c>
      <c r="AG767">
        <v>99.575900000000004</v>
      </c>
      <c r="AH767">
        <v>0.42225000000000001</v>
      </c>
      <c r="AI767">
        <v>1.87667E-3</v>
      </c>
      <c r="AJ767">
        <v>0</v>
      </c>
      <c r="AK767">
        <v>0</v>
      </c>
      <c r="AL767">
        <v>0.529609</v>
      </c>
      <c r="AM767">
        <v>0.31152600000000003</v>
      </c>
      <c r="AN767">
        <v>1.7246600000000001</v>
      </c>
      <c r="AO767">
        <v>4.9525199999999998</v>
      </c>
      <c r="AP767">
        <v>16.175000000000001</v>
      </c>
      <c r="AQ767">
        <v>43.773200000000003</v>
      </c>
      <c r="AR767">
        <v>33.063099999999999</v>
      </c>
      <c r="AS767">
        <v>5.8080600000000003E-2</v>
      </c>
      <c r="AT767">
        <v>6.0597500000000002</v>
      </c>
      <c r="AU767">
        <v>31.2014</v>
      </c>
      <c r="AV767">
        <v>44.822299999999998</v>
      </c>
      <c r="AW767">
        <v>13.9605</v>
      </c>
      <c r="AX767">
        <v>2.5841699999999999</v>
      </c>
      <c r="AY767">
        <v>1.3718399999999999</v>
      </c>
      <c r="AZ767">
        <v>344.07799999999997</v>
      </c>
      <c r="BA767">
        <v>354.03</v>
      </c>
      <c r="BB767">
        <v>15678.6</v>
      </c>
      <c r="BC767">
        <v>2.80492E-2</v>
      </c>
      <c r="BD767">
        <v>3.7533299999999999E-2</v>
      </c>
      <c r="BE767">
        <v>0.232707</v>
      </c>
      <c r="BF767">
        <v>2.1093700000000002</v>
      </c>
      <c r="BG767">
        <v>34.8797</v>
      </c>
      <c r="BH767">
        <v>57.332099999999997</v>
      </c>
      <c r="BI767">
        <v>5.40855</v>
      </c>
      <c r="BJ767">
        <v>33.339300000000001</v>
      </c>
      <c r="BK767">
        <v>0</v>
      </c>
      <c r="BL767">
        <v>27.8291</v>
      </c>
      <c r="BM767">
        <v>62.0032</v>
      </c>
      <c r="BN767">
        <v>8.7208600000000001</v>
      </c>
      <c r="BO767">
        <v>0.93645599999999996</v>
      </c>
      <c r="BP767">
        <v>0.51045300000000005</v>
      </c>
      <c r="BQ767">
        <v>34.7059</v>
      </c>
      <c r="BR767">
        <v>53286</v>
      </c>
    </row>
    <row r="768" spans="1:70" x14ac:dyDescent="0.25">
      <c r="A768">
        <v>51</v>
      </c>
      <c r="B768" s="7">
        <v>45959.551342592589</v>
      </c>
      <c r="C768" t="s">
        <v>195</v>
      </c>
      <c r="D768" s="6" t="s">
        <v>402</v>
      </c>
      <c r="E768" s="6" t="str">
        <f>VLOOKUP(F768,Germplasm!$A$1:$B$21,2,FALSE)</f>
        <v>Heder</v>
      </c>
      <c r="F768" t="s">
        <v>77</v>
      </c>
      <c r="G768" s="6" t="s">
        <v>113</v>
      </c>
      <c r="H768">
        <v>48381.599999999999</v>
      </c>
      <c r="I768">
        <v>455.93299999999999</v>
      </c>
      <c r="J768">
        <v>157690</v>
      </c>
      <c r="K768">
        <v>17.6663</v>
      </c>
      <c r="L768">
        <v>74.988</v>
      </c>
      <c r="M768">
        <v>1513.57</v>
      </c>
      <c r="N768">
        <v>575.98900000000003</v>
      </c>
      <c r="O768">
        <v>24261300</v>
      </c>
      <c r="P768">
        <v>0.23483999999999999</v>
      </c>
      <c r="Q768">
        <v>0.48189100000000001</v>
      </c>
      <c r="R768">
        <v>2.8697699999999999</v>
      </c>
      <c r="S768">
        <v>19.956800000000001</v>
      </c>
      <c r="T768">
        <v>46.950899999999997</v>
      </c>
      <c r="U768">
        <v>29.117899999999999</v>
      </c>
      <c r="V768">
        <v>0.62265599999999999</v>
      </c>
      <c r="W768">
        <v>118.873</v>
      </c>
      <c r="X768">
        <v>0.79219099999999998</v>
      </c>
      <c r="Y768">
        <v>1.74159</v>
      </c>
      <c r="Z768">
        <v>3.8284099999999999</v>
      </c>
      <c r="AA768">
        <v>16.4254</v>
      </c>
      <c r="AB768">
        <v>36.223999999999997</v>
      </c>
      <c r="AC768">
        <v>40.988399999999999</v>
      </c>
      <c r="AD768">
        <v>1.7367300000000001</v>
      </c>
      <c r="AE768">
        <v>6.8963099999999997</v>
      </c>
      <c r="AF768">
        <v>0</v>
      </c>
      <c r="AG768">
        <v>99.878799999999998</v>
      </c>
      <c r="AH768">
        <v>0.121243</v>
      </c>
      <c r="AI768">
        <v>0</v>
      </c>
      <c r="AJ768">
        <v>0</v>
      </c>
      <c r="AK768">
        <v>0</v>
      </c>
      <c r="AL768">
        <v>0.53027100000000005</v>
      </c>
      <c r="AM768">
        <v>0.47264299999999998</v>
      </c>
      <c r="AN768">
        <v>2.3210899999999999</v>
      </c>
      <c r="AO768">
        <v>5.1281800000000004</v>
      </c>
      <c r="AP768">
        <v>16.302099999999999</v>
      </c>
      <c r="AQ768">
        <v>39.519100000000002</v>
      </c>
      <c r="AR768">
        <v>36.256900000000002</v>
      </c>
      <c r="AS768">
        <v>2.8033099999999998E-2</v>
      </c>
      <c r="AT768">
        <v>7.6362699999999997</v>
      </c>
      <c r="AU768">
        <v>39.3979</v>
      </c>
      <c r="AV768">
        <v>38.558399999999999</v>
      </c>
      <c r="AW768">
        <v>10.8246</v>
      </c>
      <c r="AX768">
        <v>2.1495000000000002</v>
      </c>
      <c r="AY768">
        <v>1.4333400000000001</v>
      </c>
      <c r="AZ768">
        <v>501.45800000000003</v>
      </c>
      <c r="BA768">
        <v>561.59900000000005</v>
      </c>
      <c r="BB768">
        <v>27857.9</v>
      </c>
      <c r="BC768">
        <v>8.0893200000000005E-3</v>
      </c>
      <c r="BD768">
        <v>4.3154400000000002E-2</v>
      </c>
      <c r="BE768">
        <v>0.42948900000000001</v>
      </c>
      <c r="BF768">
        <v>2.9262800000000002</v>
      </c>
      <c r="BG768">
        <v>43.633200000000002</v>
      </c>
      <c r="BH768">
        <v>48.055500000000002</v>
      </c>
      <c r="BI768">
        <v>4.9124100000000004</v>
      </c>
      <c r="BJ768">
        <v>31.649799999999999</v>
      </c>
      <c r="BK768">
        <v>0</v>
      </c>
      <c r="BL768">
        <v>34.490600000000001</v>
      </c>
      <c r="BM768">
        <v>56.316499999999998</v>
      </c>
      <c r="BN768">
        <v>7.5910599999999997</v>
      </c>
      <c r="BO768">
        <v>1.0202899999999999</v>
      </c>
      <c r="BP768">
        <v>0.58155699999999999</v>
      </c>
      <c r="BQ768">
        <v>35.1965</v>
      </c>
      <c r="BR768">
        <v>97325</v>
      </c>
    </row>
    <row r="769" spans="1:70" x14ac:dyDescent="0.25">
      <c r="A769">
        <v>51</v>
      </c>
      <c r="B769" s="7">
        <v>45966.528078703705</v>
      </c>
      <c r="C769" t="s">
        <v>195</v>
      </c>
      <c r="D769" s="6" t="s">
        <v>403</v>
      </c>
      <c r="E769" s="6" t="str">
        <f>VLOOKUP(F769,Germplasm!$A$1:$B$21,2,FALSE)</f>
        <v>Heder</v>
      </c>
      <c r="F769" t="s">
        <v>77</v>
      </c>
      <c r="G769" s="6" t="s">
        <v>113</v>
      </c>
      <c r="H769">
        <v>55414.9</v>
      </c>
      <c r="I769">
        <v>467.1</v>
      </c>
      <c r="J769">
        <v>195555</v>
      </c>
      <c r="K769">
        <v>16.230499999999999</v>
      </c>
      <c r="L769">
        <v>86.861800000000002</v>
      </c>
      <c r="M769">
        <v>1651.64</v>
      </c>
      <c r="N769">
        <v>560.88699999999994</v>
      </c>
      <c r="O769">
        <v>28751000</v>
      </c>
      <c r="P769">
        <v>0.24875</v>
      </c>
      <c r="Q769">
        <v>0.68876499999999996</v>
      </c>
      <c r="R769">
        <v>3.05125</v>
      </c>
      <c r="S769">
        <v>18.188199999999998</v>
      </c>
      <c r="T769">
        <v>43.2074</v>
      </c>
      <c r="U769">
        <v>33.324199999999998</v>
      </c>
      <c r="V769">
        <v>1.5402199999999999</v>
      </c>
      <c r="W769">
        <v>118.05200000000001</v>
      </c>
      <c r="X769">
        <v>1.03624</v>
      </c>
      <c r="Y769">
        <v>1.93102</v>
      </c>
      <c r="Z769">
        <v>3.80722</v>
      </c>
      <c r="AA769">
        <v>16.4694</v>
      </c>
      <c r="AB769">
        <v>37.046500000000002</v>
      </c>
      <c r="AC769">
        <v>39.709600000000002</v>
      </c>
      <c r="AD769">
        <v>1.74593</v>
      </c>
      <c r="AE769">
        <v>6.1457300000000004</v>
      </c>
      <c r="AF769">
        <v>0</v>
      </c>
      <c r="AG769">
        <v>99.769199999999998</v>
      </c>
      <c r="AH769">
        <v>0.223694</v>
      </c>
      <c r="AI769">
        <v>3.5366600000000001E-3</v>
      </c>
      <c r="AJ769">
        <v>3.5366600000000001E-3</v>
      </c>
      <c r="AK769">
        <v>0</v>
      </c>
      <c r="AL769">
        <v>0.54196900000000003</v>
      </c>
      <c r="AM769">
        <v>0.54552999999999996</v>
      </c>
      <c r="AN769">
        <v>2.6038700000000001</v>
      </c>
      <c r="AO769">
        <v>5.8443300000000002</v>
      </c>
      <c r="AP769">
        <v>14.3553</v>
      </c>
      <c r="AQ769">
        <v>34.302100000000003</v>
      </c>
      <c r="AR769">
        <v>42.3489</v>
      </c>
      <c r="AS769">
        <v>4.0522500000000003E-2</v>
      </c>
      <c r="AT769">
        <v>7.9371499999999999</v>
      </c>
      <c r="AU769">
        <v>37.840499999999999</v>
      </c>
      <c r="AV769">
        <v>37.3825</v>
      </c>
      <c r="AW769">
        <v>11.3872</v>
      </c>
      <c r="AX769">
        <v>2.9442699999999999</v>
      </c>
      <c r="AY769">
        <v>2.5083799999999998</v>
      </c>
      <c r="AZ769">
        <v>518.83199999999999</v>
      </c>
      <c r="BA769">
        <v>575.99900000000002</v>
      </c>
      <c r="BB769">
        <v>31739.5</v>
      </c>
      <c r="BC769">
        <v>1.23353E-2</v>
      </c>
      <c r="BD769">
        <v>6.4544099999999993E-2</v>
      </c>
      <c r="BE769">
        <v>0.48098600000000002</v>
      </c>
      <c r="BF769">
        <v>2.9301200000000001</v>
      </c>
      <c r="BG769">
        <v>42.298499999999997</v>
      </c>
      <c r="BH769">
        <v>48.132199999999997</v>
      </c>
      <c r="BI769">
        <v>6.0936700000000004</v>
      </c>
      <c r="BJ769">
        <v>33.9512</v>
      </c>
      <c r="BK769">
        <v>0</v>
      </c>
      <c r="BL769">
        <v>30.8079</v>
      </c>
      <c r="BM769">
        <v>56.470799999999997</v>
      </c>
      <c r="BN769">
        <v>9.6347500000000004</v>
      </c>
      <c r="BO769">
        <v>1.78159</v>
      </c>
      <c r="BP769">
        <v>1.3050299999999999</v>
      </c>
      <c r="BQ769">
        <v>34.987099999999998</v>
      </c>
      <c r="BR769">
        <v>113101</v>
      </c>
    </row>
    <row r="770" spans="1:70" x14ac:dyDescent="0.25">
      <c r="A770">
        <v>51</v>
      </c>
      <c r="B770" s="7">
        <v>45973.577291666668</v>
      </c>
      <c r="C770" t="s">
        <v>195</v>
      </c>
      <c r="D770" s="6" t="s">
        <v>404</v>
      </c>
      <c r="E770" s="6" t="str">
        <f>VLOOKUP(F770,Germplasm!$A$1:$B$21,2,FALSE)</f>
        <v>Heder</v>
      </c>
      <c r="F770" t="s">
        <v>77</v>
      </c>
      <c r="G770" s="6" t="s">
        <v>113</v>
      </c>
      <c r="H770">
        <v>74938</v>
      </c>
      <c r="I770">
        <v>450.80399999999997</v>
      </c>
      <c r="J770">
        <v>191859</v>
      </c>
      <c r="K770">
        <v>21.415099999999999</v>
      </c>
      <c r="L770">
        <v>97.030100000000004</v>
      </c>
      <c r="M770">
        <v>1653.62</v>
      </c>
      <c r="N770">
        <v>554.83799999999997</v>
      </c>
      <c r="O770">
        <v>40120900</v>
      </c>
      <c r="P770">
        <v>0.25068200000000002</v>
      </c>
      <c r="Q770">
        <v>0.63454900000000003</v>
      </c>
      <c r="R770">
        <v>3.3071000000000002</v>
      </c>
      <c r="S770">
        <v>17.631699999999999</v>
      </c>
      <c r="T770">
        <v>42.1815</v>
      </c>
      <c r="U770">
        <v>34.721899999999998</v>
      </c>
      <c r="V770">
        <v>1.52318</v>
      </c>
      <c r="W770">
        <v>116.527</v>
      </c>
      <c r="X770">
        <v>0.975769</v>
      </c>
      <c r="Y770">
        <v>1.7939000000000001</v>
      </c>
      <c r="Z770">
        <v>3.7248199999999998</v>
      </c>
      <c r="AA770">
        <v>17.2027</v>
      </c>
      <c r="AB770">
        <v>39.909399999999998</v>
      </c>
      <c r="AC770">
        <v>36.3934</v>
      </c>
      <c r="AD770">
        <v>1.82389</v>
      </c>
      <c r="AE770">
        <v>6.1384800000000004</v>
      </c>
      <c r="AF770">
        <v>0</v>
      </c>
      <c r="AG770">
        <v>99.876900000000006</v>
      </c>
      <c r="AH770">
        <v>0.121057</v>
      </c>
      <c r="AI770">
        <v>6.6514600000000003E-4</v>
      </c>
      <c r="AJ770">
        <v>1.33029E-3</v>
      </c>
      <c r="AK770">
        <v>0</v>
      </c>
      <c r="AL770">
        <v>0.52866999999999997</v>
      </c>
      <c r="AM770">
        <v>0.64519099999999996</v>
      </c>
      <c r="AN770">
        <v>2.7470500000000002</v>
      </c>
      <c r="AO770">
        <v>5.9676900000000002</v>
      </c>
      <c r="AP770">
        <v>15.8757</v>
      </c>
      <c r="AQ770">
        <v>37.087200000000003</v>
      </c>
      <c r="AR770">
        <v>37.677199999999999</v>
      </c>
      <c r="AS770">
        <v>5.4513499999999999E-2</v>
      </c>
      <c r="AT770">
        <v>6.5643200000000004</v>
      </c>
      <c r="AU770">
        <v>35.516100000000002</v>
      </c>
      <c r="AV770">
        <v>40.2639</v>
      </c>
      <c r="AW770">
        <v>11.8363</v>
      </c>
      <c r="AX770">
        <v>3.0942599999999998</v>
      </c>
      <c r="AY770">
        <v>2.7250999999999999</v>
      </c>
      <c r="AZ770">
        <v>535.38800000000003</v>
      </c>
      <c r="BA770">
        <v>586.79899999999998</v>
      </c>
      <c r="BB770">
        <v>41086.800000000003</v>
      </c>
      <c r="BC770">
        <v>1.86389E-2</v>
      </c>
      <c r="BD770">
        <v>5.4541899999999997E-2</v>
      </c>
      <c r="BE770">
        <v>0.36316999999999999</v>
      </c>
      <c r="BF770">
        <v>2.70648</v>
      </c>
      <c r="BG770">
        <v>38.955599999999997</v>
      </c>
      <c r="BH770">
        <v>51.9</v>
      </c>
      <c r="BI770">
        <v>6.0202299999999997</v>
      </c>
      <c r="BJ770">
        <v>33.936999999999998</v>
      </c>
      <c r="BK770">
        <v>0</v>
      </c>
      <c r="BL770">
        <v>30.232199999999999</v>
      </c>
      <c r="BM770">
        <v>57.257100000000001</v>
      </c>
      <c r="BN770">
        <v>9.4071599999999993</v>
      </c>
      <c r="BO770">
        <v>2.0060799999999999</v>
      </c>
      <c r="BP770">
        <v>1.0974900000000001</v>
      </c>
      <c r="BQ770">
        <v>33.295699999999997</v>
      </c>
      <c r="BR770">
        <v>150343</v>
      </c>
    </row>
    <row r="771" spans="1:70" x14ac:dyDescent="0.25">
      <c r="A771">
        <v>51</v>
      </c>
      <c r="B771" s="7">
        <v>45988.592951388891</v>
      </c>
      <c r="C771" t="s">
        <v>195</v>
      </c>
      <c r="D771" s="6" t="s">
        <v>405</v>
      </c>
      <c r="E771" s="6" t="str">
        <f>VLOOKUP(F771,Germplasm!$A$1:$B$21,2,FALSE)</f>
        <v>Heder</v>
      </c>
      <c r="F771" t="s">
        <v>77</v>
      </c>
      <c r="G771" s="6" t="s">
        <v>113</v>
      </c>
      <c r="H771">
        <v>70784.7</v>
      </c>
      <c r="I771">
        <v>393.27</v>
      </c>
      <c r="J771">
        <v>229292</v>
      </c>
      <c r="K771">
        <v>18.5425</v>
      </c>
      <c r="L771">
        <v>75.988</v>
      </c>
      <c r="M771">
        <v>1794.81</v>
      </c>
      <c r="N771">
        <v>653.37300000000005</v>
      </c>
      <c r="O771">
        <v>39403800</v>
      </c>
      <c r="P771">
        <v>0.23316899999999999</v>
      </c>
      <c r="Q771">
        <v>1.3689100000000001</v>
      </c>
      <c r="R771">
        <v>4.50678</v>
      </c>
      <c r="S771">
        <v>18.630500000000001</v>
      </c>
      <c r="T771">
        <v>44.220599999999997</v>
      </c>
      <c r="U771">
        <v>29.390999999999998</v>
      </c>
      <c r="V771">
        <v>1.88225</v>
      </c>
      <c r="W771">
        <v>104.57899999999999</v>
      </c>
      <c r="X771">
        <v>2.5917400000000002</v>
      </c>
      <c r="Y771">
        <v>4.3338799999999997</v>
      </c>
      <c r="Z771">
        <v>6.9423199999999996</v>
      </c>
      <c r="AA771">
        <v>24.921199999999999</v>
      </c>
      <c r="AB771">
        <v>36.518700000000003</v>
      </c>
      <c r="AC771">
        <v>24.6922</v>
      </c>
      <c r="AD771">
        <v>1.6648700000000001</v>
      </c>
      <c r="AE771">
        <v>6.4708500000000004</v>
      </c>
      <c r="AF771">
        <v>0</v>
      </c>
      <c r="AG771">
        <v>99.682199999999995</v>
      </c>
      <c r="AH771">
        <v>0.31241600000000003</v>
      </c>
      <c r="AI771">
        <v>5.3659299999999997E-3</v>
      </c>
      <c r="AJ771">
        <v>0</v>
      </c>
      <c r="AK771">
        <v>0</v>
      </c>
      <c r="AL771">
        <v>0.475273</v>
      </c>
      <c r="AM771">
        <v>1.41005</v>
      </c>
      <c r="AN771">
        <v>5.8309699999999998</v>
      </c>
      <c r="AO771">
        <v>10.207800000000001</v>
      </c>
      <c r="AP771">
        <v>20.671299999999999</v>
      </c>
      <c r="AQ771">
        <v>34.164900000000003</v>
      </c>
      <c r="AR771">
        <v>27.715</v>
      </c>
      <c r="AS771">
        <v>0.13015499999999999</v>
      </c>
      <c r="AT771">
        <v>3.0615600000000001</v>
      </c>
      <c r="AU771">
        <v>25.717700000000001</v>
      </c>
      <c r="AV771">
        <v>41.389800000000001</v>
      </c>
      <c r="AW771">
        <v>18.895800000000001</v>
      </c>
      <c r="AX771">
        <v>6.2835000000000001</v>
      </c>
      <c r="AY771">
        <v>4.6516599999999997</v>
      </c>
      <c r="AZ771">
        <v>556.67100000000005</v>
      </c>
      <c r="BA771">
        <v>620.399</v>
      </c>
      <c r="BB771">
        <v>42516.6</v>
      </c>
      <c r="BC771">
        <v>7.5503899999999999E-2</v>
      </c>
      <c r="BD771">
        <v>8.2873799999999997E-2</v>
      </c>
      <c r="BE771">
        <v>0.26829599999999998</v>
      </c>
      <c r="BF771">
        <v>1.45417</v>
      </c>
      <c r="BG771">
        <v>26.965</v>
      </c>
      <c r="BH771">
        <v>56.128799999999998</v>
      </c>
      <c r="BI771">
        <v>15.100899999999999</v>
      </c>
      <c r="BJ771">
        <v>35.521099999999997</v>
      </c>
      <c r="BK771">
        <v>0</v>
      </c>
      <c r="BL771">
        <v>29.848299999999998</v>
      </c>
      <c r="BM771">
        <v>53.6235</v>
      </c>
      <c r="BN771">
        <v>11.6554</v>
      </c>
      <c r="BO771">
        <v>2.8177099999999999</v>
      </c>
      <c r="BP771">
        <v>2.0551499999999998</v>
      </c>
      <c r="BQ771">
        <v>36.970100000000002</v>
      </c>
      <c r="BR771">
        <v>167725</v>
      </c>
    </row>
    <row r="772" spans="1:70" x14ac:dyDescent="0.25">
      <c r="A772">
        <v>51</v>
      </c>
      <c r="B772" s="7">
        <v>45994.540277777778</v>
      </c>
      <c r="C772" t="s">
        <v>195</v>
      </c>
      <c r="D772" s="6" t="s">
        <v>406</v>
      </c>
      <c r="E772" s="6" t="str">
        <f>VLOOKUP(F772,Germplasm!$A$1:$B$21,2,FALSE)</f>
        <v>Heder</v>
      </c>
      <c r="F772" t="s">
        <v>77</v>
      </c>
      <c r="G772" s="6" t="s">
        <v>113</v>
      </c>
      <c r="H772">
        <v>55104.1</v>
      </c>
      <c r="I772">
        <v>387.774</v>
      </c>
      <c r="J772">
        <v>174027</v>
      </c>
      <c r="K772">
        <v>16.341699999999999</v>
      </c>
      <c r="L772">
        <v>81.0672</v>
      </c>
      <c r="M772">
        <v>1552.06</v>
      </c>
      <c r="N772">
        <v>543.82799999999997</v>
      </c>
      <c r="O772">
        <v>30761100</v>
      </c>
      <c r="P772">
        <v>0.18313299999999999</v>
      </c>
      <c r="Q772">
        <v>0.86276299999999995</v>
      </c>
      <c r="R772">
        <v>8.5656099999999995</v>
      </c>
      <c r="S772">
        <v>29.951799999999999</v>
      </c>
      <c r="T772">
        <v>41.221699999999998</v>
      </c>
      <c r="U772">
        <v>18.741499999999998</v>
      </c>
      <c r="V772">
        <v>0.65653799999999995</v>
      </c>
      <c r="W772">
        <v>84.182699999999997</v>
      </c>
      <c r="X772">
        <v>4.5264899999999999</v>
      </c>
      <c r="Y772">
        <v>13.980600000000001</v>
      </c>
      <c r="Z772">
        <v>15.553900000000001</v>
      </c>
      <c r="AA772">
        <v>29.147099999999998</v>
      </c>
      <c r="AB772">
        <v>23.890699999999999</v>
      </c>
      <c r="AC772">
        <v>12.901199999999999</v>
      </c>
      <c r="AD772">
        <v>1.93763</v>
      </c>
      <c r="AE772">
        <v>8.4005600000000005</v>
      </c>
      <c r="AF772">
        <v>0</v>
      </c>
      <c r="AG772">
        <v>98.3583</v>
      </c>
      <c r="AH772">
        <v>1.61436</v>
      </c>
      <c r="AI772">
        <v>2.7389299999999998E-2</v>
      </c>
      <c r="AJ772">
        <v>0</v>
      </c>
      <c r="AK772">
        <v>0</v>
      </c>
      <c r="AL772">
        <v>0.33846399999999999</v>
      </c>
      <c r="AM772">
        <v>3.43736</v>
      </c>
      <c r="AN772">
        <v>18.212299999999999</v>
      </c>
      <c r="AO772">
        <v>20.984999999999999</v>
      </c>
      <c r="AP772">
        <v>23.335699999999999</v>
      </c>
      <c r="AQ772">
        <v>24.913</v>
      </c>
      <c r="AR772">
        <v>9.1166099999999997</v>
      </c>
      <c r="AS772">
        <v>0.21224399999999999</v>
      </c>
      <c r="AT772">
        <v>1.14391</v>
      </c>
      <c r="AU772">
        <v>12.451700000000001</v>
      </c>
      <c r="AV772">
        <v>38.018799999999999</v>
      </c>
      <c r="AW772">
        <v>30.879000000000001</v>
      </c>
      <c r="AX772">
        <v>13.6487</v>
      </c>
      <c r="AY772">
        <v>3.8578700000000001</v>
      </c>
      <c r="AZ772">
        <v>558.23599999999999</v>
      </c>
      <c r="BA772">
        <v>612.59900000000005</v>
      </c>
      <c r="BB772">
        <v>28438.9</v>
      </c>
      <c r="BC772">
        <v>0.17810699999999999</v>
      </c>
      <c r="BD772">
        <v>2.5778200000000001E-2</v>
      </c>
      <c r="BE772">
        <v>0.186892</v>
      </c>
      <c r="BF772">
        <v>1.03274</v>
      </c>
      <c r="BG772">
        <v>12.348599999999999</v>
      </c>
      <c r="BH772">
        <v>49.172699999999999</v>
      </c>
      <c r="BI772">
        <v>37.233400000000003</v>
      </c>
      <c r="BJ772">
        <v>34.600499999999997</v>
      </c>
      <c r="BK772">
        <v>0</v>
      </c>
      <c r="BL772">
        <v>28.633099999999999</v>
      </c>
      <c r="BM772">
        <v>56.490499999999997</v>
      </c>
      <c r="BN772">
        <v>12.417</v>
      </c>
      <c r="BO772">
        <v>1.8447499999999999</v>
      </c>
      <c r="BP772">
        <v>0.61464799999999997</v>
      </c>
      <c r="BQ772">
        <v>31.105499999999999</v>
      </c>
      <c r="BR772">
        <v>124136</v>
      </c>
    </row>
    <row r="773" spans="1:70" x14ac:dyDescent="0.25">
      <c r="A773">
        <v>51</v>
      </c>
      <c r="B773" s="7">
        <v>46002.54650462963</v>
      </c>
      <c r="C773" t="s">
        <v>195</v>
      </c>
      <c r="D773" s="6" t="s">
        <v>407</v>
      </c>
      <c r="E773" s="6" t="str">
        <f>VLOOKUP(F773,Germplasm!$A$1:$B$21,2,FALSE)</f>
        <v>Heder</v>
      </c>
      <c r="F773" t="s">
        <v>77</v>
      </c>
      <c r="G773" s="6" t="s">
        <v>113</v>
      </c>
      <c r="H773">
        <v>29006.7</v>
      </c>
      <c r="I773">
        <v>394.80599999999998</v>
      </c>
      <c r="J773">
        <v>170185</v>
      </c>
      <c r="K773">
        <v>9.6484299999999994</v>
      </c>
      <c r="L773">
        <v>75.924099999999996</v>
      </c>
      <c r="M773">
        <v>1544.85</v>
      </c>
      <c r="N773">
        <v>553.20699999999999</v>
      </c>
      <c r="O773">
        <v>16379700</v>
      </c>
      <c r="P773">
        <v>0.121604</v>
      </c>
      <c r="Q773">
        <v>1.74112</v>
      </c>
      <c r="R773">
        <v>21.131799999999998</v>
      </c>
      <c r="S773">
        <v>34.7226</v>
      </c>
      <c r="T773">
        <v>29.565799999999999</v>
      </c>
      <c r="U773">
        <v>12.095599999999999</v>
      </c>
      <c r="V773">
        <v>0.743085</v>
      </c>
      <c r="W773">
        <v>70.226299999999995</v>
      </c>
      <c r="X773">
        <v>11.6447</v>
      </c>
      <c r="Y773">
        <v>20.278500000000001</v>
      </c>
      <c r="Z773">
        <v>13.3576</v>
      </c>
      <c r="AA773">
        <v>23.3675</v>
      </c>
      <c r="AB773">
        <v>15.319100000000001</v>
      </c>
      <c r="AC773">
        <v>16.032699999999998</v>
      </c>
      <c r="AD773">
        <v>1.7665299999999999</v>
      </c>
      <c r="AE773">
        <v>9.4964200000000005</v>
      </c>
      <c r="AF773">
        <v>0</v>
      </c>
      <c r="AG773">
        <v>96.433199999999999</v>
      </c>
      <c r="AH773">
        <v>3.5411800000000002</v>
      </c>
      <c r="AI773">
        <v>2.43424E-2</v>
      </c>
      <c r="AJ773">
        <v>1.28118E-3</v>
      </c>
      <c r="AK773">
        <v>0</v>
      </c>
      <c r="AL773">
        <v>0.27321800000000002</v>
      </c>
      <c r="AM773">
        <v>5.8178400000000003</v>
      </c>
      <c r="AN773">
        <v>28.470400000000001</v>
      </c>
      <c r="AO773">
        <v>21.3919</v>
      </c>
      <c r="AP773">
        <v>22.773</v>
      </c>
      <c r="AQ773">
        <v>15.712400000000001</v>
      </c>
      <c r="AR773">
        <v>5.8345000000000002</v>
      </c>
      <c r="AS773">
        <v>0.21015400000000001</v>
      </c>
      <c r="AT773">
        <v>1.68347</v>
      </c>
      <c r="AU773">
        <v>12.5633</v>
      </c>
      <c r="AV773">
        <v>34.5944</v>
      </c>
      <c r="AW773">
        <v>36.397100000000002</v>
      </c>
      <c r="AX773">
        <v>10.9041</v>
      </c>
      <c r="AY773">
        <v>3.85764</v>
      </c>
      <c r="AZ773">
        <v>564.68499999999995</v>
      </c>
      <c r="BA773">
        <v>616.79899999999998</v>
      </c>
      <c r="BB773">
        <v>16420.2</v>
      </c>
      <c r="BC773">
        <v>0.19624</v>
      </c>
      <c r="BD773">
        <v>6.5340200000000001E-2</v>
      </c>
      <c r="BE773">
        <v>0.37410500000000002</v>
      </c>
      <c r="BF773">
        <v>1.6450400000000001</v>
      </c>
      <c r="BG773">
        <v>12.1571</v>
      </c>
      <c r="BH773">
        <v>40.131700000000002</v>
      </c>
      <c r="BI773">
        <v>45.6267</v>
      </c>
      <c r="BJ773">
        <v>31.880199999999999</v>
      </c>
      <c r="BK773">
        <v>0</v>
      </c>
      <c r="BL773">
        <v>37.200400000000002</v>
      </c>
      <c r="BM773">
        <v>50.737299999999998</v>
      </c>
      <c r="BN773">
        <v>8.9862000000000002</v>
      </c>
      <c r="BO773">
        <v>2.1357300000000001</v>
      </c>
      <c r="BP773">
        <v>0.94038699999999997</v>
      </c>
      <c r="BQ773">
        <v>34.4998</v>
      </c>
      <c r="BR773">
        <v>78053</v>
      </c>
    </row>
    <row r="774" spans="1:70" x14ac:dyDescent="0.25">
      <c r="A774">
        <v>51</v>
      </c>
      <c r="B774" s="7">
        <v>46013.572685185187</v>
      </c>
      <c r="C774" t="s">
        <v>195</v>
      </c>
      <c r="D774" s="6" t="s">
        <v>408</v>
      </c>
      <c r="E774" s="6" t="str">
        <f>VLOOKUP(F774,Germplasm!$A$1:$B$21,2,FALSE)</f>
        <v>Heder</v>
      </c>
      <c r="F774" t="s">
        <v>77</v>
      </c>
      <c r="G774" s="6" t="s">
        <v>113</v>
      </c>
      <c r="H774">
        <v>48032.7</v>
      </c>
      <c r="I774">
        <v>425.613</v>
      </c>
      <c r="J774">
        <v>182051</v>
      </c>
      <c r="K774">
        <v>13.997199999999999</v>
      </c>
      <c r="L774">
        <v>93.133399999999995</v>
      </c>
      <c r="M774">
        <v>1573.78</v>
      </c>
      <c r="N774">
        <v>535.48099999999999</v>
      </c>
      <c r="O774">
        <v>26424500</v>
      </c>
      <c r="P774">
        <v>7.3382500000000003E-2</v>
      </c>
      <c r="Q774">
        <v>1.0717300000000001</v>
      </c>
      <c r="R774">
        <v>23.607900000000001</v>
      </c>
      <c r="S774">
        <v>52.594999999999999</v>
      </c>
      <c r="T774">
        <v>18.286799999999999</v>
      </c>
      <c r="U774">
        <v>4.3840500000000002</v>
      </c>
      <c r="V774">
        <v>5.4523799999999997E-2</v>
      </c>
      <c r="W774">
        <v>52.176699999999997</v>
      </c>
      <c r="X774">
        <v>12.795999999999999</v>
      </c>
      <c r="Y774">
        <v>35.167000000000002</v>
      </c>
      <c r="Z774">
        <v>23.354900000000001</v>
      </c>
      <c r="AA774">
        <v>15.241099999999999</v>
      </c>
      <c r="AB774">
        <v>4.4266500000000004</v>
      </c>
      <c r="AC774">
        <v>9.01431</v>
      </c>
      <c r="AD774">
        <v>1.88496</v>
      </c>
      <c r="AE774">
        <v>13.9437</v>
      </c>
      <c r="AF774">
        <v>0</v>
      </c>
      <c r="AG774">
        <v>89.016000000000005</v>
      </c>
      <c r="AH774">
        <v>10.6739</v>
      </c>
      <c r="AI774">
        <v>0.28539799999999999</v>
      </c>
      <c r="AJ774">
        <v>2.4706100000000002E-2</v>
      </c>
      <c r="AK774">
        <v>0</v>
      </c>
      <c r="AL774">
        <v>0.12920599999999999</v>
      </c>
      <c r="AM774">
        <v>14.351699999999999</v>
      </c>
      <c r="AN774">
        <v>48.862699999999997</v>
      </c>
      <c r="AO774">
        <v>24.3048</v>
      </c>
      <c r="AP774">
        <v>9.3210099999999994</v>
      </c>
      <c r="AQ774">
        <v>2.75345</v>
      </c>
      <c r="AR774">
        <v>0.40637200000000001</v>
      </c>
      <c r="AS774">
        <v>0.247507</v>
      </c>
      <c r="AT774">
        <v>0.739479</v>
      </c>
      <c r="AU774">
        <v>6.07599</v>
      </c>
      <c r="AV774">
        <v>27.704000000000001</v>
      </c>
      <c r="AW774">
        <v>52.3292</v>
      </c>
      <c r="AX774">
        <v>11.082800000000001</v>
      </c>
      <c r="AY774">
        <v>2.0684999999999998</v>
      </c>
      <c r="AZ774">
        <v>550.13699999999994</v>
      </c>
      <c r="BA774">
        <v>620.99900000000002</v>
      </c>
      <c r="BB774">
        <v>25482</v>
      </c>
      <c r="BC774">
        <v>0.29605999999999999</v>
      </c>
      <c r="BD774">
        <v>8.3489499999999994E-2</v>
      </c>
      <c r="BE774">
        <v>0.348441</v>
      </c>
      <c r="BF774">
        <v>1.0274300000000001</v>
      </c>
      <c r="BG774">
        <v>5.3552600000000004</v>
      </c>
      <c r="BH774">
        <v>19.323599999999999</v>
      </c>
      <c r="BI774">
        <v>73.861800000000002</v>
      </c>
      <c r="BJ774">
        <v>29.2591</v>
      </c>
      <c r="BK774">
        <v>0</v>
      </c>
      <c r="BL774">
        <v>39.798099999999998</v>
      </c>
      <c r="BM774">
        <v>53.309800000000003</v>
      </c>
      <c r="BN774">
        <v>5.7420299999999997</v>
      </c>
      <c r="BO774">
        <v>0.84341500000000003</v>
      </c>
      <c r="BP774">
        <v>0.30669600000000002</v>
      </c>
      <c r="BQ774">
        <v>32.073099999999997</v>
      </c>
      <c r="BR774">
        <v>117380</v>
      </c>
    </row>
    <row r="775" spans="1:70" x14ac:dyDescent="0.25">
      <c r="A775">
        <v>51</v>
      </c>
      <c r="B775" s="7">
        <v>46024.548402777778</v>
      </c>
      <c r="C775" t="s">
        <v>195</v>
      </c>
      <c r="D775" s="6" t="s">
        <v>409</v>
      </c>
      <c r="E775" s="6" t="str">
        <f>VLOOKUP(F775,Germplasm!$A$1:$B$21,2,FALSE)</f>
        <v>Heder</v>
      </c>
      <c r="F775" t="s">
        <v>77</v>
      </c>
      <c r="G775" s="6" t="s">
        <v>113</v>
      </c>
      <c r="H775">
        <v>41550.400000000001</v>
      </c>
      <c r="I775">
        <v>405.18799999999999</v>
      </c>
      <c r="J775">
        <v>129160</v>
      </c>
      <c r="K775">
        <v>17.2956</v>
      </c>
      <c r="L775">
        <v>72.551299999999998</v>
      </c>
      <c r="M775">
        <v>1387.56</v>
      </c>
      <c r="N775">
        <v>523.88800000000003</v>
      </c>
      <c r="O775">
        <v>22621100</v>
      </c>
      <c r="P775">
        <v>1.45442E-2</v>
      </c>
      <c r="Q775">
        <v>1.5922799999999999</v>
      </c>
      <c r="R775">
        <v>33.832700000000003</v>
      </c>
      <c r="S775">
        <v>61.818899999999999</v>
      </c>
      <c r="T775">
        <v>2.6429200000000002</v>
      </c>
      <c r="U775">
        <v>0.10234799999999999</v>
      </c>
      <c r="V775">
        <v>1.08688E-2</v>
      </c>
      <c r="W775">
        <v>37.521999999999998</v>
      </c>
      <c r="X775">
        <v>17.2913</v>
      </c>
      <c r="Y775">
        <v>52.242600000000003</v>
      </c>
      <c r="Z775">
        <v>13.229100000000001</v>
      </c>
      <c r="AA775">
        <v>4.1147400000000003</v>
      </c>
      <c r="AB775">
        <v>1.6194500000000001</v>
      </c>
      <c r="AC775">
        <v>11.502800000000001</v>
      </c>
      <c r="AD775">
        <v>1.85999</v>
      </c>
      <c r="AE775">
        <v>17.340900000000001</v>
      </c>
      <c r="AF775">
        <v>0</v>
      </c>
      <c r="AG775">
        <v>79.911799999999999</v>
      </c>
      <c r="AH775">
        <v>19.2178</v>
      </c>
      <c r="AI775">
        <v>0.84776499999999999</v>
      </c>
      <c r="AJ775">
        <v>2.2643300000000002E-2</v>
      </c>
      <c r="AK775">
        <v>0</v>
      </c>
      <c r="AL775">
        <v>3.9457100000000002E-2</v>
      </c>
      <c r="AM775">
        <v>34.991999999999997</v>
      </c>
      <c r="AN775">
        <v>50.896700000000003</v>
      </c>
      <c r="AO775">
        <v>10.6469</v>
      </c>
      <c r="AP775">
        <v>2.7389299999999999</v>
      </c>
      <c r="AQ775">
        <v>0.57061099999999998</v>
      </c>
      <c r="AR775">
        <v>0.15487999999999999</v>
      </c>
      <c r="AS775">
        <v>0.221689</v>
      </c>
      <c r="AT775">
        <v>1.5424599999999999</v>
      </c>
      <c r="AU775">
        <v>6.2359600000000004</v>
      </c>
      <c r="AV775">
        <v>30.6798</v>
      </c>
      <c r="AW775">
        <v>53.616599999999998</v>
      </c>
      <c r="AX775">
        <v>6.4352200000000002</v>
      </c>
      <c r="AY775">
        <v>1.48993</v>
      </c>
      <c r="AZ775">
        <v>544.42399999999998</v>
      </c>
      <c r="BA775">
        <v>590.399</v>
      </c>
      <c r="BB775">
        <v>22339.1</v>
      </c>
      <c r="BC775">
        <v>0.32865699999999998</v>
      </c>
      <c r="BD775">
        <v>0.25360500000000002</v>
      </c>
      <c r="BE775">
        <v>1.01623</v>
      </c>
      <c r="BF775">
        <v>1.70096</v>
      </c>
      <c r="BG775">
        <v>4.8067200000000003</v>
      </c>
      <c r="BH775">
        <v>13.545199999999999</v>
      </c>
      <c r="BI775">
        <v>78.677300000000002</v>
      </c>
      <c r="BJ775">
        <v>25.264399999999998</v>
      </c>
      <c r="BK775">
        <v>0</v>
      </c>
      <c r="BL775">
        <v>52.8902</v>
      </c>
      <c r="BM775">
        <v>43.850099999999998</v>
      </c>
      <c r="BN775">
        <v>2.4980099999999998</v>
      </c>
      <c r="BO775">
        <v>0.49996400000000002</v>
      </c>
      <c r="BP775">
        <v>0.26175599999999999</v>
      </c>
      <c r="BQ775">
        <v>32.552900000000001</v>
      </c>
      <c r="BR775">
        <v>110408</v>
      </c>
    </row>
    <row r="776" spans="1:70" x14ac:dyDescent="0.25">
      <c r="A776">
        <v>51</v>
      </c>
      <c r="B776" s="7">
        <v>45952.580914351849</v>
      </c>
      <c r="C776" t="s">
        <v>196</v>
      </c>
      <c r="D776" s="6" t="s">
        <v>401</v>
      </c>
      <c r="E776" s="6" t="str">
        <f>VLOOKUP(F776,Germplasm!$A$1:$B$21,2,FALSE)</f>
        <v>Tyra</v>
      </c>
      <c r="F776" t="s">
        <v>73</v>
      </c>
      <c r="G776" s="6" t="s">
        <v>113</v>
      </c>
      <c r="H776">
        <v>28681.9</v>
      </c>
      <c r="I776">
        <v>363.411</v>
      </c>
      <c r="J776">
        <v>112220</v>
      </c>
      <c r="K776">
        <v>14.491099999999999</v>
      </c>
      <c r="L776">
        <v>75.414500000000004</v>
      </c>
      <c r="M776">
        <v>1278.33</v>
      </c>
      <c r="N776">
        <v>463.25400000000002</v>
      </c>
      <c r="O776">
        <v>11820600</v>
      </c>
      <c r="P776">
        <v>0.243449</v>
      </c>
      <c r="Q776">
        <v>0.473387</v>
      </c>
      <c r="R776">
        <v>3.4901399999999998</v>
      </c>
      <c r="S776">
        <v>16.9756</v>
      </c>
      <c r="T776">
        <v>45.064399999999999</v>
      </c>
      <c r="U776">
        <v>33.628</v>
      </c>
      <c r="V776">
        <v>0.36857800000000002</v>
      </c>
      <c r="W776">
        <v>117.696</v>
      </c>
      <c r="X776">
        <v>0.92057199999999995</v>
      </c>
      <c r="Y776">
        <v>1.7939799999999999</v>
      </c>
      <c r="Z776">
        <v>3.4220100000000002</v>
      </c>
      <c r="AA776">
        <v>16.1965</v>
      </c>
      <c r="AB776">
        <v>39.369700000000002</v>
      </c>
      <c r="AC776">
        <v>38.297199999999997</v>
      </c>
      <c r="AD776">
        <v>1.7637499999999999</v>
      </c>
      <c r="AE776">
        <v>6.7191000000000001</v>
      </c>
      <c r="AF776">
        <v>0</v>
      </c>
      <c r="AG776">
        <v>99.980800000000002</v>
      </c>
      <c r="AH776">
        <v>1.9214999999999999E-2</v>
      </c>
      <c r="AI776">
        <v>0</v>
      </c>
      <c r="AJ776">
        <v>0</v>
      </c>
      <c r="AK776">
        <v>0</v>
      </c>
      <c r="AL776">
        <v>0.52620800000000001</v>
      </c>
      <c r="AM776">
        <v>0.448932</v>
      </c>
      <c r="AN776">
        <v>2.0891899999999999</v>
      </c>
      <c r="AO776">
        <v>5.1129300000000004</v>
      </c>
      <c r="AP776">
        <v>15.2218</v>
      </c>
      <c r="AQ776">
        <v>43.691400000000002</v>
      </c>
      <c r="AR776">
        <v>33.4358</v>
      </c>
      <c r="AS776">
        <v>3.52699E-2</v>
      </c>
      <c r="AT776">
        <v>6.5156299999999998</v>
      </c>
      <c r="AU776">
        <v>38.167900000000003</v>
      </c>
      <c r="AV776">
        <v>40.4056</v>
      </c>
      <c r="AW776">
        <v>11.37</v>
      </c>
      <c r="AX776">
        <v>2.1905100000000002</v>
      </c>
      <c r="AY776">
        <v>1.35029</v>
      </c>
      <c r="AZ776">
        <v>412.12799999999999</v>
      </c>
      <c r="BA776">
        <v>491.99900000000002</v>
      </c>
      <c r="BB776">
        <v>16261.9</v>
      </c>
      <c r="BC776">
        <v>1.18329E-2</v>
      </c>
      <c r="BD776">
        <v>2.9695900000000001E-2</v>
      </c>
      <c r="BE776">
        <v>0.32141399999999998</v>
      </c>
      <c r="BF776">
        <v>2.8071299999999999</v>
      </c>
      <c r="BG776">
        <v>41.525300000000001</v>
      </c>
      <c r="BH776">
        <v>50.781700000000001</v>
      </c>
      <c r="BI776">
        <v>4.5347400000000002</v>
      </c>
      <c r="BJ776">
        <v>32.320999999999998</v>
      </c>
      <c r="BK776">
        <v>0</v>
      </c>
      <c r="BL776">
        <v>30.569299999999998</v>
      </c>
      <c r="BM776">
        <v>60.153399999999998</v>
      </c>
      <c r="BN776">
        <v>8.1017299999999999</v>
      </c>
      <c r="BO776">
        <v>0.93454700000000002</v>
      </c>
      <c r="BP776">
        <v>0.241061</v>
      </c>
      <c r="BQ776">
        <v>34.562399999999997</v>
      </c>
      <c r="BR776">
        <v>57247</v>
      </c>
    </row>
    <row r="777" spans="1:70" x14ac:dyDescent="0.25">
      <c r="A777">
        <v>51</v>
      </c>
      <c r="B777" s="7">
        <v>45959.551342592589</v>
      </c>
      <c r="C777" t="s">
        <v>196</v>
      </c>
      <c r="D777" s="6" t="s">
        <v>402</v>
      </c>
      <c r="E777" s="6" t="str">
        <f>VLOOKUP(F777,Germplasm!$A$1:$B$21,2,FALSE)</f>
        <v>Tyra</v>
      </c>
      <c r="F777" t="s">
        <v>73</v>
      </c>
      <c r="G777" s="6" t="s">
        <v>113</v>
      </c>
      <c r="H777">
        <v>40571.599999999999</v>
      </c>
      <c r="I777">
        <v>450.71100000000001</v>
      </c>
      <c r="J777">
        <v>166105</v>
      </c>
      <c r="K777">
        <v>13.964499999999999</v>
      </c>
      <c r="L777">
        <v>63.257100000000001</v>
      </c>
      <c r="M777">
        <v>1561.03</v>
      </c>
      <c r="N777">
        <v>610.27599999999995</v>
      </c>
      <c r="O777">
        <v>20801600</v>
      </c>
      <c r="P777">
        <v>0.23136899999999999</v>
      </c>
      <c r="Q777">
        <v>0.70840899999999996</v>
      </c>
      <c r="R777">
        <v>4.03003</v>
      </c>
      <c r="S777">
        <v>19.869599999999998</v>
      </c>
      <c r="T777">
        <v>45.107100000000003</v>
      </c>
      <c r="U777">
        <v>29.531600000000001</v>
      </c>
      <c r="V777">
        <v>0.75319999999999998</v>
      </c>
      <c r="W777">
        <v>116.04600000000001</v>
      </c>
      <c r="X777">
        <v>1.32134</v>
      </c>
      <c r="Y777">
        <v>2.62147</v>
      </c>
      <c r="Z777">
        <v>4.50624</v>
      </c>
      <c r="AA777">
        <v>17.640699999999999</v>
      </c>
      <c r="AB777">
        <v>35.918999999999997</v>
      </c>
      <c r="AC777">
        <v>37.991199999999999</v>
      </c>
      <c r="AD777">
        <v>1.7491099999999999</v>
      </c>
      <c r="AE777">
        <v>6.8525900000000002</v>
      </c>
      <c r="AF777">
        <v>0</v>
      </c>
      <c r="AG777">
        <v>99.724199999999996</v>
      </c>
      <c r="AH777">
        <v>0.267569</v>
      </c>
      <c r="AI777">
        <v>8.2510199999999995E-3</v>
      </c>
      <c r="AJ777">
        <v>0</v>
      </c>
      <c r="AK777">
        <v>0</v>
      </c>
      <c r="AL777">
        <v>0.50581299999999996</v>
      </c>
      <c r="AM777">
        <v>0.78620400000000001</v>
      </c>
      <c r="AN777">
        <v>4.1290500000000003</v>
      </c>
      <c r="AO777">
        <v>7.2938999999999998</v>
      </c>
      <c r="AP777">
        <v>16.797899999999998</v>
      </c>
      <c r="AQ777">
        <v>39.363300000000002</v>
      </c>
      <c r="AR777">
        <v>31.6297</v>
      </c>
      <c r="AS777">
        <v>4.5299300000000001E-2</v>
      </c>
      <c r="AT777">
        <v>7.0463699999999996</v>
      </c>
      <c r="AU777">
        <v>36.433</v>
      </c>
      <c r="AV777">
        <v>39.1676</v>
      </c>
      <c r="AW777">
        <v>12.427199999999999</v>
      </c>
      <c r="AX777">
        <v>3.0186899999999999</v>
      </c>
      <c r="AY777">
        <v>1.90716</v>
      </c>
      <c r="AZ777">
        <v>512.71500000000003</v>
      </c>
      <c r="BA777">
        <v>587.99900000000002</v>
      </c>
      <c r="BB777">
        <v>23195.599999999999</v>
      </c>
      <c r="BC777">
        <v>2.17247E-2</v>
      </c>
      <c r="BD777">
        <v>9.6654799999999999E-2</v>
      </c>
      <c r="BE777">
        <v>0.46912900000000002</v>
      </c>
      <c r="BF777">
        <v>2.93147</v>
      </c>
      <c r="BG777">
        <v>39.980899999999998</v>
      </c>
      <c r="BH777">
        <v>49.0276</v>
      </c>
      <c r="BI777">
        <v>7.4942799999999998</v>
      </c>
      <c r="BJ777">
        <v>32.295200000000001</v>
      </c>
      <c r="BK777">
        <v>0</v>
      </c>
      <c r="BL777">
        <v>33.163200000000003</v>
      </c>
      <c r="BM777">
        <v>56.300199999999997</v>
      </c>
      <c r="BN777">
        <v>8.4844100000000005</v>
      </c>
      <c r="BO777">
        <v>1.1963999999999999</v>
      </c>
      <c r="BP777">
        <v>0.85574899999999998</v>
      </c>
      <c r="BQ777">
        <v>34.905799999999999</v>
      </c>
      <c r="BR777">
        <v>84838</v>
      </c>
    </row>
    <row r="778" spans="1:70" x14ac:dyDescent="0.25">
      <c r="A778">
        <v>51</v>
      </c>
      <c r="B778" s="7">
        <v>45966.528078703705</v>
      </c>
      <c r="C778" t="s">
        <v>196</v>
      </c>
      <c r="D778" s="6" t="s">
        <v>403</v>
      </c>
      <c r="E778" s="6" t="str">
        <f>VLOOKUP(F778,Germplasm!$A$1:$B$21,2,FALSE)</f>
        <v>Tyra</v>
      </c>
      <c r="F778" t="s">
        <v>73</v>
      </c>
      <c r="G778" s="6" t="s">
        <v>113</v>
      </c>
      <c r="H778">
        <v>50302.9</v>
      </c>
      <c r="I778">
        <v>480.68299999999999</v>
      </c>
      <c r="J778">
        <v>171422</v>
      </c>
      <c r="K778">
        <v>16.396899999999999</v>
      </c>
      <c r="L778">
        <v>81.592600000000004</v>
      </c>
      <c r="M778">
        <v>1519.15</v>
      </c>
      <c r="N778">
        <v>538.221</v>
      </c>
      <c r="O778">
        <v>28259400</v>
      </c>
      <c r="P778">
        <v>0.23474800000000001</v>
      </c>
      <c r="Q778">
        <v>0.72437399999999996</v>
      </c>
      <c r="R778">
        <v>3.9737900000000002</v>
      </c>
      <c r="S778">
        <v>19.773700000000002</v>
      </c>
      <c r="T778">
        <v>43.220700000000001</v>
      </c>
      <c r="U778">
        <v>31.5364</v>
      </c>
      <c r="V778">
        <v>0.77104700000000004</v>
      </c>
      <c r="W778">
        <v>107.191</v>
      </c>
      <c r="X778">
        <v>1.3983399999999999</v>
      </c>
      <c r="Y778">
        <v>3.3352900000000001</v>
      </c>
      <c r="Z778">
        <v>7.11585</v>
      </c>
      <c r="AA778">
        <v>25.429600000000001</v>
      </c>
      <c r="AB778">
        <v>36.874899999999997</v>
      </c>
      <c r="AC778">
        <v>25.846</v>
      </c>
      <c r="AD778">
        <v>1.7896399999999999</v>
      </c>
      <c r="AE778">
        <v>6.6519000000000004</v>
      </c>
      <c r="AF778">
        <v>0</v>
      </c>
      <c r="AG778">
        <v>99.7881</v>
      </c>
      <c r="AH778">
        <v>0.21096500000000001</v>
      </c>
      <c r="AI778">
        <v>9.3347099999999995E-4</v>
      </c>
      <c r="AJ778">
        <v>0</v>
      </c>
      <c r="AK778">
        <v>0</v>
      </c>
      <c r="AL778">
        <v>0.46365699999999999</v>
      </c>
      <c r="AM778">
        <v>1.06976</v>
      </c>
      <c r="AN778">
        <v>5.5513500000000002</v>
      </c>
      <c r="AO778">
        <v>11.0364</v>
      </c>
      <c r="AP778">
        <v>21.074100000000001</v>
      </c>
      <c r="AQ778">
        <v>39.910600000000002</v>
      </c>
      <c r="AR778">
        <v>21.357800000000001</v>
      </c>
      <c r="AS778">
        <v>0.107391</v>
      </c>
      <c r="AT778">
        <v>3.77216</v>
      </c>
      <c r="AU778">
        <v>26.2315</v>
      </c>
      <c r="AV778">
        <v>42.955599999999997</v>
      </c>
      <c r="AW778">
        <v>19.055</v>
      </c>
      <c r="AX778">
        <v>5.4038700000000004</v>
      </c>
      <c r="AY778">
        <v>2.5819800000000002</v>
      </c>
      <c r="AZ778">
        <v>561.78499999999997</v>
      </c>
      <c r="BA778">
        <v>626.399</v>
      </c>
      <c r="BB778">
        <v>28107.8</v>
      </c>
      <c r="BC778">
        <v>5.8320299999999999E-2</v>
      </c>
      <c r="BD778">
        <v>9.2413700000000001E-2</v>
      </c>
      <c r="BE778">
        <v>0.432197</v>
      </c>
      <c r="BF778">
        <v>2.2804700000000002</v>
      </c>
      <c r="BG778">
        <v>27.197600000000001</v>
      </c>
      <c r="BH778">
        <v>57.514000000000003</v>
      </c>
      <c r="BI778">
        <v>12.4833</v>
      </c>
      <c r="BJ778">
        <v>33.9176</v>
      </c>
      <c r="BK778">
        <v>0</v>
      </c>
      <c r="BL778">
        <v>30.190300000000001</v>
      </c>
      <c r="BM778">
        <v>56.1539</v>
      </c>
      <c r="BN778">
        <v>11.2241</v>
      </c>
      <c r="BO778">
        <v>1.3600699999999999</v>
      </c>
      <c r="BP778">
        <v>1.0716300000000001</v>
      </c>
      <c r="BQ778">
        <v>34.01</v>
      </c>
      <c r="BR778">
        <v>107127</v>
      </c>
    </row>
    <row r="779" spans="1:70" x14ac:dyDescent="0.25">
      <c r="A779">
        <v>51</v>
      </c>
      <c r="B779" s="7">
        <v>45973.577291666668</v>
      </c>
      <c r="C779" t="s">
        <v>196</v>
      </c>
      <c r="D779" s="6" t="s">
        <v>404</v>
      </c>
      <c r="E779" s="6" t="str">
        <f>VLOOKUP(F779,Germplasm!$A$1:$B$21,2,FALSE)</f>
        <v>Tyra</v>
      </c>
      <c r="F779" t="s">
        <v>73</v>
      </c>
      <c r="G779" s="6" t="s">
        <v>113</v>
      </c>
      <c r="H779">
        <v>81142.399999999994</v>
      </c>
      <c r="I779">
        <v>350.18</v>
      </c>
      <c r="J779">
        <v>272106</v>
      </c>
      <c r="K779">
        <v>16.5974</v>
      </c>
      <c r="L779">
        <v>54.640099999999997</v>
      </c>
      <c r="M779">
        <v>2060.59</v>
      </c>
      <c r="N779">
        <v>838.80499999999995</v>
      </c>
      <c r="O779">
        <v>29820300</v>
      </c>
      <c r="P779">
        <v>0.18904699999999999</v>
      </c>
      <c r="Q779">
        <v>0.94939300000000004</v>
      </c>
      <c r="R779">
        <v>9.1624199999999991</v>
      </c>
      <c r="S779">
        <v>28.137799999999999</v>
      </c>
      <c r="T779">
        <v>38.2288</v>
      </c>
      <c r="U779">
        <v>23.168099999999999</v>
      </c>
      <c r="V779">
        <v>0.35349799999999998</v>
      </c>
      <c r="W779">
        <v>92.419499999999999</v>
      </c>
      <c r="X779">
        <v>4.5972499999999998</v>
      </c>
      <c r="Y779">
        <v>10.809900000000001</v>
      </c>
      <c r="Z779">
        <v>10.8331</v>
      </c>
      <c r="AA779">
        <v>26.966799999999999</v>
      </c>
      <c r="AB779">
        <v>27.863299999999999</v>
      </c>
      <c r="AC779">
        <v>18.929600000000001</v>
      </c>
      <c r="AD779">
        <v>1.7966800000000001</v>
      </c>
      <c r="AE779">
        <v>10.7119</v>
      </c>
      <c r="AF779">
        <v>0</v>
      </c>
      <c r="AG779">
        <v>98.000200000000007</v>
      </c>
      <c r="AH779">
        <v>1.9576</v>
      </c>
      <c r="AI779">
        <v>3.9211500000000003E-2</v>
      </c>
      <c r="AJ779">
        <v>2.9705700000000001E-3</v>
      </c>
      <c r="AK779">
        <v>0</v>
      </c>
      <c r="AL779">
        <v>0.37531500000000001</v>
      </c>
      <c r="AM779">
        <v>1.8726499999999999</v>
      </c>
      <c r="AN779">
        <v>10.6774</v>
      </c>
      <c r="AO779">
        <v>20.094100000000001</v>
      </c>
      <c r="AP779">
        <v>30.3752</v>
      </c>
      <c r="AQ779">
        <v>27.172999999999998</v>
      </c>
      <c r="AR779">
        <v>9.8076299999999996</v>
      </c>
      <c r="AS779">
        <v>0.16492699999999999</v>
      </c>
      <c r="AT779">
        <v>2.1940599999999999</v>
      </c>
      <c r="AU779">
        <v>18.512599999999999</v>
      </c>
      <c r="AV779">
        <v>39.714700000000001</v>
      </c>
      <c r="AW779">
        <v>27.8384</v>
      </c>
      <c r="AX779">
        <v>8.8332800000000002</v>
      </c>
      <c r="AY779">
        <v>2.907</v>
      </c>
      <c r="AZ779">
        <v>367.50599999999997</v>
      </c>
      <c r="BA779">
        <v>388.79899999999998</v>
      </c>
      <c r="BB779">
        <v>45162.5</v>
      </c>
      <c r="BC779">
        <v>0.11915000000000001</v>
      </c>
      <c r="BD779">
        <v>6.3570100000000004E-2</v>
      </c>
      <c r="BE779">
        <v>0.37547999999999998</v>
      </c>
      <c r="BF779">
        <v>1.8673</v>
      </c>
      <c r="BG779">
        <v>18.400300000000001</v>
      </c>
      <c r="BH779">
        <v>52.0473</v>
      </c>
      <c r="BI779">
        <v>27.245999999999999</v>
      </c>
      <c r="BJ779">
        <v>33.176400000000001</v>
      </c>
      <c r="BK779">
        <v>0</v>
      </c>
      <c r="BL779">
        <v>33.645800000000001</v>
      </c>
      <c r="BM779">
        <v>52.643799999999999</v>
      </c>
      <c r="BN779">
        <v>11.605399999999999</v>
      </c>
      <c r="BO779">
        <v>1.4104300000000001</v>
      </c>
      <c r="BP779">
        <v>0.694519</v>
      </c>
      <c r="BQ779">
        <v>33.871099999999998</v>
      </c>
      <c r="BR779">
        <v>168318</v>
      </c>
    </row>
    <row r="780" spans="1:70" x14ac:dyDescent="0.25">
      <c r="A780">
        <v>51</v>
      </c>
      <c r="B780" s="7">
        <v>45988.592951388891</v>
      </c>
      <c r="C780" t="s">
        <v>196</v>
      </c>
      <c r="D780" s="6" t="s">
        <v>405</v>
      </c>
      <c r="E780" s="6" t="str">
        <f>VLOOKUP(F780,Germplasm!$A$1:$B$21,2,FALSE)</f>
        <v>Tyra</v>
      </c>
      <c r="F780" t="s">
        <v>73</v>
      </c>
      <c r="G780" s="6" t="s">
        <v>113</v>
      </c>
      <c r="H780">
        <v>70468.5</v>
      </c>
      <c r="I780">
        <v>283.685</v>
      </c>
      <c r="J780">
        <v>210197</v>
      </c>
      <c r="K780">
        <v>20.493200000000002</v>
      </c>
      <c r="L780">
        <v>75.544700000000006</v>
      </c>
      <c r="M780">
        <v>1755.28</v>
      </c>
      <c r="N780">
        <v>652.40899999999999</v>
      </c>
      <c r="O780">
        <v>32586100</v>
      </c>
      <c r="P780">
        <v>0.119016</v>
      </c>
      <c r="Q780">
        <v>1.97342</v>
      </c>
      <c r="R780">
        <v>17.370799999999999</v>
      </c>
      <c r="S780">
        <v>37.665999999999997</v>
      </c>
      <c r="T780">
        <v>31.301500000000001</v>
      </c>
      <c r="U780">
        <v>11.1868</v>
      </c>
      <c r="V780">
        <v>0.50146599999999997</v>
      </c>
      <c r="W780">
        <v>69.768699999999995</v>
      </c>
      <c r="X780">
        <v>10.102499999999999</v>
      </c>
      <c r="Y780">
        <v>23.421399999999998</v>
      </c>
      <c r="Z780">
        <v>14.420999999999999</v>
      </c>
      <c r="AA780">
        <v>26.266200000000001</v>
      </c>
      <c r="AB780">
        <v>13.966100000000001</v>
      </c>
      <c r="AC780">
        <v>11.822800000000001</v>
      </c>
      <c r="AD780">
        <v>1.63591</v>
      </c>
      <c r="AE780">
        <v>11.2463</v>
      </c>
      <c r="AF780">
        <v>0</v>
      </c>
      <c r="AG780">
        <v>95.137600000000006</v>
      </c>
      <c r="AH780">
        <v>4.8294100000000002</v>
      </c>
      <c r="AI780">
        <v>3.2447799999999999E-2</v>
      </c>
      <c r="AJ780">
        <v>5.8996000000000005E-4</v>
      </c>
      <c r="AK780">
        <v>0</v>
      </c>
      <c r="AL780">
        <v>0.28031499999999998</v>
      </c>
      <c r="AM780">
        <v>5.2122999999999999</v>
      </c>
      <c r="AN780">
        <v>23.7866</v>
      </c>
      <c r="AO780">
        <v>25.465</v>
      </c>
      <c r="AP780">
        <v>24.273900000000001</v>
      </c>
      <c r="AQ780">
        <v>17.165500000000002</v>
      </c>
      <c r="AR780">
        <v>4.0966800000000001</v>
      </c>
      <c r="AS780">
        <v>0.238319</v>
      </c>
      <c r="AT780">
        <v>1.3049900000000001</v>
      </c>
      <c r="AU780">
        <v>9.7219499999999996</v>
      </c>
      <c r="AV780">
        <v>32.532800000000002</v>
      </c>
      <c r="AW780">
        <v>38.855400000000003</v>
      </c>
      <c r="AX780">
        <v>13.0251</v>
      </c>
      <c r="AY780">
        <v>4.5598000000000001</v>
      </c>
      <c r="AZ780">
        <v>462.42099999999999</v>
      </c>
      <c r="BA780">
        <v>552.59900000000005</v>
      </c>
      <c r="BB780">
        <v>43075.9</v>
      </c>
      <c r="BC780">
        <v>0.20703299999999999</v>
      </c>
      <c r="BD780">
        <v>0.169319</v>
      </c>
      <c r="BE780">
        <v>0.48258699999999999</v>
      </c>
      <c r="BF780">
        <v>1.25543</v>
      </c>
      <c r="BG780">
        <v>9.11252</v>
      </c>
      <c r="BH780">
        <v>41.478900000000003</v>
      </c>
      <c r="BI780">
        <v>47.501199999999997</v>
      </c>
      <c r="BJ780">
        <v>33.556699999999999</v>
      </c>
      <c r="BK780">
        <v>0</v>
      </c>
      <c r="BL780">
        <v>33.233600000000003</v>
      </c>
      <c r="BM780">
        <v>54.061</v>
      </c>
      <c r="BN780">
        <v>8.9839099999999998</v>
      </c>
      <c r="BO780">
        <v>1.4330099999999999</v>
      </c>
      <c r="BP780">
        <v>2.2884600000000002</v>
      </c>
      <c r="BQ780">
        <v>37.738199999999999</v>
      </c>
      <c r="BR780">
        <v>169503</v>
      </c>
    </row>
    <row r="781" spans="1:70" x14ac:dyDescent="0.25">
      <c r="A781">
        <v>51</v>
      </c>
      <c r="B781" s="7">
        <v>45994.540277777778</v>
      </c>
      <c r="C781" t="s">
        <v>196</v>
      </c>
      <c r="D781" s="6" t="s">
        <v>406</v>
      </c>
      <c r="E781" s="6" t="str">
        <f>VLOOKUP(F781,Germplasm!$A$1:$B$21,2,FALSE)</f>
        <v>Tyra</v>
      </c>
      <c r="F781" t="s">
        <v>73</v>
      </c>
      <c r="G781" s="6" t="s">
        <v>113</v>
      </c>
      <c r="H781">
        <v>44595.4</v>
      </c>
      <c r="I781">
        <v>361.49900000000002</v>
      </c>
      <c r="J781">
        <v>142680</v>
      </c>
      <c r="K781">
        <v>16.6203</v>
      </c>
      <c r="L781">
        <v>79.943299999999994</v>
      </c>
      <c r="M781">
        <v>1470.69</v>
      </c>
      <c r="N781">
        <v>503.06</v>
      </c>
      <c r="O781">
        <v>21370100</v>
      </c>
      <c r="P781">
        <v>8.4745699999999993E-2</v>
      </c>
      <c r="Q781">
        <v>1.1587400000000001</v>
      </c>
      <c r="R781">
        <v>24.397200000000002</v>
      </c>
      <c r="S781">
        <v>44.890900000000002</v>
      </c>
      <c r="T781">
        <v>23.444700000000001</v>
      </c>
      <c r="U781">
        <v>5.9148699999999996</v>
      </c>
      <c r="V781">
        <v>0.19347700000000001</v>
      </c>
      <c r="W781">
        <v>57.180999999999997</v>
      </c>
      <c r="X781">
        <v>13.596500000000001</v>
      </c>
      <c r="Y781">
        <v>34.436799999999998</v>
      </c>
      <c r="Z781">
        <v>14.2163</v>
      </c>
      <c r="AA781">
        <v>20.210899999999999</v>
      </c>
      <c r="AB781">
        <v>8.4024300000000007</v>
      </c>
      <c r="AC781">
        <v>9.1370100000000001</v>
      </c>
      <c r="AD781">
        <v>1.88056</v>
      </c>
      <c r="AE781">
        <v>13.0619</v>
      </c>
      <c r="AF781">
        <v>0</v>
      </c>
      <c r="AG781">
        <v>92.637200000000007</v>
      </c>
      <c r="AH781">
        <v>7.3489399999999998</v>
      </c>
      <c r="AI781">
        <v>1.38198E-2</v>
      </c>
      <c r="AJ781">
        <v>0</v>
      </c>
      <c r="AK781">
        <v>0</v>
      </c>
      <c r="AL781">
        <v>0.206983</v>
      </c>
      <c r="AM781">
        <v>8.8765599999999996</v>
      </c>
      <c r="AN781">
        <v>35.6997</v>
      </c>
      <c r="AO781">
        <v>24.8246</v>
      </c>
      <c r="AP781">
        <v>20.328900000000001</v>
      </c>
      <c r="AQ781">
        <v>8.60229</v>
      </c>
      <c r="AR781">
        <v>1.66794</v>
      </c>
      <c r="AS781">
        <v>0.248307</v>
      </c>
      <c r="AT781">
        <v>0.92167399999999999</v>
      </c>
      <c r="AU781">
        <v>7.0906200000000004</v>
      </c>
      <c r="AV781">
        <v>29.993200000000002</v>
      </c>
      <c r="AW781">
        <v>45.434199999999997</v>
      </c>
      <c r="AX781">
        <v>13.368</v>
      </c>
      <c r="AY781">
        <v>3.1923699999999999</v>
      </c>
      <c r="AZ781">
        <v>479.2</v>
      </c>
      <c r="BA781">
        <v>517.19899999999996</v>
      </c>
      <c r="BB781">
        <v>23713.9</v>
      </c>
      <c r="BC781">
        <v>0.25358799999999998</v>
      </c>
      <c r="BD781">
        <v>0.16583700000000001</v>
      </c>
      <c r="BE781">
        <v>0.34124199999999999</v>
      </c>
      <c r="BF781">
        <v>0.99183600000000005</v>
      </c>
      <c r="BG781">
        <v>6.5101800000000001</v>
      </c>
      <c r="BH781">
        <v>31.284800000000001</v>
      </c>
      <c r="BI781">
        <v>60.706099999999999</v>
      </c>
      <c r="BJ781">
        <v>31.130199999999999</v>
      </c>
      <c r="BK781">
        <v>0</v>
      </c>
      <c r="BL781">
        <v>37.163499999999999</v>
      </c>
      <c r="BM781">
        <v>53.614400000000003</v>
      </c>
      <c r="BN781">
        <v>7.2171200000000004</v>
      </c>
      <c r="BO781">
        <v>1.16299</v>
      </c>
      <c r="BP781">
        <v>0.84194400000000003</v>
      </c>
      <c r="BQ781">
        <v>32.1569</v>
      </c>
      <c r="BR781">
        <v>94068</v>
      </c>
    </row>
    <row r="782" spans="1:70" x14ac:dyDescent="0.25">
      <c r="A782">
        <v>51</v>
      </c>
      <c r="B782" s="7">
        <v>46002.54650462963</v>
      </c>
      <c r="C782" t="s">
        <v>196</v>
      </c>
      <c r="D782" s="6" t="s">
        <v>407</v>
      </c>
      <c r="E782" s="6" t="str">
        <f>VLOOKUP(F782,Germplasm!$A$1:$B$21,2,FALSE)</f>
        <v>Tyra</v>
      </c>
      <c r="F782" t="s">
        <v>73</v>
      </c>
      <c r="G782" s="6" t="s">
        <v>113</v>
      </c>
      <c r="H782">
        <v>19639.2</v>
      </c>
      <c r="I782">
        <v>319.61</v>
      </c>
      <c r="J782">
        <v>128334</v>
      </c>
      <c r="K782">
        <v>9.3468599999999995</v>
      </c>
      <c r="L782">
        <v>59.695700000000002</v>
      </c>
      <c r="M782">
        <v>1378.94</v>
      </c>
      <c r="N782">
        <v>524.64599999999996</v>
      </c>
      <c r="O782">
        <v>8929830</v>
      </c>
      <c r="P782">
        <v>3.9754699999999997E-2</v>
      </c>
      <c r="Q782">
        <v>2.31453</v>
      </c>
      <c r="R782">
        <v>32.085799999999999</v>
      </c>
      <c r="S782">
        <v>50.323799999999999</v>
      </c>
      <c r="T782">
        <v>12.147600000000001</v>
      </c>
      <c r="U782">
        <v>2.9808599999999998</v>
      </c>
      <c r="V782">
        <v>0.14738200000000001</v>
      </c>
      <c r="W782">
        <v>45.087200000000003</v>
      </c>
      <c r="X782">
        <v>17.648499999999999</v>
      </c>
      <c r="Y782">
        <v>40.561300000000003</v>
      </c>
      <c r="Z782">
        <v>14.898099999999999</v>
      </c>
      <c r="AA782">
        <v>10.2836</v>
      </c>
      <c r="AB782">
        <v>4.2512600000000003</v>
      </c>
      <c r="AC782">
        <v>12.3573</v>
      </c>
      <c r="AD782">
        <v>1.6372599999999999</v>
      </c>
      <c r="AE782">
        <v>14.5975</v>
      </c>
      <c r="AF782">
        <v>0</v>
      </c>
      <c r="AG782">
        <v>88.720100000000002</v>
      </c>
      <c r="AH782">
        <v>11.2218</v>
      </c>
      <c r="AI782">
        <v>5.8122600000000003E-2</v>
      </c>
      <c r="AJ782">
        <v>0</v>
      </c>
      <c r="AK782">
        <v>0</v>
      </c>
      <c r="AL782">
        <v>0.16134699999999999</v>
      </c>
      <c r="AM782">
        <v>7.9399699999999998</v>
      </c>
      <c r="AN782">
        <v>47.423900000000003</v>
      </c>
      <c r="AO782">
        <v>29.3582</v>
      </c>
      <c r="AP782">
        <v>10.258599999999999</v>
      </c>
      <c r="AQ782">
        <v>3.99593</v>
      </c>
      <c r="AR782">
        <v>1.0233699999999999</v>
      </c>
      <c r="AS782">
        <v>0.25894600000000001</v>
      </c>
      <c r="AT782">
        <v>1.63781</v>
      </c>
      <c r="AU782">
        <v>7.66181</v>
      </c>
      <c r="AV782">
        <v>28.598400000000002</v>
      </c>
      <c r="AW782">
        <v>42.429499999999997</v>
      </c>
      <c r="AX782">
        <v>13.8955</v>
      </c>
      <c r="AY782">
        <v>5.77698</v>
      </c>
      <c r="AZ782">
        <v>454.69499999999999</v>
      </c>
      <c r="BA782">
        <v>506.99900000000002</v>
      </c>
      <c r="BB782">
        <v>11995.2</v>
      </c>
      <c r="BC782">
        <v>0.270567</v>
      </c>
      <c r="BD782">
        <v>0.38402500000000001</v>
      </c>
      <c r="BE782">
        <v>0.74313899999999999</v>
      </c>
      <c r="BF782">
        <v>1.55063</v>
      </c>
      <c r="BG782">
        <v>6.61768</v>
      </c>
      <c r="BH782">
        <v>22.5184</v>
      </c>
      <c r="BI782">
        <v>68.186199999999999</v>
      </c>
      <c r="BJ782">
        <v>30.648399999999999</v>
      </c>
      <c r="BK782">
        <v>0</v>
      </c>
      <c r="BL782">
        <v>42.292499999999997</v>
      </c>
      <c r="BM782">
        <v>46.246899999999997</v>
      </c>
      <c r="BN782">
        <v>8.0603599999999993</v>
      </c>
      <c r="BO782">
        <v>2.0426000000000002</v>
      </c>
      <c r="BP782">
        <v>1.35758</v>
      </c>
      <c r="BQ782">
        <v>37.655500000000004</v>
      </c>
      <c r="BR782">
        <v>48174</v>
      </c>
    </row>
    <row r="783" spans="1:70" x14ac:dyDescent="0.25">
      <c r="A783">
        <v>51</v>
      </c>
      <c r="B783" s="7">
        <v>46013.572685185187</v>
      </c>
      <c r="C783" t="s">
        <v>196</v>
      </c>
      <c r="D783" s="6" t="s">
        <v>408</v>
      </c>
      <c r="E783" s="6" t="str">
        <f>VLOOKUP(F783,Germplasm!$A$1:$B$21,2,FALSE)</f>
        <v>Tyra</v>
      </c>
      <c r="F783" t="s">
        <v>73</v>
      </c>
      <c r="G783" s="6" t="s">
        <v>113</v>
      </c>
      <c r="H783">
        <v>32565.8</v>
      </c>
      <c r="I783">
        <v>314.53500000000003</v>
      </c>
      <c r="J783">
        <v>115742</v>
      </c>
      <c r="K783">
        <v>15.373699999999999</v>
      </c>
      <c r="L783">
        <v>77.773300000000006</v>
      </c>
      <c r="M783">
        <v>1276.04</v>
      </c>
      <c r="N783">
        <v>434.88200000000001</v>
      </c>
      <c r="O783">
        <v>13213800</v>
      </c>
      <c r="P783">
        <v>1.8687700000000002E-2</v>
      </c>
      <c r="Q783">
        <v>1.32792</v>
      </c>
      <c r="R783">
        <v>33.408900000000003</v>
      </c>
      <c r="S783">
        <v>60.377800000000001</v>
      </c>
      <c r="T783">
        <v>4.2766099999999998</v>
      </c>
      <c r="U783">
        <v>0.567056</v>
      </c>
      <c r="V783">
        <v>4.1632000000000002E-2</v>
      </c>
      <c r="W783">
        <v>38.5304</v>
      </c>
      <c r="X783">
        <v>17.1997</v>
      </c>
      <c r="Y783">
        <v>57.803800000000003</v>
      </c>
      <c r="Z783">
        <v>10.686500000000001</v>
      </c>
      <c r="AA783">
        <v>4.4474400000000003</v>
      </c>
      <c r="AB783">
        <v>2.1605599999999998</v>
      </c>
      <c r="AC783">
        <v>7.7019200000000003</v>
      </c>
      <c r="AD783">
        <v>1.8301700000000001</v>
      </c>
      <c r="AE783">
        <v>18.786899999999999</v>
      </c>
      <c r="AF783">
        <v>0</v>
      </c>
      <c r="AG783">
        <v>75.788899999999998</v>
      </c>
      <c r="AH783">
        <v>24.136500000000002</v>
      </c>
      <c r="AI783">
        <v>7.4650400000000006E-2</v>
      </c>
      <c r="AJ783">
        <v>0</v>
      </c>
      <c r="AK783">
        <v>0</v>
      </c>
      <c r="AL783">
        <v>0.101525</v>
      </c>
      <c r="AM783">
        <v>15.635</v>
      </c>
      <c r="AN783">
        <v>58.119700000000002</v>
      </c>
      <c r="AO783">
        <v>19.399100000000001</v>
      </c>
      <c r="AP783">
        <v>5.1221699999999997</v>
      </c>
      <c r="AQ783">
        <v>1.29203</v>
      </c>
      <c r="AR783">
        <v>0.43211100000000002</v>
      </c>
      <c r="AS783">
        <v>0.25139899999999998</v>
      </c>
      <c r="AT783">
        <v>1.3049500000000001</v>
      </c>
      <c r="AU783">
        <v>4.32829</v>
      </c>
      <c r="AV783">
        <v>30.622499999999999</v>
      </c>
      <c r="AW783">
        <v>49.664099999999998</v>
      </c>
      <c r="AX783">
        <v>11.2722</v>
      </c>
      <c r="AY783">
        <v>2.8079999999999998</v>
      </c>
      <c r="AZ783">
        <v>405.75700000000001</v>
      </c>
      <c r="BA783">
        <v>423.59899999999999</v>
      </c>
      <c r="BB783">
        <v>17793.900000000001</v>
      </c>
      <c r="BC783">
        <v>0.30921300000000002</v>
      </c>
      <c r="BD783">
        <v>0.22969400000000001</v>
      </c>
      <c r="BE783">
        <v>0.74219800000000002</v>
      </c>
      <c r="BF783">
        <v>1.0293099999999999</v>
      </c>
      <c r="BG783">
        <v>3.6320299999999999</v>
      </c>
      <c r="BH783">
        <v>14.545400000000001</v>
      </c>
      <c r="BI783">
        <v>79.821399999999997</v>
      </c>
      <c r="BJ783">
        <v>27.7575</v>
      </c>
      <c r="BK783">
        <v>0</v>
      </c>
      <c r="BL783">
        <v>47.938499999999998</v>
      </c>
      <c r="BM783">
        <v>46.322000000000003</v>
      </c>
      <c r="BN783">
        <v>4.1545800000000002</v>
      </c>
      <c r="BO783">
        <v>1.02214</v>
      </c>
      <c r="BP783">
        <v>0.56274900000000005</v>
      </c>
      <c r="BQ783">
        <v>33.145099999999999</v>
      </c>
      <c r="BR783">
        <v>69658</v>
      </c>
    </row>
    <row r="784" spans="1:70" x14ac:dyDescent="0.25">
      <c r="A784">
        <v>51</v>
      </c>
      <c r="B784" s="7">
        <v>46024.548402777778</v>
      </c>
      <c r="C784" t="s">
        <v>196</v>
      </c>
      <c r="D784" s="6" t="s">
        <v>409</v>
      </c>
      <c r="E784" s="6" t="str">
        <f>VLOOKUP(F784,Germplasm!$A$1:$B$21,2,FALSE)</f>
        <v>Tyra</v>
      </c>
      <c r="F784" t="s">
        <v>73</v>
      </c>
      <c r="G784" s="6" t="s">
        <v>113</v>
      </c>
      <c r="H784">
        <v>31613.599999999999</v>
      </c>
      <c r="I784">
        <v>179.57599999999999</v>
      </c>
      <c r="J784">
        <v>102310</v>
      </c>
      <c r="K784">
        <v>17.459099999999999</v>
      </c>
      <c r="L784">
        <v>75.004800000000003</v>
      </c>
      <c r="M784">
        <v>1246.76</v>
      </c>
      <c r="N784">
        <v>457.66699999999997</v>
      </c>
      <c r="O784">
        <v>7916380</v>
      </c>
      <c r="P784">
        <v>7.5330600000000003E-3</v>
      </c>
      <c r="Q784">
        <v>1.1110500000000001</v>
      </c>
      <c r="R784">
        <v>40.011600000000001</v>
      </c>
      <c r="S784">
        <v>56.444400000000002</v>
      </c>
      <c r="T784">
        <v>2.17937</v>
      </c>
      <c r="U784">
        <v>0.22331300000000001</v>
      </c>
      <c r="V784">
        <v>3.03264E-2</v>
      </c>
      <c r="W784">
        <v>34.633299999999998</v>
      </c>
      <c r="X784">
        <v>21.2395</v>
      </c>
      <c r="Y784">
        <v>59.749899999999997</v>
      </c>
      <c r="Z784">
        <v>8.0365000000000002</v>
      </c>
      <c r="AA784">
        <v>3.14568</v>
      </c>
      <c r="AB784">
        <v>1.0090399999999999</v>
      </c>
      <c r="AC784">
        <v>6.8193099999999998</v>
      </c>
      <c r="AD784">
        <v>1.7698499999999999</v>
      </c>
      <c r="AE784">
        <v>20.561299999999999</v>
      </c>
      <c r="AF784">
        <v>0</v>
      </c>
      <c r="AG784">
        <v>70.825999999999993</v>
      </c>
      <c r="AH784">
        <v>28.952100000000002</v>
      </c>
      <c r="AI784">
        <v>0.22193399999999999</v>
      </c>
      <c r="AJ784">
        <v>0</v>
      </c>
      <c r="AK784">
        <v>0</v>
      </c>
      <c r="AL784">
        <v>9.2899599999999999E-2</v>
      </c>
      <c r="AM784">
        <v>16.744299999999999</v>
      </c>
      <c r="AN784">
        <v>59.397100000000002</v>
      </c>
      <c r="AO784">
        <v>18.224799999999998</v>
      </c>
      <c r="AP784">
        <v>4.0030900000000003</v>
      </c>
      <c r="AQ784">
        <v>1.1744600000000001</v>
      </c>
      <c r="AR784">
        <v>0.45627499999999999</v>
      </c>
      <c r="AS784">
        <v>0.261048</v>
      </c>
      <c r="AT784">
        <v>0.75264699999999995</v>
      </c>
      <c r="AU784">
        <v>3.7439300000000002</v>
      </c>
      <c r="AV784">
        <v>30.493200000000002</v>
      </c>
      <c r="AW784">
        <v>49.939300000000003</v>
      </c>
      <c r="AX784">
        <v>11.8149</v>
      </c>
      <c r="AY784">
        <v>3.2559499999999999</v>
      </c>
      <c r="AZ784">
        <v>250.41</v>
      </c>
      <c r="BA784">
        <v>266.399</v>
      </c>
      <c r="BB784">
        <v>17862.400000000001</v>
      </c>
      <c r="BC784">
        <v>0.32359399999999999</v>
      </c>
      <c r="BD784">
        <v>0.12681999999999999</v>
      </c>
      <c r="BE784">
        <v>0.44662600000000002</v>
      </c>
      <c r="BF784">
        <v>0.77883800000000003</v>
      </c>
      <c r="BG784">
        <v>3.1442999999999999</v>
      </c>
      <c r="BH784">
        <v>13.929500000000001</v>
      </c>
      <c r="BI784">
        <v>81.573899999999995</v>
      </c>
      <c r="BJ784">
        <v>27.7666</v>
      </c>
      <c r="BK784">
        <v>0</v>
      </c>
      <c r="BL784">
        <v>48.257599999999996</v>
      </c>
      <c r="BM784">
        <v>45.507599999999996</v>
      </c>
      <c r="BN784">
        <v>4.5241499999999997</v>
      </c>
      <c r="BO784">
        <v>1.1317299999999999</v>
      </c>
      <c r="BP784">
        <v>0.578959</v>
      </c>
      <c r="BQ784">
        <v>34.429699999999997</v>
      </c>
      <c r="BR784">
        <v>72544</v>
      </c>
    </row>
    <row r="785" spans="1:70" x14ac:dyDescent="0.25">
      <c r="A785">
        <v>51</v>
      </c>
      <c r="B785" s="7">
        <v>45952.580914351849</v>
      </c>
      <c r="C785" t="s">
        <v>194</v>
      </c>
      <c r="D785" s="6" t="s">
        <v>401</v>
      </c>
      <c r="E785" s="6" t="str">
        <f>VLOOKUP(F785,Germplasm!$A$1:$B$21,2,FALSE)</f>
        <v>Pernilla</v>
      </c>
      <c r="F785" t="s">
        <v>70</v>
      </c>
      <c r="G785" s="6" t="s">
        <v>113</v>
      </c>
      <c r="H785">
        <v>31183.5</v>
      </c>
      <c r="I785">
        <v>302.83</v>
      </c>
      <c r="J785">
        <v>110456</v>
      </c>
      <c r="K785">
        <v>16.294499999999999</v>
      </c>
      <c r="L785">
        <v>81.609700000000004</v>
      </c>
      <c r="M785">
        <v>1279.1600000000001</v>
      </c>
      <c r="N785">
        <v>474.26</v>
      </c>
      <c r="O785">
        <v>11446800</v>
      </c>
      <c r="P785">
        <v>0.243812</v>
      </c>
      <c r="Q785">
        <v>0.47883900000000001</v>
      </c>
      <c r="R785">
        <v>3.6372399999999998</v>
      </c>
      <c r="S785">
        <v>17.443000000000001</v>
      </c>
      <c r="T785">
        <v>43.832299999999996</v>
      </c>
      <c r="U785">
        <v>34.326500000000003</v>
      </c>
      <c r="V785">
        <v>0.28214400000000001</v>
      </c>
      <c r="W785">
        <v>115.42700000000001</v>
      </c>
      <c r="X785">
        <v>0.93349499999999996</v>
      </c>
      <c r="Y785">
        <v>1.99919</v>
      </c>
      <c r="Z785">
        <v>3.7146300000000001</v>
      </c>
      <c r="AA785">
        <v>17.581600000000002</v>
      </c>
      <c r="AB785">
        <v>41.312399999999997</v>
      </c>
      <c r="AC785">
        <v>34.4587</v>
      </c>
      <c r="AD785">
        <v>1.73258</v>
      </c>
      <c r="AE785">
        <v>6.6865800000000002</v>
      </c>
      <c r="AF785">
        <v>0</v>
      </c>
      <c r="AG785">
        <v>99.9452</v>
      </c>
      <c r="AH785">
        <v>5.3204399999999999E-2</v>
      </c>
      <c r="AI785">
        <v>1.61225E-3</v>
      </c>
      <c r="AJ785">
        <v>0</v>
      </c>
      <c r="AK785">
        <v>0</v>
      </c>
      <c r="AL785">
        <v>0.53335100000000002</v>
      </c>
      <c r="AM785">
        <v>0.45626800000000001</v>
      </c>
      <c r="AN785">
        <v>2.2103999999999999</v>
      </c>
      <c r="AO785">
        <v>5.3913700000000002</v>
      </c>
      <c r="AP785">
        <v>13.9008</v>
      </c>
      <c r="AQ785">
        <v>41.141500000000001</v>
      </c>
      <c r="AR785">
        <v>36.8996</v>
      </c>
      <c r="AS785">
        <v>4.3645099999999999E-2</v>
      </c>
      <c r="AT785">
        <v>6.2990700000000004</v>
      </c>
      <c r="AU785">
        <v>34.157200000000003</v>
      </c>
      <c r="AV785">
        <v>44.154800000000002</v>
      </c>
      <c r="AW785">
        <v>11.9903</v>
      </c>
      <c r="AX785">
        <v>2.41032</v>
      </c>
      <c r="AY785">
        <v>0.98831100000000005</v>
      </c>
      <c r="AZ785">
        <v>367.07900000000001</v>
      </c>
      <c r="BA785">
        <v>440.99900000000002</v>
      </c>
      <c r="BB785">
        <v>17998.3</v>
      </c>
      <c r="BC785">
        <v>1.6013699999999999E-2</v>
      </c>
      <c r="BD785">
        <v>4.9979799999999998E-2</v>
      </c>
      <c r="BE785">
        <v>0.37565500000000002</v>
      </c>
      <c r="BF785">
        <v>2.5392999999999999</v>
      </c>
      <c r="BG785">
        <v>37.491300000000003</v>
      </c>
      <c r="BH785">
        <v>55.392200000000003</v>
      </c>
      <c r="BI785">
        <v>4.1515500000000003</v>
      </c>
      <c r="BJ785">
        <v>32.319099999999999</v>
      </c>
      <c r="BK785">
        <v>0</v>
      </c>
      <c r="BL785">
        <v>30.606999999999999</v>
      </c>
      <c r="BM785">
        <v>60.146700000000003</v>
      </c>
      <c r="BN785">
        <v>8.3949999999999996</v>
      </c>
      <c r="BO785">
        <v>0.623942</v>
      </c>
      <c r="BP785">
        <v>0.227328</v>
      </c>
      <c r="BQ785">
        <v>35.279699999999998</v>
      </c>
      <c r="BR785">
        <v>62025</v>
      </c>
    </row>
    <row r="786" spans="1:70" x14ac:dyDescent="0.25">
      <c r="A786">
        <v>51</v>
      </c>
      <c r="B786" s="7">
        <v>45959.551342592589</v>
      </c>
      <c r="C786" t="s">
        <v>194</v>
      </c>
      <c r="D786" s="6" t="s">
        <v>402</v>
      </c>
      <c r="E786" s="6" t="str">
        <f>VLOOKUP(F786,Germplasm!$A$1:$B$21,2,FALSE)</f>
        <v>Pernilla</v>
      </c>
      <c r="F786" t="s">
        <v>70</v>
      </c>
      <c r="G786" s="6" t="s">
        <v>113</v>
      </c>
      <c r="H786">
        <v>39099.300000000003</v>
      </c>
      <c r="I786">
        <v>398.02</v>
      </c>
      <c r="J786">
        <v>145804</v>
      </c>
      <c r="K786">
        <v>14.9285</v>
      </c>
      <c r="L786">
        <v>74.503299999999996</v>
      </c>
      <c r="M786">
        <v>1440.86</v>
      </c>
      <c r="N786">
        <v>513.30899999999997</v>
      </c>
      <c r="O786">
        <v>18137100</v>
      </c>
      <c r="P786">
        <v>0.226273</v>
      </c>
      <c r="Q786">
        <v>0.80017000000000005</v>
      </c>
      <c r="R786">
        <v>4.2984099999999996</v>
      </c>
      <c r="S786">
        <v>21.863399999999999</v>
      </c>
      <c r="T786">
        <v>43.6768</v>
      </c>
      <c r="U786">
        <v>28.436</v>
      </c>
      <c r="V786">
        <v>0.92519700000000005</v>
      </c>
      <c r="W786">
        <v>119.482</v>
      </c>
      <c r="X786">
        <v>1.1777500000000001</v>
      </c>
      <c r="Y786">
        <v>2.2767300000000001</v>
      </c>
      <c r="Z786">
        <v>4.2321499999999999</v>
      </c>
      <c r="AA786">
        <v>15.179500000000001</v>
      </c>
      <c r="AB786">
        <v>34.162300000000002</v>
      </c>
      <c r="AC786">
        <v>42.971600000000002</v>
      </c>
      <c r="AD786">
        <v>1.7963100000000001</v>
      </c>
      <c r="AE786">
        <v>6.4202199999999996</v>
      </c>
      <c r="AF786">
        <v>0</v>
      </c>
      <c r="AG786">
        <v>99.851200000000006</v>
      </c>
      <c r="AH786">
        <v>0.14628099999999999</v>
      </c>
      <c r="AI786">
        <v>2.5005299999999999E-3</v>
      </c>
      <c r="AJ786">
        <v>0</v>
      </c>
      <c r="AK786">
        <v>0</v>
      </c>
      <c r="AL786">
        <v>0.52403900000000003</v>
      </c>
      <c r="AM786">
        <v>0.73140499999999997</v>
      </c>
      <c r="AN786">
        <v>3.1644199999999998</v>
      </c>
      <c r="AO786">
        <v>6.6726700000000001</v>
      </c>
      <c r="AP786">
        <v>15.520799999999999</v>
      </c>
      <c r="AQ786">
        <v>37.292900000000003</v>
      </c>
      <c r="AR786">
        <v>36.617800000000003</v>
      </c>
      <c r="AS786">
        <v>2.29537E-2</v>
      </c>
      <c r="AT786">
        <v>8.9319000000000006</v>
      </c>
      <c r="AU786">
        <v>39.329599999999999</v>
      </c>
      <c r="AV786">
        <v>37.6768</v>
      </c>
      <c r="AW786">
        <v>10.1334</v>
      </c>
      <c r="AX786">
        <v>2.23047</v>
      </c>
      <c r="AY786">
        <v>1.6978599999999999</v>
      </c>
      <c r="AZ786">
        <v>463.87299999999999</v>
      </c>
      <c r="BA786">
        <v>509.399</v>
      </c>
      <c r="BB786">
        <v>21766.5</v>
      </c>
      <c r="BC786">
        <v>4.8768600000000002E-3</v>
      </c>
      <c r="BD786">
        <v>8.2517499999999994E-2</v>
      </c>
      <c r="BE786">
        <v>0.52761199999999997</v>
      </c>
      <c r="BF786">
        <v>3.4169800000000001</v>
      </c>
      <c r="BG786">
        <v>44.234400000000001</v>
      </c>
      <c r="BH786">
        <v>46.354900000000001</v>
      </c>
      <c r="BI786">
        <v>5.3836399999999998</v>
      </c>
      <c r="BJ786">
        <v>31.6448</v>
      </c>
      <c r="BK786">
        <v>0</v>
      </c>
      <c r="BL786">
        <v>35.875100000000003</v>
      </c>
      <c r="BM786">
        <v>54.1828</v>
      </c>
      <c r="BN786">
        <v>7.7804000000000002</v>
      </c>
      <c r="BO786">
        <v>1.2115100000000001</v>
      </c>
      <c r="BP786">
        <v>0.95020199999999999</v>
      </c>
      <c r="BQ786">
        <v>33.86</v>
      </c>
      <c r="BR786">
        <v>79983</v>
      </c>
    </row>
    <row r="787" spans="1:70" x14ac:dyDescent="0.25">
      <c r="A787">
        <v>51</v>
      </c>
      <c r="B787" s="7">
        <v>45966.528078703705</v>
      </c>
      <c r="C787" t="s">
        <v>194</v>
      </c>
      <c r="D787" s="6" t="s">
        <v>403</v>
      </c>
      <c r="E787" s="6" t="str">
        <f>VLOOKUP(F787,Germplasm!$A$1:$B$21,2,FALSE)</f>
        <v>Pernilla</v>
      </c>
      <c r="F787" t="s">
        <v>70</v>
      </c>
      <c r="G787" s="6" t="s">
        <v>113</v>
      </c>
      <c r="H787">
        <v>45950.1</v>
      </c>
      <c r="I787">
        <v>424.73700000000002</v>
      </c>
      <c r="J787">
        <v>148924</v>
      </c>
      <c r="K787">
        <v>16.784500000000001</v>
      </c>
      <c r="L787">
        <v>84.105699999999999</v>
      </c>
      <c r="M787">
        <v>1465.69</v>
      </c>
      <c r="N787">
        <v>528.60799999999995</v>
      </c>
      <c r="O787">
        <v>24077100</v>
      </c>
      <c r="P787">
        <v>0.21960199999999999</v>
      </c>
      <c r="Q787">
        <v>0.93844899999999998</v>
      </c>
      <c r="R787">
        <v>4.8015400000000001</v>
      </c>
      <c r="S787">
        <v>23.87</v>
      </c>
      <c r="T787">
        <v>42.312199999999997</v>
      </c>
      <c r="U787">
        <v>26.8125</v>
      </c>
      <c r="V787">
        <v>1.26528</v>
      </c>
      <c r="W787">
        <v>105.208</v>
      </c>
      <c r="X787">
        <v>1.8769</v>
      </c>
      <c r="Y787">
        <v>6.7898300000000003</v>
      </c>
      <c r="Z787">
        <v>9.6892499999999995</v>
      </c>
      <c r="AA787">
        <v>22.260100000000001</v>
      </c>
      <c r="AB787">
        <v>29.793900000000001</v>
      </c>
      <c r="AC787">
        <v>29.59</v>
      </c>
      <c r="AD787">
        <v>1.83829</v>
      </c>
      <c r="AE787">
        <v>6.42232</v>
      </c>
      <c r="AF787">
        <v>0</v>
      </c>
      <c r="AG787">
        <v>99.820300000000003</v>
      </c>
      <c r="AH787">
        <v>0.16814299999999999</v>
      </c>
      <c r="AI787">
        <v>1.15598E-2</v>
      </c>
      <c r="AJ787">
        <v>0</v>
      </c>
      <c r="AK787">
        <v>0</v>
      </c>
      <c r="AL787">
        <v>0.47124500000000002</v>
      </c>
      <c r="AM787">
        <v>1.13812</v>
      </c>
      <c r="AN787">
        <v>5.8461299999999996</v>
      </c>
      <c r="AO787">
        <v>11.8993</v>
      </c>
      <c r="AP787">
        <v>19.7316</v>
      </c>
      <c r="AQ787">
        <v>34.7804</v>
      </c>
      <c r="AR787">
        <v>26.604500000000002</v>
      </c>
      <c r="AS787">
        <v>0.12021900000000001</v>
      </c>
      <c r="AT787">
        <v>5.2797000000000001</v>
      </c>
      <c r="AU787">
        <v>27.8718</v>
      </c>
      <c r="AV787">
        <v>35.236499999999999</v>
      </c>
      <c r="AW787">
        <v>18.948699999999999</v>
      </c>
      <c r="AX787">
        <v>8.6509699999999992</v>
      </c>
      <c r="AY787">
        <v>4.0123199999999999</v>
      </c>
      <c r="AZ787">
        <v>523.98299999999995</v>
      </c>
      <c r="BA787">
        <v>590.99900000000002</v>
      </c>
      <c r="BB787">
        <v>24996.2</v>
      </c>
      <c r="BC787">
        <v>6.9358500000000003E-2</v>
      </c>
      <c r="BD787">
        <v>7.4613499999999999E-2</v>
      </c>
      <c r="BE787">
        <v>0.42456199999999999</v>
      </c>
      <c r="BF787">
        <v>2.62093</v>
      </c>
      <c r="BG787">
        <v>30.027200000000001</v>
      </c>
      <c r="BH787">
        <v>49.530799999999999</v>
      </c>
      <c r="BI787">
        <v>17.321899999999999</v>
      </c>
      <c r="BJ787">
        <v>34.964799999999997</v>
      </c>
      <c r="BK787">
        <v>0</v>
      </c>
      <c r="BL787">
        <v>29.978899999999999</v>
      </c>
      <c r="BM787">
        <v>54.060099999999998</v>
      </c>
      <c r="BN787">
        <v>12.530900000000001</v>
      </c>
      <c r="BO787">
        <v>1.90422</v>
      </c>
      <c r="BP787">
        <v>1.5259</v>
      </c>
      <c r="BQ787">
        <v>32.991100000000003</v>
      </c>
      <c r="BR787">
        <v>95157</v>
      </c>
    </row>
    <row r="788" spans="1:70" x14ac:dyDescent="0.25">
      <c r="A788">
        <v>51</v>
      </c>
      <c r="B788" s="7">
        <v>45973.577291666668</v>
      </c>
      <c r="C788" t="s">
        <v>194</v>
      </c>
      <c r="D788" s="6" t="s">
        <v>404</v>
      </c>
      <c r="E788" s="6" t="str">
        <f>VLOOKUP(F788,Germplasm!$A$1:$B$21,2,FALSE)</f>
        <v>Pernilla</v>
      </c>
      <c r="F788" t="s">
        <v>70</v>
      </c>
      <c r="G788" s="6" t="s">
        <v>113</v>
      </c>
      <c r="H788">
        <v>69533.8</v>
      </c>
      <c r="I788">
        <v>437.31099999999998</v>
      </c>
      <c r="J788">
        <v>196807</v>
      </c>
      <c r="K788">
        <v>20.1252</v>
      </c>
      <c r="L788">
        <v>90.486500000000007</v>
      </c>
      <c r="M788">
        <v>1659.91</v>
      </c>
      <c r="N788">
        <v>572.61099999999999</v>
      </c>
      <c r="O788">
        <v>38161200</v>
      </c>
      <c r="P788">
        <v>0.20627300000000001</v>
      </c>
      <c r="Q788">
        <v>1.1187</v>
      </c>
      <c r="R788">
        <v>8.7331800000000008</v>
      </c>
      <c r="S788">
        <v>23.526499999999999</v>
      </c>
      <c r="T788">
        <v>37.392600000000002</v>
      </c>
      <c r="U788">
        <v>28.5397</v>
      </c>
      <c r="V788">
        <v>0.68921200000000005</v>
      </c>
      <c r="W788">
        <v>98.997399999999999</v>
      </c>
      <c r="X788">
        <v>4.5979000000000001</v>
      </c>
      <c r="Y788">
        <v>9.5001700000000007</v>
      </c>
      <c r="Z788">
        <v>7.4027700000000003</v>
      </c>
      <c r="AA788">
        <v>21.021999999999998</v>
      </c>
      <c r="AB788">
        <v>34.838700000000003</v>
      </c>
      <c r="AC788">
        <v>22.638500000000001</v>
      </c>
      <c r="AD788">
        <v>1.75556</v>
      </c>
      <c r="AE788">
        <v>7.6288</v>
      </c>
      <c r="AF788">
        <v>0</v>
      </c>
      <c r="AG788">
        <v>99.794399999999996</v>
      </c>
      <c r="AH788">
        <v>0.204261</v>
      </c>
      <c r="AI788">
        <v>1.35272E-3</v>
      </c>
      <c r="AJ788">
        <v>0</v>
      </c>
      <c r="AK788">
        <v>0</v>
      </c>
      <c r="AL788">
        <v>0.44416099999999997</v>
      </c>
      <c r="AM788">
        <v>1.45418</v>
      </c>
      <c r="AN788">
        <v>7.3425799999999999</v>
      </c>
      <c r="AO788">
        <v>15.030099999999999</v>
      </c>
      <c r="AP788">
        <v>19.3155</v>
      </c>
      <c r="AQ788">
        <v>34.508600000000001</v>
      </c>
      <c r="AR788">
        <v>22.349</v>
      </c>
      <c r="AS788">
        <v>0.137659</v>
      </c>
      <c r="AT788">
        <v>2.7798400000000001</v>
      </c>
      <c r="AU788">
        <v>23.234400000000001</v>
      </c>
      <c r="AV788">
        <v>40.746699999999997</v>
      </c>
      <c r="AW788">
        <v>22.625</v>
      </c>
      <c r="AX788">
        <v>7.6435599999999999</v>
      </c>
      <c r="AY788">
        <v>2.97058</v>
      </c>
      <c r="AZ788">
        <v>548.81600000000003</v>
      </c>
      <c r="BA788">
        <v>597.59900000000005</v>
      </c>
      <c r="BB788">
        <v>39607.800000000003</v>
      </c>
      <c r="BC788">
        <v>8.8867699999999994E-2</v>
      </c>
      <c r="BD788">
        <v>8.4545200000000001E-2</v>
      </c>
      <c r="BE788">
        <v>0.32262400000000002</v>
      </c>
      <c r="BF788">
        <v>1.7078100000000001</v>
      </c>
      <c r="BG788">
        <v>23.8979</v>
      </c>
      <c r="BH788">
        <v>54.479500000000002</v>
      </c>
      <c r="BI788">
        <v>19.5076</v>
      </c>
      <c r="BJ788">
        <v>34.064500000000002</v>
      </c>
      <c r="BK788">
        <v>0</v>
      </c>
      <c r="BL788">
        <v>29.930299999999999</v>
      </c>
      <c r="BM788">
        <v>56.798099999999998</v>
      </c>
      <c r="BN788">
        <v>10.7629</v>
      </c>
      <c r="BO788">
        <v>1.4156200000000001</v>
      </c>
      <c r="BP788">
        <v>1.093</v>
      </c>
      <c r="BQ788">
        <v>34.772199999999998</v>
      </c>
      <c r="BR788">
        <v>147850</v>
      </c>
    </row>
    <row r="789" spans="1:70" x14ac:dyDescent="0.25">
      <c r="A789">
        <v>51</v>
      </c>
      <c r="B789" s="7">
        <v>45988.592951388891</v>
      </c>
      <c r="C789" t="s">
        <v>194</v>
      </c>
      <c r="D789" s="6" t="s">
        <v>405</v>
      </c>
      <c r="E789" s="6" t="str">
        <f>VLOOKUP(F789,Germplasm!$A$1:$B$21,2,FALSE)</f>
        <v>Pernilla</v>
      </c>
      <c r="F789" t="s">
        <v>70</v>
      </c>
      <c r="G789" s="6" t="s">
        <v>113</v>
      </c>
      <c r="H789">
        <v>65875.8</v>
      </c>
      <c r="I789">
        <v>414.91199999999998</v>
      </c>
      <c r="J789">
        <v>134478</v>
      </c>
      <c r="K789">
        <v>30.305900000000001</v>
      </c>
      <c r="L789">
        <v>89.644800000000004</v>
      </c>
      <c r="M789">
        <v>1365.26</v>
      </c>
      <c r="N789">
        <v>452.23599999999999</v>
      </c>
      <c r="O789">
        <v>37434500</v>
      </c>
      <c r="P789">
        <v>0.13944300000000001</v>
      </c>
      <c r="Q789">
        <v>2.1579600000000001</v>
      </c>
      <c r="R789">
        <v>14.5153</v>
      </c>
      <c r="S789">
        <v>33.388800000000003</v>
      </c>
      <c r="T789">
        <v>34.459699999999998</v>
      </c>
      <c r="U789">
        <v>14.7357</v>
      </c>
      <c r="V789">
        <v>0.74249699999999996</v>
      </c>
      <c r="W789">
        <v>74.356999999999999</v>
      </c>
      <c r="X789">
        <v>8.5896299999999997</v>
      </c>
      <c r="Y789">
        <v>20.470800000000001</v>
      </c>
      <c r="Z789">
        <v>12.8186</v>
      </c>
      <c r="AA789">
        <v>30.083600000000001</v>
      </c>
      <c r="AB789">
        <v>16.900500000000001</v>
      </c>
      <c r="AC789">
        <v>11.136799999999999</v>
      </c>
      <c r="AD789">
        <v>1.61639</v>
      </c>
      <c r="AE789">
        <v>9.4586000000000006</v>
      </c>
      <c r="AF789">
        <v>0</v>
      </c>
      <c r="AG789">
        <v>97.737700000000004</v>
      </c>
      <c r="AH789">
        <v>2.2585299999999999</v>
      </c>
      <c r="AI789">
        <v>3.7249000000000002E-3</v>
      </c>
      <c r="AJ789">
        <v>0</v>
      </c>
      <c r="AK789">
        <v>0</v>
      </c>
      <c r="AL789">
        <v>0.32913100000000001</v>
      </c>
      <c r="AM789">
        <v>3.9931000000000001</v>
      </c>
      <c r="AN789">
        <v>18.810099999999998</v>
      </c>
      <c r="AO789">
        <v>22.031600000000001</v>
      </c>
      <c r="AP789">
        <v>22.780899999999999</v>
      </c>
      <c r="AQ789">
        <v>24.591200000000001</v>
      </c>
      <c r="AR789">
        <v>7.79312</v>
      </c>
      <c r="AS789">
        <v>0.24129900000000001</v>
      </c>
      <c r="AT789">
        <v>1.0634600000000001</v>
      </c>
      <c r="AU789">
        <v>9.7871799999999993</v>
      </c>
      <c r="AV789">
        <v>32.268799999999999</v>
      </c>
      <c r="AW789">
        <v>39.187199999999997</v>
      </c>
      <c r="AX789">
        <v>12.7628</v>
      </c>
      <c r="AY789">
        <v>4.9305300000000001</v>
      </c>
      <c r="AZ789">
        <v>568.25800000000004</v>
      </c>
      <c r="BA789">
        <v>653.399</v>
      </c>
      <c r="BB789">
        <v>40754.800000000003</v>
      </c>
      <c r="BC789">
        <v>0.193047</v>
      </c>
      <c r="BD789">
        <v>0.107401</v>
      </c>
      <c r="BE789">
        <v>0.25763900000000001</v>
      </c>
      <c r="BF789">
        <v>0.77167600000000003</v>
      </c>
      <c r="BG789">
        <v>9.6984100000000009</v>
      </c>
      <c r="BH789">
        <v>47.68</v>
      </c>
      <c r="BI789">
        <v>41.484900000000003</v>
      </c>
      <c r="BJ789">
        <v>35.055700000000002</v>
      </c>
      <c r="BK789">
        <v>0</v>
      </c>
      <c r="BL789">
        <v>29.3889</v>
      </c>
      <c r="BM789">
        <v>56.034999999999997</v>
      </c>
      <c r="BN789">
        <v>10.3546</v>
      </c>
      <c r="BO789">
        <v>1.7209099999999999</v>
      </c>
      <c r="BP789">
        <v>2.5006499999999998</v>
      </c>
      <c r="BQ789">
        <v>38.274000000000001</v>
      </c>
      <c r="BR789">
        <v>161078</v>
      </c>
    </row>
    <row r="790" spans="1:70" x14ac:dyDescent="0.25">
      <c r="A790">
        <v>51</v>
      </c>
      <c r="B790" s="7">
        <v>45994.540277777778</v>
      </c>
      <c r="C790" t="s">
        <v>194</v>
      </c>
      <c r="D790" s="6" t="s">
        <v>406</v>
      </c>
      <c r="E790" s="6" t="str">
        <f>VLOOKUP(F790,Germplasm!$A$1:$B$21,2,FALSE)</f>
        <v>Pernilla</v>
      </c>
      <c r="F790" t="s">
        <v>70</v>
      </c>
      <c r="G790" s="6" t="s">
        <v>113</v>
      </c>
      <c r="H790">
        <v>44454.2</v>
      </c>
      <c r="I790">
        <v>407.35899999999998</v>
      </c>
      <c r="J790">
        <v>99282.8</v>
      </c>
      <c r="K790">
        <v>25.821200000000001</v>
      </c>
      <c r="L790">
        <v>92.418899999999994</v>
      </c>
      <c r="M790">
        <v>1209.74</v>
      </c>
      <c r="N790">
        <v>415.79</v>
      </c>
      <c r="O790">
        <v>23986800</v>
      </c>
      <c r="P790">
        <v>9.6029000000000003E-2</v>
      </c>
      <c r="Q790">
        <v>1.1363099999999999</v>
      </c>
      <c r="R790">
        <v>20.5733</v>
      </c>
      <c r="S790">
        <v>46.983499999999999</v>
      </c>
      <c r="T790">
        <v>23.523900000000001</v>
      </c>
      <c r="U790">
        <v>7.5899000000000001</v>
      </c>
      <c r="V790">
        <v>0.19301399999999999</v>
      </c>
      <c r="W790">
        <v>57.7395</v>
      </c>
      <c r="X790">
        <v>10.9384</v>
      </c>
      <c r="Y790">
        <v>37.293300000000002</v>
      </c>
      <c r="Z790">
        <v>14.8819</v>
      </c>
      <c r="AA790">
        <v>19.6617</v>
      </c>
      <c r="AB790">
        <v>9.3804800000000004</v>
      </c>
      <c r="AC790">
        <v>7.8442800000000004</v>
      </c>
      <c r="AD790">
        <v>1.7340500000000001</v>
      </c>
      <c r="AE790">
        <v>11.4031</v>
      </c>
      <c r="AF790">
        <v>0</v>
      </c>
      <c r="AG790">
        <v>95.72</v>
      </c>
      <c r="AH790">
        <v>4.27996</v>
      </c>
      <c r="AI790">
        <v>0</v>
      </c>
      <c r="AJ790">
        <v>0</v>
      </c>
      <c r="AK790">
        <v>0</v>
      </c>
      <c r="AL790">
        <v>0.23913599999999999</v>
      </c>
      <c r="AM790">
        <v>6.2100999999999997</v>
      </c>
      <c r="AN790">
        <v>33.527999999999999</v>
      </c>
      <c r="AO790">
        <v>25.952000000000002</v>
      </c>
      <c r="AP790">
        <v>16.392299999999999</v>
      </c>
      <c r="AQ790">
        <v>14.621499999999999</v>
      </c>
      <c r="AR790">
        <v>3.2960799999999999</v>
      </c>
      <c r="AS790">
        <v>0.27476899999999999</v>
      </c>
      <c r="AT790">
        <v>0.516683</v>
      </c>
      <c r="AU790">
        <v>6.2863100000000003</v>
      </c>
      <c r="AV790">
        <v>26.395399999999999</v>
      </c>
      <c r="AW790">
        <v>43.711199999999998</v>
      </c>
      <c r="AX790">
        <v>19.366700000000002</v>
      </c>
      <c r="AY790">
        <v>3.7236799999999999</v>
      </c>
      <c r="AZ790">
        <v>539.58399999999995</v>
      </c>
      <c r="BA790">
        <v>619.19899999999996</v>
      </c>
      <c r="BB790">
        <v>25636</v>
      </c>
      <c r="BC790">
        <v>0.26754499999999998</v>
      </c>
      <c r="BD790">
        <v>2.27657E-2</v>
      </c>
      <c r="BE790">
        <v>0.15738099999999999</v>
      </c>
      <c r="BF790">
        <v>0.593889</v>
      </c>
      <c r="BG790">
        <v>6.0279699999999998</v>
      </c>
      <c r="BH790">
        <v>32.715400000000002</v>
      </c>
      <c r="BI790">
        <v>60.482599999999998</v>
      </c>
      <c r="BJ790">
        <v>33.707500000000003</v>
      </c>
      <c r="BK790">
        <v>0</v>
      </c>
      <c r="BL790">
        <v>28.965900000000001</v>
      </c>
      <c r="BM790">
        <v>59.603700000000003</v>
      </c>
      <c r="BN790">
        <v>9.4705499999999994</v>
      </c>
      <c r="BO790">
        <v>1.34219</v>
      </c>
      <c r="BP790">
        <v>0.61764399999999997</v>
      </c>
      <c r="BQ790">
        <v>35.256999999999998</v>
      </c>
      <c r="BR790">
        <v>101029</v>
      </c>
    </row>
    <row r="791" spans="1:70" x14ac:dyDescent="0.25">
      <c r="A791">
        <v>51</v>
      </c>
      <c r="B791" s="7">
        <v>46002.54650462963</v>
      </c>
      <c r="C791" t="s">
        <v>194</v>
      </c>
      <c r="D791" s="6" t="s">
        <v>407</v>
      </c>
      <c r="E791" s="6" t="str">
        <f>VLOOKUP(F791,Germplasm!$A$1:$B$21,2,FALSE)</f>
        <v>Pernilla</v>
      </c>
      <c r="F791" t="s">
        <v>70</v>
      </c>
      <c r="G791" s="6" t="s">
        <v>113</v>
      </c>
      <c r="H791">
        <v>27962</v>
      </c>
      <c r="I791">
        <v>482.14400000000001</v>
      </c>
      <c r="J791">
        <v>117830</v>
      </c>
      <c r="K791">
        <v>13.706099999999999</v>
      </c>
      <c r="L791">
        <v>69.653099999999995</v>
      </c>
      <c r="M791">
        <v>1279.25</v>
      </c>
      <c r="N791">
        <v>482.50799999999998</v>
      </c>
      <c r="O791">
        <v>15126500</v>
      </c>
      <c r="P791">
        <v>6.0140600000000002E-2</v>
      </c>
      <c r="Q791">
        <v>3.91506</v>
      </c>
      <c r="R791">
        <v>26.448699999999999</v>
      </c>
      <c r="S791">
        <v>45.381700000000002</v>
      </c>
      <c r="T791">
        <v>16.453800000000001</v>
      </c>
      <c r="U791">
        <v>6.72349</v>
      </c>
      <c r="V791">
        <v>1.0772299999999999</v>
      </c>
      <c r="W791">
        <v>51.961799999999997</v>
      </c>
      <c r="X791">
        <v>15.2135</v>
      </c>
      <c r="Y791">
        <v>34.487499999999997</v>
      </c>
      <c r="Z791">
        <v>13.8644</v>
      </c>
      <c r="AA791">
        <v>15.3354</v>
      </c>
      <c r="AB791">
        <v>7.3995199999999999</v>
      </c>
      <c r="AC791">
        <v>13.6998</v>
      </c>
      <c r="AD791">
        <v>1.7314000000000001</v>
      </c>
      <c r="AE791">
        <v>10.206899999999999</v>
      </c>
      <c r="AF791">
        <v>0</v>
      </c>
      <c r="AG791">
        <v>96.495000000000005</v>
      </c>
      <c r="AH791">
        <v>3.5035599999999998</v>
      </c>
      <c r="AI791">
        <v>1.46962E-3</v>
      </c>
      <c r="AJ791">
        <v>0</v>
      </c>
      <c r="AK791">
        <v>0</v>
      </c>
      <c r="AL791">
        <v>0.23519799999999999</v>
      </c>
      <c r="AM791">
        <v>4.7042400000000004</v>
      </c>
      <c r="AN791">
        <v>33.514600000000002</v>
      </c>
      <c r="AO791">
        <v>31.812799999999999</v>
      </c>
      <c r="AP791">
        <v>15.979100000000001</v>
      </c>
      <c r="AQ791">
        <v>9.4231800000000003</v>
      </c>
      <c r="AR791">
        <v>4.5660999999999996</v>
      </c>
      <c r="AS791">
        <v>0.27863300000000002</v>
      </c>
      <c r="AT791">
        <v>1.9060900000000001</v>
      </c>
      <c r="AU791">
        <v>8.6090099999999996</v>
      </c>
      <c r="AV791">
        <v>25.799099999999999</v>
      </c>
      <c r="AW791">
        <v>38.465699999999998</v>
      </c>
      <c r="AX791">
        <v>17.2974</v>
      </c>
      <c r="AY791">
        <v>7.9226999999999999</v>
      </c>
      <c r="AZ791">
        <v>540.96600000000001</v>
      </c>
      <c r="BA791">
        <v>615.59900000000005</v>
      </c>
      <c r="BB791">
        <v>16149.9</v>
      </c>
      <c r="BC791">
        <v>0.250778</v>
      </c>
      <c r="BD791">
        <v>0.33507199999999998</v>
      </c>
      <c r="BE791">
        <v>0.61429900000000004</v>
      </c>
      <c r="BF791">
        <v>1.6253899999999999</v>
      </c>
      <c r="BG791">
        <v>7.9256399999999996</v>
      </c>
      <c r="BH791">
        <v>28.9514</v>
      </c>
      <c r="BI791">
        <v>60.548200000000001</v>
      </c>
      <c r="BJ791">
        <v>35.228000000000002</v>
      </c>
      <c r="BK791">
        <v>0</v>
      </c>
      <c r="BL791">
        <v>34.610900000000001</v>
      </c>
      <c r="BM791">
        <v>48.739800000000002</v>
      </c>
      <c r="BN791">
        <v>9.8317300000000003</v>
      </c>
      <c r="BO791">
        <v>2.9554</v>
      </c>
      <c r="BP791">
        <v>3.8621500000000002</v>
      </c>
      <c r="BQ791">
        <v>35.303199999999997</v>
      </c>
      <c r="BR791">
        <v>68045</v>
      </c>
    </row>
    <row r="792" spans="1:70" x14ac:dyDescent="0.25">
      <c r="A792">
        <v>51</v>
      </c>
      <c r="B792" s="7">
        <v>46013.572685185187</v>
      </c>
      <c r="C792" t="s">
        <v>194</v>
      </c>
      <c r="D792" s="6" t="s">
        <v>408</v>
      </c>
      <c r="E792" s="6" t="str">
        <f>VLOOKUP(F792,Germplasm!$A$1:$B$21,2,FALSE)</f>
        <v>Pernilla</v>
      </c>
      <c r="F792" t="s">
        <v>70</v>
      </c>
      <c r="G792" s="6" t="s">
        <v>113</v>
      </c>
      <c r="H792">
        <v>35419.5</v>
      </c>
      <c r="I792">
        <v>431.08699999999999</v>
      </c>
      <c r="J792">
        <v>78483.399999999994</v>
      </c>
      <c r="K792">
        <v>24.452999999999999</v>
      </c>
      <c r="L792">
        <v>48.515000000000001</v>
      </c>
      <c r="M792">
        <v>1162.79</v>
      </c>
      <c r="N792">
        <v>471.05500000000001</v>
      </c>
      <c r="O792">
        <v>18141900</v>
      </c>
      <c r="P792">
        <v>1.70464E-2</v>
      </c>
      <c r="Q792">
        <v>2.1325599999999998</v>
      </c>
      <c r="R792">
        <v>33.751399999999997</v>
      </c>
      <c r="S792">
        <v>58.797899999999998</v>
      </c>
      <c r="T792">
        <v>4.3018200000000002</v>
      </c>
      <c r="U792">
        <v>0.92010199999999998</v>
      </c>
      <c r="V792">
        <v>9.61867E-2</v>
      </c>
      <c r="W792">
        <v>37.783999999999999</v>
      </c>
      <c r="X792">
        <v>18.279299999999999</v>
      </c>
      <c r="Y792">
        <v>55.264299999999999</v>
      </c>
      <c r="Z792">
        <v>12.8055</v>
      </c>
      <c r="AA792">
        <v>4.6448099999999997</v>
      </c>
      <c r="AB792">
        <v>1.37446</v>
      </c>
      <c r="AC792">
        <v>7.6316600000000001</v>
      </c>
      <c r="AD792">
        <v>1.84558</v>
      </c>
      <c r="AE792">
        <v>13.8653</v>
      </c>
      <c r="AF792">
        <v>0</v>
      </c>
      <c r="AG792">
        <v>93.169499999999999</v>
      </c>
      <c r="AH792">
        <v>6.8305199999999999</v>
      </c>
      <c r="AI792">
        <v>0</v>
      </c>
      <c r="AJ792">
        <v>0</v>
      </c>
      <c r="AK792">
        <v>0</v>
      </c>
      <c r="AL792">
        <v>0.13012399999999999</v>
      </c>
      <c r="AM792">
        <v>9.7680100000000003</v>
      </c>
      <c r="AN792">
        <v>53.308900000000001</v>
      </c>
      <c r="AO792">
        <v>29.328099999999999</v>
      </c>
      <c r="AP792">
        <v>5.41303</v>
      </c>
      <c r="AQ792">
        <v>1.53772</v>
      </c>
      <c r="AR792">
        <v>0.64419800000000005</v>
      </c>
      <c r="AS792">
        <v>0.289854</v>
      </c>
      <c r="AT792">
        <v>0.93781999999999999</v>
      </c>
      <c r="AU792">
        <v>4.2145000000000001</v>
      </c>
      <c r="AV792">
        <v>22.211500000000001</v>
      </c>
      <c r="AW792">
        <v>51.230800000000002</v>
      </c>
      <c r="AX792">
        <v>17.206</v>
      </c>
      <c r="AY792">
        <v>4.1993099999999997</v>
      </c>
      <c r="AZ792">
        <v>512.20000000000005</v>
      </c>
      <c r="BA792">
        <v>551.99900000000002</v>
      </c>
      <c r="BB792">
        <v>19191.5</v>
      </c>
      <c r="BC792">
        <v>0.32478099999999999</v>
      </c>
      <c r="BD792">
        <v>0.220217</v>
      </c>
      <c r="BE792">
        <v>0.44802799999999998</v>
      </c>
      <c r="BF792">
        <v>0.90111799999999997</v>
      </c>
      <c r="BG792">
        <v>3.5829499999999999</v>
      </c>
      <c r="BH792">
        <v>13.3522</v>
      </c>
      <c r="BI792">
        <v>81.495500000000007</v>
      </c>
      <c r="BJ792">
        <v>31.379000000000001</v>
      </c>
      <c r="BK792">
        <v>0</v>
      </c>
      <c r="BL792">
        <v>35.842199999999998</v>
      </c>
      <c r="BM792">
        <v>55.32</v>
      </c>
      <c r="BN792">
        <v>6.3065600000000002</v>
      </c>
      <c r="BO792">
        <v>1.4136899999999999</v>
      </c>
      <c r="BP792">
        <v>1.11754</v>
      </c>
      <c r="BQ792">
        <v>32.8354</v>
      </c>
      <c r="BR792">
        <v>79013</v>
      </c>
    </row>
    <row r="793" spans="1:70" x14ac:dyDescent="0.25">
      <c r="A793">
        <v>51</v>
      </c>
      <c r="B793" s="7">
        <v>46024.548402777778</v>
      </c>
      <c r="C793" t="s">
        <v>194</v>
      </c>
      <c r="D793" s="6" t="s">
        <v>409</v>
      </c>
      <c r="E793" s="6" t="str">
        <f>VLOOKUP(F793,Germplasm!$A$1:$B$21,2,FALSE)</f>
        <v>Pernilla</v>
      </c>
      <c r="F793" t="s">
        <v>70</v>
      </c>
      <c r="G793" s="6" t="s">
        <v>113</v>
      </c>
      <c r="H793">
        <v>38157.199999999997</v>
      </c>
      <c r="I793">
        <v>416.42599999999999</v>
      </c>
      <c r="J793">
        <v>87388.2</v>
      </c>
      <c r="K793">
        <v>23.629799999999999</v>
      </c>
      <c r="L793">
        <v>51.869</v>
      </c>
      <c r="M793">
        <v>1174.77</v>
      </c>
      <c r="N793">
        <v>465.39299999999997</v>
      </c>
      <c r="O793">
        <v>18369500</v>
      </c>
      <c r="P793">
        <v>2.9698799999999998E-3</v>
      </c>
      <c r="Q793">
        <v>1.52383</v>
      </c>
      <c r="R793">
        <v>41.377400000000002</v>
      </c>
      <c r="S793">
        <v>55.218699999999998</v>
      </c>
      <c r="T793">
        <v>1.63449</v>
      </c>
      <c r="U793">
        <v>0.20402300000000001</v>
      </c>
      <c r="V793">
        <v>4.1496199999999997E-2</v>
      </c>
      <c r="W793">
        <v>33.855400000000003</v>
      </c>
      <c r="X793">
        <v>22.584299999999999</v>
      </c>
      <c r="Y793">
        <v>58.498100000000001</v>
      </c>
      <c r="Z793">
        <v>8.4041300000000003</v>
      </c>
      <c r="AA793">
        <v>2.48055</v>
      </c>
      <c r="AB793">
        <v>1.0374000000000001</v>
      </c>
      <c r="AC793">
        <v>6.9955600000000002</v>
      </c>
      <c r="AD793">
        <v>1.8478300000000001</v>
      </c>
      <c r="AE793">
        <v>17.023499999999999</v>
      </c>
      <c r="AF793">
        <v>0</v>
      </c>
      <c r="AG793">
        <v>83.735799999999998</v>
      </c>
      <c r="AH793">
        <v>15.9184</v>
      </c>
      <c r="AI793">
        <v>0.34580100000000003</v>
      </c>
      <c r="AJ793">
        <v>0</v>
      </c>
      <c r="AK793">
        <v>0</v>
      </c>
      <c r="AL793">
        <v>9.6548099999999998E-2</v>
      </c>
      <c r="AM793">
        <v>14.810700000000001</v>
      </c>
      <c r="AN793">
        <v>60.337699999999998</v>
      </c>
      <c r="AO793">
        <v>20.2501</v>
      </c>
      <c r="AP793">
        <v>3.3669500000000001</v>
      </c>
      <c r="AQ793">
        <v>0.97285500000000003</v>
      </c>
      <c r="AR793">
        <v>0.261656</v>
      </c>
      <c r="AS793">
        <v>0.27498299999999998</v>
      </c>
      <c r="AT793">
        <v>0.68699200000000005</v>
      </c>
      <c r="AU793">
        <v>3.6931600000000002</v>
      </c>
      <c r="AV793">
        <v>27.009399999999999</v>
      </c>
      <c r="AW793">
        <v>50.387900000000002</v>
      </c>
      <c r="AX793">
        <v>14.9801</v>
      </c>
      <c r="AY793">
        <v>3.2424599999999999</v>
      </c>
      <c r="AZ793">
        <v>481.41500000000002</v>
      </c>
      <c r="BA793">
        <v>516.59900000000005</v>
      </c>
      <c r="BB793">
        <v>20649.7</v>
      </c>
      <c r="BC793">
        <v>0.33329399999999998</v>
      </c>
      <c r="BD793">
        <v>0.16944300000000001</v>
      </c>
      <c r="BE793">
        <v>0.441473</v>
      </c>
      <c r="BF793">
        <v>0.74693100000000001</v>
      </c>
      <c r="BG793">
        <v>3.0223</v>
      </c>
      <c r="BH793">
        <v>13.147399999999999</v>
      </c>
      <c r="BI793">
        <v>82.472499999999997</v>
      </c>
      <c r="BJ793">
        <v>29.1599</v>
      </c>
      <c r="BK793">
        <v>0</v>
      </c>
      <c r="BL793">
        <v>42.314599999999999</v>
      </c>
      <c r="BM793">
        <v>50.819000000000003</v>
      </c>
      <c r="BN793">
        <v>5.0902000000000003</v>
      </c>
      <c r="BO793">
        <v>1.1849499999999999</v>
      </c>
      <c r="BP793">
        <v>0.59131999999999996</v>
      </c>
      <c r="BQ793">
        <v>32.792700000000004</v>
      </c>
      <c r="BR793">
        <v>86755</v>
      </c>
    </row>
    <row r="794" spans="1:70" x14ac:dyDescent="0.25">
      <c r="A794">
        <v>52</v>
      </c>
      <c r="B794" s="7">
        <v>45952.581805555557</v>
      </c>
      <c r="C794" t="s">
        <v>201</v>
      </c>
      <c r="D794" s="6" t="s">
        <v>410</v>
      </c>
      <c r="E794" s="6" t="str">
        <f>VLOOKUP(F794,Germplasm!$A$1:$B$21,2,FALSE)</f>
        <v>Olve</v>
      </c>
      <c r="F794" t="s">
        <v>62</v>
      </c>
      <c r="G794" s="6" t="s">
        <v>113</v>
      </c>
      <c r="H794">
        <v>40630.5</v>
      </c>
      <c r="I794">
        <v>243.78100000000001</v>
      </c>
      <c r="J794">
        <v>141623</v>
      </c>
      <c r="K794">
        <v>17.2835</v>
      </c>
      <c r="L794">
        <v>81.739000000000004</v>
      </c>
      <c r="M794">
        <v>1443.92</v>
      </c>
      <c r="N794">
        <v>495.065</v>
      </c>
      <c r="O794">
        <v>13254100</v>
      </c>
      <c r="P794">
        <v>0.224554</v>
      </c>
      <c r="Q794">
        <v>0.39319300000000001</v>
      </c>
      <c r="R794">
        <v>6.4485999999999999</v>
      </c>
      <c r="S794">
        <v>22.555299999999999</v>
      </c>
      <c r="T794">
        <v>37.927700000000002</v>
      </c>
      <c r="U794">
        <v>32.387500000000003</v>
      </c>
      <c r="V794">
        <v>0.28778900000000002</v>
      </c>
      <c r="W794">
        <v>116.209</v>
      </c>
      <c r="X794">
        <v>2.0050500000000002</v>
      </c>
      <c r="Y794">
        <v>3.1609400000000001</v>
      </c>
      <c r="Z794">
        <v>4.3262999999999998</v>
      </c>
      <c r="AA794">
        <v>15.3535</v>
      </c>
      <c r="AB794">
        <v>37.2941</v>
      </c>
      <c r="AC794">
        <v>37.860199999999999</v>
      </c>
      <c r="AD794">
        <v>1.65991</v>
      </c>
      <c r="AE794">
        <v>13.217599999999999</v>
      </c>
      <c r="AF794">
        <v>0</v>
      </c>
      <c r="AG794">
        <v>90.860600000000005</v>
      </c>
      <c r="AH794">
        <v>0.90363199999999999</v>
      </c>
      <c r="AI794">
        <v>1.5822400000000001</v>
      </c>
      <c r="AJ794">
        <v>6.6534800000000001</v>
      </c>
      <c r="AK794">
        <v>0</v>
      </c>
      <c r="AL794">
        <v>0.48998799999999998</v>
      </c>
      <c r="AM794">
        <v>7.8164800000000003</v>
      </c>
      <c r="AN794">
        <v>4.34762</v>
      </c>
      <c r="AO794">
        <v>4.7893699999999999</v>
      </c>
      <c r="AP794">
        <v>10.7157</v>
      </c>
      <c r="AQ794">
        <v>33.9377</v>
      </c>
      <c r="AR794">
        <v>38.393099999999997</v>
      </c>
      <c r="AS794">
        <v>3.1251099999999997E-2</v>
      </c>
      <c r="AT794">
        <v>7.4978999999999996</v>
      </c>
      <c r="AU794">
        <v>35.967599999999997</v>
      </c>
      <c r="AV794">
        <v>42.2836</v>
      </c>
      <c r="AW794">
        <v>10.8614</v>
      </c>
      <c r="AX794">
        <v>2.3295499999999998</v>
      </c>
      <c r="AY794">
        <v>1.05996</v>
      </c>
      <c r="AZ794">
        <v>326.21199999999999</v>
      </c>
      <c r="BA794">
        <v>367.19900000000001</v>
      </c>
      <c r="BB794">
        <v>24477.4</v>
      </c>
      <c r="BC794">
        <v>4.1851400000000004E-3</v>
      </c>
      <c r="BD794">
        <v>0.53175700000000004</v>
      </c>
      <c r="BE794">
        <v>0.82901999999999998</v>
      </c>
      <c r="BF794">
        <v>2.9809199999999998</v>
      </c>
      <c r="BG794">
        <v>39.123800000000003</v>
      </c>
      <c r="BH794">
        <v>51.612400000000001</v>
      </c>
      <c r="BI794">
        <v>4.9220100000000002</v>
      </c>
      <c r="BJ794">
        <v>32.886499999999998</v>
      </c>
      <c r="BK794">
        <v>0</v>
      </c>
      <c r="BL794">
        <v>31.8687</v>
      </c>
      <c r="BM794">
        <v>56.945399999999999</v>
      </c>
      <c r="BN794">
        <v>9.1322500000000009</v>
      </c>
      <c r="BO794">
        <v>1.1547099999999999</v>
      </c>
      <c r="BP794">
        <v>0.898895</v>
      </c>
      <c r="BQ794">
        <v>37.082000000000001</v>
      </c>
      <c r="BR794">
        <v>84437</v>
      </c>
    </row>
    <row r="795" spans="1:70" x14ac:dyDescent="0.25">
      <c r="A795">
        <v>52</v>
      </c>
      <c r="B795" s="7">
        <v>45959.554652777777</v>
      </c>
      <c r="C795" t="s">
        <v>201</v>
      </c>
      <c r="D795" s="6" t="s">
        <v>411</v>
      </c>
      <c r="E795" s="6" t="str">
        <f>VLOOKUP(F795,Germplasm!$A$1:$B$21,2,FALSE)</f>
        <v>Olve</v>
      </c>
      <c r="F795" t="s">
        <v>62</v>
      </c>
      <c r="G795" s="6" t="s">
        <v>113</v>
      </c>
      <c r="H795">
        <v>48804.9</v>
      </c>
      <c r="I795">
        <v>346.096</v>
      </c>
      <c r="J795">
        <v>204348</v>
      </c>
      <c r="K795">
        <v>14.4468</v>
      </c>
      <c r="L795">
        <v>80.336100000000002</v>
      </c>
      <c r="M795">
        <v>1652.4</v>
      </c>
      <c r="N795">
        <v>571.178</v>
      </c>
      <c r="O795">
        <v>21118400</v>
      </c>
      <c r="P795">
        <v>0.22336500000000001</v>
      </c>
      <c r="Q795">
        <v>0.73904599999999998</v>
      </c>
      <c r="R795">
        <v>5.89086</v>
      </c>
      <c r="S795">
        <v>22.459800000000001</v>
      </c>
      <c r="T795">
        <v>38.956299999999999</v>
      </c>
      <c r="U795">
        <v>31.323399999999999</v>
      </c>
      <c r="V795">
        <v>0.63053599999999999</v>
      </c>
      <c r="W795">
        <v>119.776</v>
      </c>
      <c r="X795">
        <v>1.9013800000000001</v>
      </c>
      <c r="Y795">
        <v>2.71766</v>
      </c>
      <c r="Z795">
        <v>3.9337599999999999</v>
      </c>
      <c r="AA795">
        <v>13.4651</v>
      </c>
      <c r="AB795">
        <v>34.739100000000001</v>
      </c>
      <c r="AC795">
        <v>43.243000000000002</v>
      </c>
      <c r="AD795">
        <v>1.6531800000000001</v>
      </c>
      <c r="AE795">
        <v>11.565099999999999</v>
      </c>
      <c r="AF795">
        <v>0</v>
      </c>
      <c r="AG795">
        <v>92.845100000000002</v>
      </c>
      <c r="AH795">
        <v>0.83191599999999999</v>
      </c>
      <c r="AI795">
        <v>1.20828</v>
      </c>
      <c r="AJ795">
        <v>5.1146700000000003</v>
      </c>
      <c r="AK795">
        <v>0</v>
      </c>
      <c r="AL795">
        <v>0.50030799999999997</v>
      </c>
      <c r="AM795">
        <v>6.4862099999999998</v>
      </c>
      <c r="AN795">
        <v>4.2602700000000002</v>
      </c>
      <c r="AO795">
        <v>5.1195599999999999</v>
      </c>
      <c r="AP795">
        <v>11.5588</v>
      </c>
      <c r="AQ795">
        <v>32.781999999999996</v>
      </c>
      <c r="AR795">
        <v>39.793100000000003</v>
      </c>
      <c r="AS795">
        <v>1.5097599999999999E-2</v>
      </c>
      <c r="AT795">
        <v>9.3006399999999996</v>
      </c>
      <c r="AU795">
        <v>39.729599999999998</v>
      </c>
      <c r="AV795">
        <v>38.051099999999998</v>
      </c>
      <c r="AW795">
        <v>9.4120899999999992</v>
      </c>
      <c r="AX795">
        <v>2.1115599999999999</v>
      </c>
      <c r="AY795">
        <v>1.395</v>
      </c>
      <c r="AZ795">
        <v>432.71199999999999</v>
      </c>
      <c r="BA795">
        <v>475.49900000000002</v>
      </c>
      <c r="BB795">
        <v>29521.9</v>
      </c>
      <c r="BC795">
        <v>-6.4402599999999997E-3</v>
      </c>
      <c r="BD795">
        <v>0.57481400000000005</v>
      </c>
      <c r="BE795">
        <v>0.90621099999999999</v>
      </c>
      <c r="BF795">
        <v>3.6815500000000001</v>
      </c>
      <c r="BG795">
        <v>43.866700000000002</v>
      </c>
      <c r="BH795">
        <v>45.975299999999997</v>
      </c>
      <c r="BI795">
        <v>4.9954099999999997</v>
      </c>
      <c r="BJ795">
        <v>33.007599999999996</v>
      </c>
      <c r="BK795">
        <v>0</v>
      </c>
      <c r="BL795">
        <v>32.642200000000003</v>
      </c>
      <c r="BM795">
        <v>55.648400000000002</v>
      </c>
      <c r="BN795">
        <v>8.98</v>
      </c>
      <c r="BO795">
        <v>1.3177700000000001</v>
      </c>
      <c r="BP795">
        <v>1.4116200000000001</v>
      </c>
      <c r="BQ795">
        <v>37.266500000000001</v>
      </c>
      <c r="BR795">
        <v>102294</v>
      </c>
    </row>
    <row r="796" spans="1:70" x14ac:dyDescent="0.25">
      <c r="A796">
        <v>52</v>
      </c>
      <c r="B796" s="7">
        <v>45966.526516203703</v>
      </c>
      <c r="C796" t="s">
        <v>201</v>
      </c>
      <c r="D796" s="6" t="s">
        <v>412</v>
      </c>
      <c r="E796" s="6" t="str">
        <f>VLOOKUP(F796,Germplasm!$A$1:$B$21,2,FALSE)</f>
        <v>Olve</v>
      </c>
      <c r="F796" t="s">
        <v>62</v>
      </c>
      <c r="G796" s="6" t="s">
        <v>113</v>
      </c>
      <c r="H796">
        <v>35374.300000000003</v>
      </c>
      <c r="I796">
        <v>409.66899999999998</v>
      </c>
      <c r="J796">
        <v>192828</v>
      </c>
      <c r="K796">
        <v>11.237</v>
      </c>
      <c r="L796">
        <v>80.409599999999998</v>
      </c>
      <c r="M796">
        <v>1630.56</v>
      </c>
      <c r="N796">
        <v>593.28099999999995</v>
      </c>
      <c r="O796">
        <v>18243900</v>
      </c>
      <c r="P796">
        <v>0.230458</v>
      </c>
      <c r="Q796">
        <v>0.27204299999999998</v>
      </c>
      <c r="R796">
        <v>4.6832099999999999</v>
      </c>
      <c r="S796">
        <v>21.994800000000001</v>
      </c>
      <c r="T796">
        <v>40.910699999999999</v>
      </c>
      <c r="U796">
        <v>31.5456</v>
      </c>
      <c r="V796">
        <v>0.59366399999999997</v>
      </c>
      <c r="W796">
        <v>109.154</v>
      </c>
      <c r="X796">
        <v>1.7809900000000001</v>
      </c>
      <c r="Y796">
        <v>5.2234800000000003</v>
      </c>
      <c r="Z796">
        <v>7.4939</v>
      </c>
      <c r="AA796">
        <v>19.173999999999999</v>
      </c>
      <c r="AB796">
        <v>35.285499999999999</v>
      </c>
      <c r="AC796">
        <v>31.042200000000001</v>
      </c>
      <c r="AD796">
        <v>1.63256</v>
      </c>
      <c r="AE796">
        <v>11.916</v>
      </c>
      <c r="AF796">
        <v>0</v>
      </c>
      <c r="AG796">
        <v>91.836200000000005</v>
      </c>
      <c r="AH796">
        <v>1.0830900000000001</v>
      </c>
      <c r="AI796">
        <v>1.1911400000000001</v>
      </c>
      <c r="AJ796">
        <v>5.8896100000000002</v>
      </c>
      <c r="AK796">
        <v>0</v>
      </c>
      <c r="AL796">
        <v>0.48089199999999999</v>
      </c>
      <c r="AM796">
        <v>9.1681100000000004</v>
      </c>
      <c r="AN796">
        <v>4.9590699999999996</v>
      </c>
      <c r="AO796">
        <v>5.9912999999999998</v>
      </c>
      <c r="AP796">
        <v>10.855</v>
      </c>
      <c r="AQ796">
        <v>28.3916</v>
      </c>
      <c r="AR796">
        <v>40.634900000000002</v>
      </c>
      <c r="AS796">
        <v>9.2647699999999999E-2</v>
      </c>
      <c r="AT796">
        <v>4.5865999999999998</v>
      </c>
      <c r="AU796">
        <v>31.1922</v>
      </c>
      <c r="AV796">
        <v>41.292099999999998</v>
      </c>
      <c r="AW796">
        <v>14.699199999999999</v>
      </c>
      <c r="AX796">
        <v>4.3666700000000001</v>
      </c>
      <c r="AY796">
        <v>3.86327</v>
      </c>
      <c r="AZ796">
        <v>515.74</v>
      </c>
      <c r="BA796">
        <v>602.4</v>
      </c>
      <c r="BB796">
        <v>21668</v>
      </c>
      <c r="BC796">
        <v>5.6429800000000002E-2</v>
      </c>
      <c r="BD796">
        <v>0.41442099999999998</v>
      </c>
      <c r="BE796">
        <v>0.27077200000000001</v>
      </c>
      <c r="BF796">
        <v>1.81786</v>
      </c>
      <c r="BG796">
        <v>33.273200000000003</v>
      </c>
      <c r="BH796">
        <v>53.035699999999999</v>
      </c>
      <c r="BI796">
        <v>11.1881</v>
      </c>
      <c r="BJ796">
        <v>34.750599999999999</v>
      </c>
      <c r="BK796">
        <v>0</v>
      </c>
      <c r="BL796">
        <v>29.422599999999999</v>
      </c>
      <c r="BM796">
        <v>56.793399999999998</v>
      </c>
      <c r="BN796">
        <v>9.7452500000000004</v>
      </c>
      <c r="BO796">
        <v>2.87425</v>
      </c>
      <c r="BP796">
        <v>1.16445</v>
      </c>
      <c r="BQ796">
        <v>37.811300000000003</v>
      </c>
      <c r="BR796">
        <v>78664</v>
      </c>
    </row>
    <row r="797" spans="1:70" x14ac:dyDescent="0.25">
      <c r="A797">
        <v>52</v>
      </c>
      <c r="B797" s="7">
        <v>45973.575659722221</v>
      </c>
      <c r="C797" t="s">
        <v>201</v>
      </c>
      <c r="D797" s="6" t="s">
        <v>413</v>
      </c>
      <c r="E797" s="6" t="str">
        <f>VLOOKUP(F797,Germplasm!$A$1:$B$21,2,FALSE)</f>
        <v>Olve</v>
      </c>
      <c r="F797" t="s">
        <v>62</v>
      </c>
      <c r="G797" s="6" t="s">
        <v>113</v>
      </c>
      <c r="H797">
        <v>78835</v>
      </c>
      <c r="I797">
        <v>431.61700000000002</v>
      </c>
      <c r="J797">
        <v>243676</v>
      </c>
      <c r="K797">
        <v>18.910599999999999</v>
      </c>
      <c r="L797">
        <v>73.051400000000001</v>
      </c>
      <c r="M797">
        <v>1835.09</v>
      </c>
      <c r="N797">
        <v>668.43399999999997</v>
      </c>
      <c r="O797">
        <v>41497700</v>
      </c>
      <c r="P797">
        <v>0.204619</v>
      </c>
      <c r="Q797">
        <v>0.66898000000000002</v>
      </c>
      <c r="R797">
        <v>6.9830500000000004</v>
      </c>
      <c r="S797">
        <v>26.206900000000001</v>
      </c>
      <c r="T797">
        <v>40.118600000000001</v>
      </c>
      <c r="U797">
        <v>25.3889</v>
      </c>
      <c r="V797">
        <v>0.63354600000000005</v>
      </c>
      <c r="W797">
        <v>106.7</v>
      </c>
      <c r="X797">
        <v>3.0400399999999999</v>
      </c>
      <c r="Y797">
        <v>7.1907699999999997</v>
      </c>
      <c r="Z797">
        <v>7.6495899999999999</v>
      </c>
      <c r="AA797">
        <v>19.523199999999999</v>
      </c>
      <c r="AB797">
        <v>30.735199999999999</v>
      </c>
      <c r="AC797">
        <v>31.8612</v>
      </c>
      <c r="AD797">
        <v>1.7108099999999999</v>
      </c>
      <c r="AE797">
        <v>10.5129</v>
      </c>
      <c r="AF797">
        <v>0</v>
      </c>
      <c r="AG797">
        <v>95.215699999999998</v>
      </c>
      <c r="AH797">
        <v>0.732518</v>
      </c>
      <c r="AI797">
        <v>0.71113499999999996</v>
      </c>
      <c r="AJ797">
        <v>3.3406199999999999</v>
      </c>
      <c r="AK797">
        <v>0</v>
      </c>
      <c r="AL797">
        <v>0.45211400000000002</v>
      </c>
      <c r="AM797">
        <v>5.0213200000000002</v>
      </c>
      <c r="AN797">
        <v>6.8950800000000001</v>
      </c>
      <c r="AO797">
        <v>10.631</v>
      </c>
      <c r="AP797">
        <v>16.823499999999999</v>
      </c>
      <c r="AQ797">
        <v>32.585700000000003</v>
      </c>
      <c r="AR797">
        <v>28.043399999999998</v>
      </c>
      <c r="AS797">
        <v>8.9620900000000003E-2</v>
      </c>
      <c r="AT797">
        <v>5.2485900000000001</v>
      </c>
      <c r="AU797">
        <v>30.7395</v>
      </c>
      <c r="AV797">
        <v>38.175199999999997</v>
      </c>
      <c r="AW797">
        <v>17.308599999999998</v>
      </c>
      <c r="AX797">
        <v>6.35501</v>
      </c>
      <c r="AY797">
        <v>2.1731199999999999</v>
      </c>
      <c r="AZ797">
        <v>526.38699999999994</v>
      </c>
      <c r="BA797">
        <v>590.99900000000002</v>
      </c>
      <c r="BB797">
        <v>46080.6</v>
      </c>
      <c r="BC797">
        <v>5.5580200000000003E-2</v>
      </c>
      <c r="BD797">
        <v>0.25720599999999999</v>
      </c>
      <c r="BE797">
        <v>0.52540900000000001</v>
      </c>
      <c r="BF797">
        <v>2.3179099999999999</v>
      </c>
      <c r="BG797">
        <v>32.887599999999999</v>
      </c>
      <c r="BH797">
        <v>48.738999999999997</v>
      </c>
      <c r="BI797">
        <v>15.2729</v>
      </c>
      <c r="BJ797">
        <v>32.873600000000003</v>
      </c>
      <c r="BK797">
        <v>0</v>
      </c>
      <c r="BL797">
        <v>33.299300000000002</v>
      </c>
      <c r="BM797">
        <v>54.988300000000002</v>
      </c>
      <c r="BN797">
        <v>9.1610600000000009</v>
      </c>
      <c r="BO797">
        <v>1.45282</v>
      </c>
      <c r="BP797">
        <v>1.0984700000000001</v>
      </c>
      <c r="BQ797">
        <v>35.822499999999998</v>
      </c>
      <c r="BR797">
        <v>163682</v>
      </c>
    </row>
    <row r="798" spans="1:70" x14ac:dyDescent="0.25">
      <c r="A798">
        <v>52</v>
      </c>
      <c r="B798" s="7">
        <v>45973.578483796293</v>
      </c>
      <c r="C798" t="s">
        <v>201</v>
      </c>
      <c r="D798" s="6" t="s">
        <v>414</v>
      </c>
      <c r="E798" s="6" t="str">
        <f>VLOOKUP(F798,Germplasm!$A$1:$B$21,2,FALSE)</f>
        <v>Olve</v>
      </c>
      <c r="F798" t="s">
        <v>62</v>
      </c>
      <c r="G798" s="6" t="s">
        <v>113</v>
      </c>
      <c r="H798">
        <v>81784.3</v>
      </c>
      <c r="I798">
        <v>426.947</v>
      </c>
      <c r="J798">
        <v>241736</v>
      </c>
      <c r="K798">
        <v>18.8689</v>
      </c>
      <c r="L798">
        <v>75.587199999999996</v>
      </c>
      <c r="M798">
        <v>1810.9</v>
      </c>
      <c r="N798">
        <v>654.26700000000005</v>
      </c>
      <c r="O798">
        <v>42899300</v>
      </c>
      <c r="P798">
        <v>0.20386899999999999</v>
      </c>
      <c r="Q798">
        <v>0.71507900000000002</v>
      </c>
      <c r="R798">
        <v>7.1262400000000001</v>
      </c>
      <c r="S798">
        <v>26.2136</v>
      </c>
      <c r="T798">
        <v>39.755299999999998</v>
      </c>
      <c r="U798">
        <v>25.621300000000002</v>
      </c>
      <c r="V798">
        <v>0.56838100000000003</v>
      </c>
      <c r="W798">
        <v>106.245</v>
      </c>
      <c r="X798">
        <v>3.24701</v>
      </c>
      <c r="Y798">
        <v>7.2888999999999999</v>
      </c>
      <c r="Z798">
        <v>7.6792800000000003</v>
      </c>
      <c r="AA798">
        <v>19.403500000000001</v>
      </c>
      <c r="AB798">
        <v>30.596800000000002</v>
      </c>
      <c r="AC798">
        <v>31.784500000000001</v>
      </c>
      <c r="AD798">
        <v>1.79301</v>
      </c>
      <c r="AE798">
        <v>10.489800000000001</v>
      </c>
      <c r="AF798">
        <v>0</v>
      </c>
      <c r="AG798">
        <v>95.303200000000004</v>
      </c>
      <c r="AH798">
        <v>0.64019499999999996</v>
      </c>
      <c r="AI798">
        <v>0.64387799999999995</v>
      </c>
      <c r="AJ798">
        <v>3.4127399999999999</v>
      </c>
      <c r="AK798">
        <v>0</v>
      </c>
      <c r="AL798">
        <v>0.45343499999999998</v>
      </c>
      <c r="AM798">
        <v>4.87052</v>
      </c>
      <c r="AN798">
        <v>6.82118</v>
      </c>
      <c r="AO798">
        <v>11.025700000000001</v>
      </c>
      <c r="AP798">
        <v>16.622399999999999</v>
      </c>
      <c r="AQ798">
        <v>32.2209</v>
      </c>
      <c r="AR798">
        <v>28.439299999999999</v>
      </c>
      <c r="AS798">
        <v>9.1579900000000006E-2</v>
      </c>
      <c r="AT798">
        <v>5.1651400000000001</v>
      </c>
      <c r="AU798">
        <v>30.626899999999999</v>
      </c>
      <c r="AV798">
        <v>38.041600000000003</v>
      </c>
      <c r="AW798">
        <v>17.464500000000001</v>
      </c>
      <c r="AX798">
        <v>6.4007300000000003</v>
      </c>
      <c r="AY798">
        <v>2.3011400000000002</v>
      </c>
      <c r="AZ798">
        <v>524.54200000000003</v>
      </c>
      <c r="BA798">
        <v>593.99900000000002</v>
      </c>
      <c r="BB798">
        <v>45612.800000000003</v>
      </c>
      <c r="BC798">
        <v>5.7702900000000001E-2</v>
      </c>
      <c r="BD798">
        <v>0.220355</v>
      </c>
      <c r="BE798">
        <v>0.46280700000000002</v>
      </c>
      <c r="BF798">
        <v>2.2311700000000001</v>
      </c>
      <c r="BG798">
        <v>32.877099999999999</v>
      </c>
      <c r="BH798">
        <v>48.702100000000002</v>
      </c>
      <c r="BI798">
        <v>15.506500000000001</v>
      </c>
      <c r="BJ798">
        <v>32.979399999999998</v>
      </c>
      <c r="BK798">
        <v>0</v>
      </c>
      <c r="BL798">
        <v>33.134900000000002</v>
      </c>
      <c r="BM798">
        <v>54.954900000000002</v>
      </c>
      <c r="BN798">
        <v>9.3027800000000003</v>
      </c>
      <c r="BO798">
        <v>1.47681</v>
      </c>
      <c r="BP798">
        <v>1.13062</v>
      </c>
      <c r="BQ798">
        <v>33.951999999999998</v>
      </c>
      <c r="BR798">
        <v>162919</v>
      </c>
    </row>
    <row r="799" spans="1:70" x14ac:dyDescent="0.25">
      <c r="A799">
        <v>52</v>
      </c>
      <c r="B799" s="7">
        <v>45988.594641203701</v>
      </c>
      <c r="C799" t="s">
        <v>201</v>
      </c>
      <c r="D799" s="6" t="s">
        <v>415</v>
      </c>
      <c r="E799" s="6" t="str">
        <f>VLOOKUP(F799,Germplasm!$A$1:$B$21,2,FALSE)</f>
        <v>Olve</v>
      </c>
      <c r="F799" t="s">
        <v>62</v>
      </c>
      <c r="G799" s="6" t="s">
        <v>113</v>
      </c>
      <c r="H799">
        <v>54148</v>
      </c>
      <c r="I799">
        <v>451.76299999999998</v>
      </c>
      <c r="J799">
        <v>181441</v>
      </c>
      <c r="K799">
        <v>16.863600000000002</v>
      </c>
      <c r="L799">
        <v>95.748800000000003</v>
      </c>
      <c r="M799">
        <v>1586.05</v>
      </c>
      <c r="N799">
        <v>541.21500000000003</v>
      </c>
      <c r="O799">
        <v>28924300</v>
      </c>
      <c r="P799">
        <v>0.124294</v>
      </c>
      <c r="Q799">
        <v>1.07369</v>
      </c>
      <c r="R799">
        <v>16.432099999999998</v>
      </c>
      <c r="S799">
        <v>39.031300000000002</v>
      </c>
      <c r="T799">
        <v>33.622900000000001</v>
      </c>
      <c r="U799">
        <v>9.5440100000000001</v>
      </c>
      <c r="V799">
        <v>0.29593199999999997</v>
      </c>
      <c r="W799">
        <v>76.578800000000001</v>
      </c>
      <c r="X799">
        <v>8.8371099999999991</v>
      </c>
      <c r="Y799">
        <v>21.117899999999999</v>
      </c>
      <c r="Z799">
        <v>13.588699999999999</v>
      </c>
      <c r="AA799">
        <v>22.877600000000001</v>
      </c>
      <c r="AB799">
        <v>15.3835</v>
      </c>
      <c r="AC799">
        <v>18.1952</v>
      </c>
      <c r="AD799">
        <v>1.76969</v>
      </c>
      <c r="AE799">
        <v>14.5723</v>
      </c>
      <c r="AF799">
        <v>0</v>
      </c>
      <c r="AG799">
        <v>90.705200000000005</v>
      </c>
      <c r="AH799">
        <v>3.7012299999999998</v>
      </c>
      <c r="AI799">
        <v>1.0136700000000001</v>
      </c>
      <c r="AJ799">
        <v>4.57986</v>
      </c>
      <c r="AK799">
        <v>0</v>
      </c>
      <c r="AL799">
        <v>0.27276800000000001</v>
      </c>
      <c r="AM799">
        <v>9.6248799999999992</v>
      </c>
      <c r="AN799">
        <v>23.926300000000001</v>
      </c>
      <c r="AO799">
        <v>22.2241</v>
      </c>
      <c r="AP799">
        <v>19.8841</v>
      </c>
      <c r="AQ799">
        <v>18.396999999999998</v>
      </c>
      <c r="AR799">
        <v>5.9436499999999999</v>
      </c>
      <c r="AS799">
        <v>0.191247</v>
      </c>
      <c r="AT799">
        <v>2.11904</v>
      </c>
      <c r="AU799">
        <v>16.165400000000002</v>
      </c>
      <c r="AV799">
        <v>32.845100000000002</v>
      </c>
      <c r="AW799">
        <v>34.438099999999999</v>
      </c>
      <c r="AX799">
        <v>11.873100000000001</v>
      </c>
      <c r="AY799">
        <v>2.5591900000000001</v>
      </c>
      <c r="AZ799">
        <v>534.17100000000005</v>
      </c>
      <c r="BA799">
        <v>619.19899999999996</v>
      </c>
      <c r="BB799">
        <v>30597.4</v>
      </c>
      <c r="BC799">
        <v>0.17674799999999999</v>
      </c>
      <c r="BD799">
        <v>0.40180100000000002</v>
      </c>
      <c r="BE799">
        <v>0.53351099999999996</v>
      </c>
      <c r="BF799">
        <v>1.58053</v>
      </c>
      <c r="BG799">
        <v>15.768599999999999</v>
      </c>
      <c r="BH799">
        <v>38.900500000000001</v>
      </c>
      <c r="BI799">
        <v>42.815100000000001</v>
      </c>
      <c r="BJ799">
        <v>32.093299999999999</v>
      </c>
      <c r="BK799">
        <v>0</v>
      </c>
      <c r="BL799">
        <v>34.256399999999999</v>
      </c>
      <c r="BM799">
        <v>56.150399999999998</v>
      </c>
      <c r="BN799">
        <v>6.94482</v>
      </c>
      <c r="BO799">
        <v>1.3529500000000001</v>
      </c>
      <c r="BP799">
        <v>1.2954300000000001</v>
      </c>
      <c r="BQ799">
        <v>34.447600000000001</v>
      </c>
      <c r="BR799">
        <v>119960</v>
      </c>
    </row>
    <row r="800" spans="1:70" x14ac:dyDescent="0.25">
      <c r="A800">
        <v>52</v>
      </c>
      <c r="B800" s="7">
        <v>45994.542083333334</v>
      </c>
      <c r="C800" t="s">
        <v>201</v>
      </c>
      <c r="D800" s="6" t="s">
        <v>416</v>
      </c>
      <c r="E800" s="6" t="str">
        <f>VLOOKUP(F800,Germplasm!$A$1:$B$21,2,FALSE)</f>
        <v>Olve</v>
      </c>
      <c r="F800" t="s">
        <v>62</v>
      </c>
      <c r="G800" s="6" t="s">
        <v>113</v>
      </c>
      <c r="H800">
        <v>50797.2</v>
      </c>
      <c r="I800">
        <v>463.71300000000002</v>
      </c>
      <c r="J800">
        <v>185073</v>
      </c>
      <c r="K800">
        <v>15.172700000000001</v>
      </c>
      <c r="L800">
        <v>81.448800000000006</v>
      </c>
      <c r="M800">
        <v>1619.16</v>
      </c>
      <c r="N800">
        <v>586.32899999999995</v>
      </c>
      <c r="O800">
        <v>27742600</v>
      </c>
      <c r="P800">
        <v>0.108846</v>
      </c>
      <c r="Q800">
        <v>1.2178</v>
      </c>
      <c r="R800">
        <v>18.155000000000001</v>
      </c>
      <c r="S800">
        <v>43.335900000000002</v>
      </c>
      <c r="T800">
        <v>27.8325</v>
      </c>
      <c r="U800">
        <v>9.1477199999999996</v>
      </c>
      <c r="V800">
        <v>0.31111699999999998</v>
      </c>
      <c r="W800">
        <v>69.959999999999994</v>
      </c>
      <c r="X800">
        <v>9.7370599999999996</v>
      </c>
      <c r="Y800">
        <v>26.946300000000001</v>
      </c>
      <c r="Z800">
        <v>14.3789</v>
      </c>
      <c r="AA800">
        <v>18.540800000000001</v>
      </c>
      <c r="AB800">
        <v>13.5398</v>
      </c>
      <c r="AC800">
        <v>16.857199999999999</v>
      </c>
      <c r="AD800">
        <v>1.80898</v>
      </c>
      <c r="AE800">
        <v>15.7765</v>
      </c>
      <c r="AF800">
        <v>0</v>
      </c>
      <c r="AG800">
        <v>88.128699999999995</v>
      </c>
      <c r="AH800">
        <v>5.8845499999999999</v>
      </c>
      <c r="AI800">
        <v>1.0755699999999999</v>
      </c>
      <c r="AJ800">
        <v>4.9112</v>
      </c>
      <c r="AK800">
        <v>0</v>
      </c>
      <c r="AL800">
        <v>0.23544499999999999</v>
      </c>
      <c r="AM800">
        <v>12.850899999999999</v>
      </c>
      <c r="AN800">
        <v>30.151599999999998</v>
      </c>
      <c r="AO800">
        <v>20.178999999999998</v>
      </c>
      <c r="AP800">
        <v>16.4207</v>
      </c>
      <c r="AQ800">
        <v>15.081200000000001</v>
      </c>
      <c r="AR800">
        <v>5.3165399999999998</v>
      </c>
      <c r="AS800">
        <v>0.20768600000000001</v>
      </c>
      <c r="AT800">
        <v>1.8880300000000001</v>
      </c>
      <c r="AU800">
        <v>14.8225</v>
      </c>
      <c r="AV800">
        <v>30.837</v>
      </c>
      <c r="AW800">
        <v>35.516199999999998</v>
      </c>
      <c r="AX800">
        <v>13.978</v>
      </c>
      <c r="AY800">
        <v>2.9582700000000002</v>
      </c>
      <c r="AZ800">
        <v>546.14400000000001</v>
      </c>
      <c r="BA800">
        <v>611.399</v>
      </c>
      <c r="BB800">
        <v>28080.5</v>
      </c>
      <c r="BC800">
        <v>0.20943100000000001</v>
      </c>
      <c r="BD800">
        <v>0.44000800000000001</v>
      </c>
      <c r="BE800">
        <v>0.52089799999999997</v>
      </c>
      <c r="BF800">
        <v>1.43736</v>
      </c>
      <c r="BG800">
        <v>14.3078</v>
      </c>
      <c r="BH800">
        <v>33.317</v>
      </c>
      <c r="BI800">
        <v>49.976900000000001</v>
      </c>
      <c r="BJ800">
        <v>32.535499999999999</v>
      </c>
      <c r="BK800">
        <v>0</v>
      </c>
      <c r="BL800">
        <v>34.6477</v>
      </c>
      <c r="BM800">
        <v>54.557400000000001</v>
      </c>
      <c r="BN800">
        <v>7.8712499999999999</v>
      </c>
      <c r="BO800">
        <v>1.2978000000000001</v>
      </c>
      <c r="BP800">
        <v>1.62581</v>
      </c>
      <c r="BQ800">
        <v>33.597099999999998</v>
      </c>
      <c r="BR800">
        <v>112498</v>
      </c>
    </row>
    <row r="801" spans="1:70" x14ac:dyDescent="0.25">
      <c r="A801">
        <v>52</v>
      </c>
      <c r="B801" s="7">
        <v>46002.547719907408</v>
      </c>
      <c r="C801" t="s">
        <v>201</v>
      </c>
      <c r="D801" s="6" t="s">
        <v>417</v>
      </c>
      <c r="E801" s="6" t="str">
        <f>VLOOKUP(F801,Germplasm!$A$1:$B$21,2,FALSE)</f>
        <v>Olve</v>
      </c>
      <c r="F801" t="s">
        <v>62</v>
      </c>
      <c r="G801" s="6" t="s">
        <v>113</v>
      </c>
      <c r="H801">
        <v>48388.5</v>
      </c>
      <c r="I801">
        <v>452.274</v>
      </c>
      <c r="J801">
        <v>180261</v>
      </c>
      <c r="K801">
        <v>14.519299999999999</v>
      </c>
      <c r="L801">
        <v>83.546999999999997</v>
      </c>
      <c r="M801">
        <v>1586.16</v>
      </c>
      <c r="N801">
        <v>537.78</v>
      </c>
      <c r="O801">
        <v>25856800</v>
      </c>
      <c r="P801">
        <v>5.9009199999999998E-2</v>
      </c>
      <c r="Q801">
        <v>1.43272</v>
      </c>
      <c r="R801">
        <v>25.569400000000002</v>
      </c>
      <c r="S801">
        <v>53.207500000000003</v>
      </c>
      <c r="T801">
        <v>16.264299999999999</v>
      </c>
      <c r="U801">
        <v>3.2856100000000001</v>
      </c>
      <c r="V801">
        <v>0.24036399999999999</v>
      </c>
      <c r="W801">
        <v>51.270800000000001</v>
      </c>
      <c r="X801">
        <v>13.7339</v>
      </c>
      <c r="Y801">
        <v>42.611600000000003</v>
      </c>
      <c r="Z801">
        <v>13.8834</v>
      </c>
      <c r="AA801">
        <v>11.041600000000001</v>
      </c>
      <c r="AB801">
        <v>7.2033500000000004</v>
      </c>
      <c r="AC801">
        <v>11.5261</v>
      </c>
      <c r="AD801">
        <v>1.8488199999999999</v>
      </c>
      <c r="AE801">
        <v>19.200700000000001</v>
      </c>
      <c r="AF801">
        <v>0</v>
      </c>
      <c r="AG801">
        <v>81.493899999999996</v>
      </c>
      <c r="AH801">
        <v>12.095800000000001</v>
      </c>
      <c r="AI801">
        <v>1.3806700000000001</v>
      </c>
      <c r="AJ801">
        <v>5.0296700000000003</v>
      </c>
      <c r="AK801">
        <v>0</v>
      </c>
      <c r="AL801">
        <v>0.14121600000000001</v>
      </c>
      <c r="AM801">
        <v>19.333200000000001</v>
      </c>
      <c r="AN801">
        <v>44.366100000000003</v>
      </c>
      <c r="AO801">
        <v>17.152899999999999</v>
      </c>
      <c r="AP801">
        <v>11.3813</v>
      </c>
      <c r="AQ801">
        <v>5.9135299999999997</v>
      </c>
      <c r="AR801">
        <v>1.8528899999999999</v>
      </c>
      <c r="AS801">
        <v>0.25188199999999999</v>
      </c>
      <c r="AT801">
        <v>1.33809</v>
      </c>
      <c r="AU801">
        <v>8.8991500000000006</v>
      </c>
      <c r="AV801">
        <v>27.353300000000001</v>
      </c>
      <c r="AW801">
        <v>41.753300000000003</v>
      </c>
      <c r="AX801">
        <v>17.287299999999998</v>
      </c>
      <c r="AY801">
        <v>3.3688799999999999</v>
      </c>
      <c r="AZ801">
        <v>534.35799999999995</v>
      </c>
      <c r="BA801">
        <v>620.399</v>
      </c>
      <c r="BB801">
        <v>26172.6</v>
      </c>
      <c r="BC801">
        <v>0.287997</v>
      </c>
      <c r="BD801">
        <v>0.47978199999999999</v>
      </c>
      <c r="BE801">
        <v>0.54034599999999999</v>
      </c>
      <c r="BF801">
        <v>1.3333600000000001</v>
      </c>
      <c r="BG801">
        <v>7.8771300000000002</v>
      </c>
      <c r="BH801">
        <v>23.6541</v>
      </c>
      <c r="BI801">
        <v>66.115300000000005</v>
      </c>
      <c r="BJ801">
        <v>32.246299999999998</v>
      </c>
      <c r="BK801">
        <v>0</v>
      </c>
      <c r="BL801">
        <v>35.997799999999998</v>
      </c>
      <c r="BM801">
        <v>53.126199999999997</v>
      </c>
      <c r="BN801">
        <v>7.6405500000000002</v>
      </c>
      <c r="BO801">
        <v>1.43651</v>
      </c>
      <c r="BP801">
        <v>1.79895</v>
      </c>
      <c r="BQ801">
        <v>32.7791</v>
      </c>
      <c r="BR801">
        <v>105673</v>
      </c>
    </row>
    <row r="802" spans="1:70" x14ac:dyDescent="0.25">
      <c r="A802">
        <v>52</v>
      </c>
      <c r="B802" s="7">
        <v>46013.573750000003</v>
      </c>
      <c r="C802" t="s">
        <v>201</v>
      </c>
      <c r="D802" s="6" t="s">
        <v>418</v>
      </c>
      <c r="E802" s="6" t="str">
        <f>VLOOKUP(F802,Germplasm!$A$1:$B$21,2,FALSE)</f>
        <v>Olve</v>
      </c>
      <c r="F802" t="s">
        <v>62</v>
      </c>
      <c r="G802" s="6" t="s">
        <v>113</v>
      </c>
      <c r="H802">
        <v>42665.5</v>
      </c>
      <c r="I802">
        <v>476.56900000000002</v>
      </c>
      <c r="J802">
        <v>203755</v>
      </c>
      <c r="K802">
        <v>11.456799999999999</v>
      </c>
      <c r="L802">
        <v>77.2089</v>
      </c>
      <c r="M802">
        <v>1687.17</v>
      </c>
      <c r="N802">
        <v>609.11800000000005</v>
      </c>
      <c r="O802">
        <v>23841800</v>
      </c>
      <c r="P802">
        <v>2.9392100000000001E-2</v>
      </c>
      <c r="Q802">
        <v>1.14422</v>
      </c>
      <c r="R802">
        <v>27.883700000000001</v>
      </c>
      <c r="S802">
        <v>64.501999999999995</v>
      </c>
      <c r="T802">
        <v>5.1927000000000003</v>
      </c>
      <c r="U802">
        <v>1.15879</v>
      </c>
      <c r="V802">
        <v>0.11858299999999999</v>
      </c>
      <c r="W802">
        <v>43.679600000000001</v>
      </c>
      <c r="X802">
        <v>13.915800000000001</v>
      </c>
      <c r="Y802">
        <v>52.275399999999998</v>
      </c>
      <c r="Z802">
        <v>13.0275</v>
      </c>
      <c r="AA802">
        <v>6.4014100000000003</v>
      </c>
      <c r="AB802">
        <v>3.4129100000000001</v>
      </c>
      <c r="AC802">
        <v>10.966900000000001</v>
      </c>
      <c r="AD802">
        <v>1.8277000000000001</v>
      </c>
      <c r="AE802">
        <v>22.330300000000001</v>
      </c>
      <c r="AF802">
        <v>0</v>
      </c>
      <c r="AG802">
        <v>72.576099999999997</v>
      </c>
      <c r="AH802">
        <v>19.918900000000001</v>
      </c>
      <c r="AI802">
        <v>1.82348</v>
      </c>
      <c r="AJ802">
        <v>5.6815899999999999</v>
      </c>
      <c r="AK802">
        <v>0</v>
      </c>
      <c r="AL802">
        <v>9.1399499999999995E-2</v>
      </c>
      <c r="AM802">
        <v>22.399699999999999</v>
      </c>
      <c r="AN802">
        <v>54.275799999999997</v>
      </c>
      <c r="AO802">
        <v>15.088200000000001</v>
      </c>
      <c r="AP802">
        <v>5.2696699999999996</v>
      </c>
      <c r="AQ802">
        <v>2.1168100000000001</v>
      </c>
      <c r="AR802">
        <v>0.84984700000000002</v>
      </c>
      <c r="AS802">
        <v>0.234593</v>
      </c>
      <c r="AT802">
        <v>1.23472</v>
      </c>
      <c r="AU802">
        <v>7.6808699999999996</v>
      </c>
      <c r="AV802">
        <v>30.140899999999998</v>
      </c>
      <c r="AW802">
        <v>48.356000000000002</v>
      </c>
      <c r="AX802">
        <v>9.9942799999999998</v>
      </c>
      <c r="AY802">
        <v>2.5932300000000001</v>
      </c>
      <c r="AZ802">
        <v>558.80700000000002</v>
      </c>
      <c r="BA802">
        <v>596.399</v>
      </c>
      <c r="BB802">
        <v>23343.8</v>
      </c>
      <c r="BC802">
        <v>0.28952499999999998</v>
      </c>
      <c r="BD802">
        <v>0.53986599999999996</v>
      </c>
      <c r="BE802">
        <v>0.52426300000000003</v>
      </c>
      <c r="BF802">
        <v>1.3085800000000001</v>
      </c>
      <c r="BG802">
        <v>6.5428800000000003</v>
      </c>
      <c r="BH802">
        <v>18.369</v>
      </c>
      <c r="BI802">
        <v>72.715500000000006</v>
      </c>
      <c r="BJ802">
        <v>28.7148</v>
      </c>
      <c r="BK802">
        <v>0</v>
      </c>
      <c r="BL802">
        <v>44.628900000000002</v>
      </c>
      <c r="BM802">
        <v>48.530700000000003</v>
      </c>
      <c r="BN802">
        <v>4.0671999999999997</v>
      </c>
      <c r="BO802">
        <v>1.2097599999999999</v>
      </c>
      <c r="BP802">
        <v>1.5634300000000001</v>
      </c>
      <c r="BQ802">
        <v>33.203299999999999</v>
      </c>
      <c r="BR802">
        <v>96135</v>
      </c>
    </row>
    <row r="803" spans="1:70" x14ac:dyDescent="0.25">
      <c r="A803">
        <v>52</v>
      </c>
      <c r="B803" s="7">
        <v>46024.549849537034</v>
      </c>
      <c r="C803" t="s">
        <v>201</v>
      </c>
      <c r="D803" s="6" t="s">
        <v>419</v>
      </c>
      <c r="E803" s="6" t="str">
        <f>VLOOKUP(F803,Germplasm!$A$1:$B$21,2,FALSE)</f>
        <v>Olve</v>
      </c>
      <c r="F803" t="s">
        <v>62</v>
      </c>
      <c r="G803" s="6" t="s">
        <v>113</v>
      </c>
      <c r="H803">
        <v>49504.7</v>
      </c>
      <c r="I803">
        <v>450.892</v>
      </c>
      <c r="J803">
        <v>179212</v>
      </c>
      <c r="K803">
        <v>14.687900000000001</v>
      </c>
      <c r="L803">
        <v>81.165499999999994</v>
      </c>
      <c r="M803">
        <v>1588.61</v>
      </c>
      <c r="N803">
        <v>577.84500000000003</v>
      </c>
      <c r="O803">
        <v>26119100</v>
      </c>
      <c r="P803">
        <v>1.5390900000000001E-2</v>
      </c>
      <c r="Q803">
        <v>1.1786700000000001</v>
      </c>
      <c r="R803">
        <v>33.231200000000001</v>
      </c>
      <c r="S803">
        <v>62.335500000000003</v>
      </c>
      <c r="T803">
        <v>2.6210399999999998</v>
      </c>
      <c r="U803">
        <v>0.53855600000000003</v>
      </c>
      <c r="V803">
        <v>9.5039299999999993E-2</v>
      </c>
      <c r="W803">
        <v>39.287300000000002</v>
      </c>
      <c r="X803">
        <v>17.039100000000001</v>
      </c>
      <c r="Y803">
        <v>54.892699999999998</v>
      </c>
      <c r="Z803">
        <v>10.439399999999999</v>
      </c>
      <c r="AA803">
        <v>5.0743499999999999</v>
      </c>
      <c r="AB803">
        <v>2.5548799999999998</v>
      </c>
      <c r="AC803">
        <v>9.9996299999999998</v>
      </c>
      <c r="AD803">
        <v>1.8807</v>
      </c>
      <c r="AE803">
        <v>23.679400000000001</v>
      </c>
      <c r="AF803">
        <v>0</v>
      </c>
      <c r="AG803">
        <v>66.056100000000001</v>
      </c>
      <c r="AH803">
        <v>27.247399999999999</v>
      </c>
      <c r="AI803">
        <v>1.67716</v>
      </c>
      <c r="AJ803">
        <v>5.01938</v>
      </c>
      <c r="AK803">
        <v>0</v>
      </c>
      <c r="AL803">
        <v>6.5342700000000004E-2</v>
      </c>
      <c r="AM803">
        <v>27.7179</v>
      </c>
      <c r="AN803">
        <v>55.117199999999997</v>
      </c>
      <c r="AO803">
        <v>11.4588</v>
      </c>
      <c r="AP803">
        <v>3.6590099999999999</v>
      </c>
      <c r="AQ803">
        <v>1.3659600000000001</v>
      </c>
      <c r="AR803">
        <v>0.68111500000000003</v>
      </c>
      <c r="AS803">
        <v>0.22395200000000001</v>
      </c>
      <c r="AT803">
        <v>1.09761</v>
      </c>
      <c r="AU803">
        <v>6.3499299999999996</v>
      </c>
      <c r="AV803">
        <v>35.620199999999997</v>
      </c>
      <c r="AW803">
        <v>46.784500000000001</v>
      </c>
      <c r="AX803">
        <v>8.01126</v>
      </c>
      <c r="AY803">
        <v>2.13652</v>
      </c>
      <c r="AZ803">
        <v>527.60900000000004</v>
      </c>
      <c r="BA803">
        <v>567.59900000000005</v>
      </c>
      <c r="BB803">
        <v>26322.5</v>
      </c>
      <c r="BC803">
        <v>0.29271999999999998</v>
      </c>
      <c r="BD803">
        <v>0.52830699999999997</v>
      </c>
      <c r="BE803">
        <v>0.57023599999999997</v>
      </c>
      <c r="BF803">
        <v>1.1497900000000001</v>
      </c>
      <c r="BG803">
        <v>5.1945499999999996</v>
      </c>
      <c r="BH803">
        <v>17.983899999999998</v>
      </c>
      <c r="BI803">
        <v>74.573300000000003</v>
      </c>
      <c r="BJ803">
        <v>26.706399999999999</v>
      </c>
      <c r="BK803">
        <v>0</v>
      </c>
      <c r="BL803">
        <v>52.3108</v>
      </c>
      <c r="BM803">
        <v>42.333500000000001</v>
      </c>
      <c r="BN803">
        <v>2.9285199999999998</v>
      </c>
      <c r="BO803">
        <v>1.1292899999999999</v>
      </c>
      <c r="BP803">
        <v>1.2979400000000001</v>
      </c>
      <c r="BQ803">
        <v>32.155099999999997</v>
      </c>
      <c r="BR803">
        <v>107324</v>
      </c>
    </row>
    <row r="804" spans="1:70" x14ac:dyDescent="0.25">
      <c r="A804">
        <v>52</v>
      </c>
      <c r="B804" s="7">
        <v>45952.581805555557</v>
      </c>
      <c r="C804" t="s">
        <v>200</v>
      </c>
      <c r="D804" s="6" t="s">
        <v>410</v>
      </c>
      <c r="E804" s="6" t="str">
        <f>VLOOKUP(F804,Germplasm!$A$1:$B$21,2,FALSE)</f>
        <v>Edel</v>
      </c>
      <c r="F804" t="s">
        <v>67</v>
      </c>
      <c r="G804" s="6" t="s">
        <v>113</v>
      </c>
      <c r="H804">
        <v>32179.5</v>
      </c>
      <c r="I804">
        <v>224.91300000000001</v>
      </c>
      <c r="J804">
        <v>65481.8</v>
      </c>
      <c r="K804">
        <v>28.389800000000001</v>
      </c>
      <c r="L804">
        <v>50.411499999999997</v>
      </c>
      <c r="M804">
        <v>1024.29</v>
      </c>
      <c r="N804">
        <v>416.09899999999999</v>
      </c>
      <c r="O804">
        <v>8497440</v>
      </c>
      <c r="P804">
        <v>0.28402100000000002</v>
      </c>
      <c r="Q804">
        <v>0.40498699999999999</v>
      </c>
      <c r="R804">
        <v>2.3267799999999998</v>
      </c>
      <c r="S804">
        <v>11.4398</v>
      </c>
      <c r="T804">
        <v>38.306899999999999</v>
      </c>
      <c r="U804">
        <v>46.9148</v>
      </c>
      <c r="V804">
        <v>0.60672199999999998</v>
      </c>
      <c r="W804">
        <v>114.108</v>
      </c>
      <c r="X804">
        <v>0.71289899999999995</v>
      </c>
      <c r="Y804">
        <v>1.444</v>
      </c>
      <c r="Z804">
        <v>3.4022000000000001</v>
      </c>
      <c r="AA804">
        <v>19.2119</v>
      </c>
      <c r="AB804">
        <v>44.588000000000001</v>
      </c>
      <c r="AC804">
        <v>30.640999999999998</v>
      </c>
      <c r="AD804">
        <v>1.7310000000000001</v>
      </c>
      <c r="AE804">
        <v>6.6219099999999997</v>
      </c>
      <c r="AF804">
        <v>0</v>
      </c>
      <c r="AG804">
        <v>99.766400000000004</v>
      </c>
      <c r="AH804">
        <v>0.22448699999999999</v>
      </c>
      <c r="AI804">
        <v>9.1008400000000007E-3</v>
      </c>
      <c r="AJ804">
        <v>0</v>
      </c>
      <c r="AK804">
        <v>0</v>
      </c>
      <c r="AL804">
        <v>0.57773300000000005</v>
      </c>
      <c r="AM804">
        <v>0.29881099999999999</v>
      </c>
      <c r="AN804">
        <v>1.10727</v>
      </c>
      <c r="AO804">
        <v>2.8106399999999998</v>
      </c>
      <c r="AP804">
        <v>8.9976900000000004</v>
      </c>
      <c r="AQ804">
        <v>36.793199999999999</v>
      </c>
      <c r="AR804">
        <v>49.992400000000004</v>
      </c>
      <c r="AS804">
        <v>6.3202499999999995E-2</v>
      </c>
      <c r="AT804">
        <v>7.29887</v>
      </c>
      <c r="AU804">
        <v>29.724900000000002</v>
      </c>
      <c r="AV804">
        <v>42.325000000000003</v>
      </c>
      <c r="AW804">
        <v>15.8142</v>
      </c>
      <c r="AX804">
        <v>3.25658</v>
      </c>
      <c r="AY804">
        <v>1.5805100000000001</v>
      </c>
      <c r="AZ804">
        <v>264.06299999999999</v>
      </c>
      <c r="BA804">
        <v>269.399</v>
      </c>
      <c r="BB804">
        <v>18590.099999999999</v>
      </c>
      <c r="BC804">
        <v>2.37553E-2</v>
      </c>
      <c r="BD804">
        <v>4.7021E-2</v>
      </c>
      <c r="BE804">
        <v>0.14561299999999999</v>
      </c>
      <c r="BF804">
        <v>1.9172400000000001</v>
      </c>
      <c r="BG804">
        <v>34.913800000000002</v>
      </c>
      <c r="BH804">
        <v>59.352600000000002</v>
      </c>
      <c r="BI804">
        <v>3.62365</v>
      </c>
      <c r="BJ804">
        <v>37.021900000000002</v>
      </c>
      <c r="BK804">
        <v>0</v>
      </c>
      <c r="BL804">
        <v>19.955100000000002</v>
      </c>
      <c r="BM804">
        <v>63.549599999999998</v>
      </c>
      <c r="BN804">
        <v>14.939</v>
      </c>
      <c r="BO804">
        <v>1.2847299999999999</v>
      </c>
      <c r="BP804">
        <v>0.27150800000000003</v>
      </c>
      <c r="BQ804">
        <v>35.316899999999997</v>
      </c>
      <c r="BR804">
        <v>65928</v>
      </c>
    </row>
    <row r="805" spans="1:70" x14ac:dyDescent="0.25">
      <c r="A805">
        <v>52</v>
      </c>
      <c r="B805" s="7">
        <v>45959.554652777777</v>
      </c>
      <c r="C805" t="s">
        <v>200</v>
      </c>
      <c r="D805" s="6" t="s">
        <v>411</v>
      </c>
      <c r="E805" s="6" t="str">
        <f>VLOOKUP(F805,Germplasm!$A$1:$B$21,2,FALSE)</f>
        <v>Edel</v>
      </c>
      <c r="F805" t="s">
        <v>67</v>
      </c>
      <c r="G805" s="6" t="s">
        <v>113</v>
      </c>
      <c r="H805">
        <v>57784.7</v>
      </c>
      <c r="I805">
        <v>246.52699999999999</v>
      </c>
      <c r="J805">
        <v>201326</v>
      </c>
      <c r="K805">
        <v>17.594899999999999</v>
      </c>
      <c r="L805">
        <v>90.843900000000005</v>
      </c>
      <c r="M805">
        <v>1645.46</v>
      </c>
      <c r="N805">
        <v>542.08699999999999</v>
      </c>
      <c r="O805">
        <v>18486000</v>
      </c>
      <c r="P805">
        <v>0.25901800000000003</v>
      </c>
      <c r="Q805">
        <v>0.40127699999999999</v>
      </c>
      <c r="R805">
        <v>2.2789799999999998</v>
      </c>
      <c r="S805">
        <v>14.4857</v>
      </c>
      <c r="T805">
        <v>45.362000000000002</v>
      </c>
      <c r="U805">
        <v>36.803199999999997</v>
      </c>
      <c r="V805">
        <v>0.668794</v>
      </c>
      <c r="W805">
        <v>118.167</v>
      </c>
      <c r="X805">
        <v>0.59937499999999999</v>
      </c>
      <c r="Y805">
        <v>1.1996</v>
      </c>
      <c r="Z805">
        <v>2.7513700000000001</v>
      </c>
      <c r="AA805">
        <v>16.023099999999999</v>
      </c>
      <c r="AB805">
        <v>41.713299999999997</v>
      </c>
      <c r="AC805">
        <v>37.713200000000001</v>
      </c>
      <c r="AD805">
        <v>1.63127</v>
      </c>
      <c r="AE805">
        <v>6.9604900000000001</v>
      </c>
      <c r="AF805">
        <v>0</v>
      </c>
      <c r="AG805">
        <v>99.768900000000002</v>
      </c>
      <c r="AH805">
        <v>0.23111499999999999</v>
      </c>
      <c r="AI805">
        <v>0</v>
      </c>
      <c r="AJ805">
        <v>0</v>
      </c>
      <c r="AK805">
        <v>0</v>
      </c>
      <c r="AL805">
        <v>0.55254300000000001</v>
      </c>
      <c r="AM805">
        <v>0.39111800000000002</v>
      </c>
      <c r="AN805">
        <v>1.7761100000000001</v>
      </c>
      <c r="AO805">
        <v>3.3405900000000002</v>
      </c>
      <c r="AP805">
        <v>11.559100000000001</v>
      </c>
      <c r="AQ805">
        <v>42.345700000000001</v>
      </c>
      <c r="AR805">
        <v>40.587400000000002</v>
      </c>
      <c r="AS805">
        <v>3.1433599999999999E-2</v>
      </c>
      <c r="AT805">
        <v>7.3169500000000003</v>
      </c>
      <c r="AU805">
        <v>37.440600000000003</v>
      </c>
      <c r="AV805">
        <v>41.265500000000003</v>
      </c>
      <c r="AW805">
        <v>10.6965</v>
      </c>
      <c r="AX805">
        <v>2.04617</v>
      </c>
      <c r="AY805">
        <v>1.23431</v>
      </c>
      <c r="AZ805">
        <v>319.911</v>
      </c>
      <c r="BA805">
        <v>328.19900000000001</v>
      </c>
      <c r="BB805">
        <v>35423.1</v>
      </c>
      <c r="BC805">
        <v>9.9443099999999996E-3</v>
      </c>
      <c r="BD805">
        <v>3.9788999999999998E-2</v>
      </c>
      <c r="BE805">
        <v>0.28444900000000001</v>
      </c>
      <c r="BF805">
        <v>2.2993000000000001</v>
      </c>
      <c r="BG805">
        <v>42.134</v>
      </c>
      <c r="BH805">
        <v>51.613100000000003</v>
      </c>
      <c r="BI805">
        <v>3.62927</v>
      </c>
      <c r="BJ805">
        <v>33.558100000000003</v>
      </c>
      <c r="BK805">
        <v>0</v>
      </c>
      <c r="BL805">
        <v>27.473099999999999</v>
      </c>
      <c r="BM805">
        <v>61.994700000000002</v>
      </c>
      <c r="BN805">
        <v>9.0837500000000002</v>
      </c>
      <c r="BO805">
        <v>0.904142</v>
      </c>
      <c r="BP805">
        <v>0.54434800000000005</v>
      </c>
      <c r="BQ805">
        <v>37.859200000000001</v>
      </c>
      <c r="BR805">
        <v>118123</v>
      </c>
    </row>
    <row r="806" spans="1:70" x14ac:dyDescent="0.25">
      <c r="A806">
        <v>52</v>
      </c>
      <c r="B806" s="7">
        <v>45966.526516203703</v>
      </c>
      <c r="C806" t="s">
        <v>200</v>
      </c>
      <c r="D806" s="6" t="s">
        <v>412</v>
      </c>
      <c r="E806" s="6" t="str">
        <f>VLOOKUP(F806,Germplasm!$A$1:$B$21,2,FALSE)</f>
        <v>Edel</v>
      </c>
      <c r="F806" t="s">
        <v>67</v>
      </c>
      <c r="G806" s="6" t="s">
        <v>113</v>
      </c>
      <c r="H806">
        <v>37837.699999999997</v>
      </c>
      <c r="I806">
        <v>439.43799999999999</v>
      </c>
      <c r="J806">
        <v>170114</v>
      </c>
      <c r="K806">
        <v>13.8644</v>
      </c>
      <c r="L806">
        <v>83.743099999999998</v>
      </c>
      <c r="M806">
        <v>1582.78</v>
      </c>
      <c r="N806">
        <v>555.88300000000004</v>
      </c>
      <c r="O806">
        <v>19255400</v>
      </c>
      <c r="P806">
        <v>0.29411100000000001</v>
      </c>
      <c r="Q806">
        <v>0.185919</v>
      </c>
      <c r="R806">
        <v>1.4035</v>
      </c>
      <c r="S806">
        <v>9.39072</v>
      </c>
      <c r="T806">
        <v>37.9116</v>
      </c>
      <c r="U806">
        <v>50.467799999999997</v>
      </c>
      <c r="V806">
        <v>0.64038700000000004</v>
      </c>
      <c r="W806">
        <v>112.60899999999999</v>
      </c>
      <c r="X806">
        <v>0.50914999999999999</v>
      </c>
      <c r="Y806">
        <v>1.14103</v>
      </c>
      <c r="Z806">
        <v>2.67577</v>
      </c>
      <c r="AA806">
        <v>19.548200000000001</v>
      </c>
      <c r="AB806">
        <v>51.117899999999999</v>
      </c>
      <c r="AC806">
        <v>25.007899999999999</v>
      </c>
      <c r="AD806">
        <v>1.60429</v>
      </c>
      <c r="AE806">
        <v>6.6541899999999998</v>
      </c>
      <c r="AF806">
        <v>0</v>
      </c>
      <c r="AG806">
        <v>99.890600000000006</v>
      </c>
      <c r="AH806">
        <v>0.106934</v>
      </c>
      <c r="AI806">
        <v>2.4303100000000002E-3</v>
      </c>
      <c r="AJ806">
        <v>0</v>
      </c>
      <c r="AK806">
        <v>0</v>
      </c>
      <c r="AL806">
        <v>0.56159000000000003</v>
      </c>
      <c r="AM806">
        <v>0.36090100000000003</v>
      </c>
      <c r="AN806">
        <v>1.6113</v>
      </c>
      <c r="AO806">
        <v>3.89093</v>
      </c>
      <c r="AP806">
        <v>10.6144</v>
      </c>
      <c r="AQ806">
        <v>37.147300000000001</v>
      </c>
      <c r="AR806">
        <v>46.3752</v>
      </c>
      <c r="AS806">
        <v>8.2028000000000004E-2</v>
      </c>
      <c r="AT806">
        <v>3.4522599999999999</v>
      </c>
      <c r="AU806">
        <v>28.5562</v>
      </c>
      <c r="AV806">
        <v>46.939</v>
      </c>
      <c r="AW806">
        <v>16.569900000000001</v>
      </c>
      <c r="AX806">
        <v>3.1193</v>
      </c>
      <c r="AY806">
        <v>1.3633999999999999</v>
      </c>
      <c r="AZ806">
        <v>508.89499999999998</v>
      </c>
      <c r="BA806">
        <v>562.20000000000005</v>
      </c>
      <c r="BB806">
        <v>23585.3</v>
      </c>
      <c r="BC806">
        <v>3.8233099999999999E-2</v>
      </c>
      <c r="BD806">
        <v>7.2909300000000002E-3</v>
      </c>
      <c r="BE806">
        <v>7.5339600000000007E-2</v>
      </c>
      <c r="BF806">
        <v>1.05111</v>
      </c>
      <c r="BG806">
        <v>30.874700000000001</v>
      </c>
      <c r="BH806">
        <v>63.044699999999999</v>
      </c>
      <c r="BI806">
        <v>4.9469000000000003</v>
      </c>
      <c r="BJ806">
        <v>37.035200000000003</v>
      </c>
      <c r="BK806">
        <v>0</v>
      </c>
      <c r="BL806">
        <v>17.715800000000002</v>
      </c>
      <c r="BM806">
        <v>67.797200000000004</v>
      </c>
      <c r="BN806">
        <v>13.134600000000001</v>
      </c>
      <c r="BO806">
        <v>0.97577000000000003</v>
      </c>
      <c r="BP806">
        <v>0.37669799999999998</v>
      </c>
      <c r="BQ806">
        <v>38.6021</v>
      </c>
      <c r="BR806">
        <v>82294</v>
      </c>
    </row>
    <row r="807" spans="1:70" x14ac:dyDescent="0.25">
      <c r="A807">
        <v>52</v>
      </c>
      <c r="B807" s="7">
        <v>45973.575659722221</v>
      </c>
      <c r="C807" t="s">
        <v>200</v>
      </c>
      <c r="D807" s="6" t="s">
        <v>413</v>
      </c>
      <c r="E807" s="6" t="str">
        <f>VLOOKUP(F807,Germplasm!$A$1:$B$21,2,FALSE)</f>
        <v>Edel</v>
      </c>
      <c r="F807" t="s">
        <v>67</v>
      </c>
      <c r="G807" s="6" t="s">
        <v>113</v>
      </c>
      <c r="H807">
        <v>72300.5</v>
      </c>
      <c r="I807">
        <v>456.68299999999999</v>
      </c>
      <c r="J807">
        <v>213894</v>
      </c>
      <c r="K807">
        <v>19.038499999999999</v>
      </c>
      <c r="L807">
        <v>71.697900000000004</v>
      </c>
      <c r="M807">
        <v>1799.23</v>
      </c>
      <c r="N807">
        <v>619.34100000000001</v>
      </c>
      <c r="O807">
        <v>39112400</v>
      </c>
      <c r="P807">
        <v>0.25063000000000002</v>
      </c>
      <c r="Q807">
        <v>0.55673700000000004</v>
      </c>
      <c r="R807">
        <v>3.0805199999999999</v>
      </c>
      <c r="S807">
        <v>17.384699999999999</v>
      </c>
      <c r="T807">
        <v>43.762700000000002</v>
      </c>
      <c r="U807">
        <v>33.690800000000003</v>
      </c>
      <c r="V807">
        <v>1.5245299999999999</v>
      </c>
      <c r="W807">
        <v>117.276</v>
      </c>
      <c r="X807">
        <v>0.93222700000000003</v>
      </c>
      <c r="Y807">
        <v>1.5997600000000001</v>
      </c>
      <c r="Z807">
        <v>3.4142899999999998</v>
      </c>
      <c r="AA807">
        <v>16.348500000000001</v>
      </c>
      <c r="AB807">
        <v>40.6357</v>
      </c>
      <c r="AC807">
        <v>37.069499999999998</v>
      </c>
      <c r="AD807">
        <v>1.77546</v>
      </c>
      <c r="AE807">
        <v>6.2236500000000001</v>
      </c>
      <c r="AF807">
        <v>0</v>
      </c>
      <c r="AG807">
        <v>99.894000000000005</v>
      </c>
      <c r="AH807">
        <v>0.10532900000000001</v>
      </c>
      <c r="AI807">
        <v>6.8395200000000004E-4</v>
      </c>
      <c r="AJ807">
        <v>0</v>
      </c>
      <c r="AK807">
        <v>0</v>
      </c>
      <c r="AL807">
        <v>0.53358399999999995</v>
      </c>
      <c r="AM807">
        <v>0.62376500000000001</v>
      </c>
      <c r="AN807">
        <v>2.4348700000000001</v>
      </c>
      <c r="AO807">
        <v>5.4463100000000004</v>
      </c>
      <c r="AP807">
        <v>15.1495</v>
      </c>
      <c r="AQ807">
        <v>38.567399999999999</v>
      </c>
      <c r="AR807">
        <v>37.778100000000002</v>
      </c>
      <c r="AS807">
        <v>4.8278599999999998E-2</v>
      </c>
      <c r="AT807">
        <v>6.3128799999999998</v>
      </c>
      <c r="AU807">
        <v>37.042900000000003</v>
      </c>
      <c r="AV807">
        <v>40.361400000000003</v>
      </c>
      <c r="AW807">
        <v>10.889200000000001</v>
      </c>
      <c r="AX807">
        <v>2.93689</v>
      </c>
      <c r="AY807">
        <v>2.4567600000000001</v>
      </c>
      <c r="AZ807">
        <v>540.96900000000005</v>
      </c>
      <c r="BA807">
        <v>595.19899999999996</v>
      </c>
      <c r="BB807">
        <v>40722.199999999997</v>
      </c>
      <c r="BC807">
        <v>1.56052E-2</v>
      </c>
      <c r="BD807">
        <v>5.6084099999999998E-2</v>
      </c>
      <c r="BE807">
        <v>0.33171699999999998</v>
      </c>
      <c r="BF807">
        <v>2.4129800000000001</v>
      </c>
      <c r="BG807">
        <v>40.554299999999998</v>
      </c>
      <c r="BH807">
        <v>51.169199999999996</v>
      </c>
      <c r="BI807">
        <v>5.4757199999999999</v>
      </c>
      <c r="BJ807">
        <v>33.498199999999997</v>
      </c>
      <c r="BK807">
        <v>0</v>
      </c>
      <c r="BL807">
        <v>30.706700000000001</v>
      </c>
      <c r="BM807">
        <v>57.640799999999999</v>
      </c>
      <c r="BN807">
        <v>8.8038399999999992</v>
      </c>
      <c r="BO807">
        <v>1.7755399999999999</v>
      </c>
      <c r="BP807">
        <v>1.0731200000000001</v>
      </c>
      <c r="BQ807">
        <v>34.327800000000003</v>
      </c>
      <c r="BR807">
        <v>146209</v>
      </c>
    </row>
    <row r="808" spans="1:70" x14ac:dyDescent="0.25">
      <c r="A808">
        <v>52</v>
      </c>
      <c r="B808" s="7">
        <v>45973.578483796293</v>
      </c>
      <c r="C808" t="s">
        <v>200</v>
      </c>
      <c r="D808" s="6" t="s">
        <v>414</v>
      </c>
      <c r="E808" s="6" t="str">
        <f>VLOOKUP(F808,Germplasm!$A$1:$B$21,2,FALSE)</f>
        <v>Edel</v>
      </c>
      <c r="F808" t="s">
        <v>67</v>
      </c>
      <c r="G808" s="6" t="s">
        <v>113</v>
      </c>
      <c r="H808">
        <v>54977.4</v>
      </c>
      <c r="I808">
        <v>437.61099999999999</v>
      </c>
      <c r="J808">
        <v>130995</v>
      </c>
      <c r="K808">
        <v>23.7455</v>
      </c>
      <c r="L808">
        <v>68.076099999999997</v>
      </c>
      <c r="M808">
        <v>1395.52</v>
      </c>
      <c r="N808">
        <v>506.36</v>
      </c>
      <c r="O808">
        <v>27732100</v>
      </c>
      <c r="P808">
        <v>0.24526200000000001</v>
      </c>
      <c r="Q808">
        <v>0.48722500000000002</v>
      </c>
      <c r="R808">
        <v>3.1480800000000002</v>
      </c>
      <c r="S808">
        <v>16.119900000000001</v>
      </c>
      <c r="T808">
        <v>46.074599999999997</v>
      </c>
      <c r="U808">
        <v>33.689500000000002</v>
      </c>
      <c r="V808">
        <v>0.48077799999999998</v>
      </c>
      <c r="W808">
        <v>111.09699999999999</v>
      </c>
      <c r="X808">
        <v>1.5362800000000001</v>
      </c>
      <c r="Y808">
        <v>2.7640099999999999</v>
      </c>
      <c r="Z808">
        <v>4.51858</v>
      </c>
      <c r="AA808">
        <v>21.856999999999999</v>
      </c>
      <c r="AB808">
        <v>39.897199999999998</v>
      </c>
      <c r="AC808">
        <v>29.4269</v>
      </c>
      <c r="AD808">
        <v>1.76745</v>
      </c>
      <c r="AE808">
        <v>7.8037999999999998</v>
      </c>
      <c r="AF808">
        <v>0</v>
      </c>
      <c r="AG808">
        <v>99.634399999999999</v>
      </c>
      <c r="AH808">
        <v>0.35183399999999998</v>
      </c>
      <c r="AI808">
        <v>1.0131299999999999E-2</v>
      </c>
      <c r="AJ808">
        <v>3.6841199999999999E-3</v>
      </c>
      <c r="AK808">
        <v>0</v>
      </c>
      <c r="AL808">
        <v>0.49191400000000002</v>
      </c>
      <c r="AM808">
        <v>0.52130299999999996</v>
      </c>
      <c r="AN808">
        <v>3.8370099999999998</v>
      </c>
      <c r="AO808">
        <v>9.0555800000000009</v>
      </c>
      <c r="AP808">
        <v>17.301600000000001</v>
      </c>
      <c r="AQ808">
        <v>43.597000000000001</v>
      </c>
      <c r="AR808">
        <v>25.6875</v>
      </c>
      <c r="AS808">
        <v>8.3296599999999998E-2</v>
      </c>
      <c r="AT808">
        <v>3.99451</v>
      </c>
      <c r="AU808">
        <v>31.094899999999999</v>
      </c>
      <c r="AV808">
        <v>41.5974</v>
      </c>
      <c r="AW808">
        <v>17.614699999999999</v>
      </c>
      <c r="AX808">
        <v>3.9917500000000001</v>
      </c>
      <c r="AY808">
        <v>1.7066699999999999</v>
      </c>
      <c r="AZ808">
        <v>504.42700000000002</v>
      </c>
      <c r="BA808">
        <v>523.19899999999996</v>
      </c>
      <c r="BB808">
        <v>31105.5</v>
      </c>
      <c r="BC808">
        <v>5.00578E-2</v>
      </c>
      <c r="BD808">
        <v>3.4999200000000001E-2</v>
      </c>
      <c r="BE808">
        <v>0.18789</v>
      </c>
      <c r="BF808">
        <v>1.7112799999999999</v>
      </c>
      <c r="BG808">
        <v>33.154299999999999</v>
      </c>
      <c r="BH808">
        <v>53.801099999999998</v>
      </c>
      <c r="BI808">
        <v>11.1104</v>
      </c>
      <c r="BJ808">
        <v>33.668199999999999</v>
      </c>
      <c r="BK808">
        <v>0</v>
      </c>
      <c r="BL808">
        <v>26.657399999999999</v>
      </c>
      <c r="BM808">
        <v>63.036299999999997</v>
      </c>
      <c r="BN808">
        <v>8.7884799999999998</v>
      </c>
      <c r="BO808">
        <v>0.95418800000000004</v>
      </c>
      <c r="BP808">
        <v>0.56367100000000003</v>
      </c>
      <c r="BQ808">
        <v>34.4998</v>
      </c>
      <c r="BR808">
        <v>108574</v>
      </c>
    </row>
    <row r="809" spans="1:70" x14ac:dyDescent="0.25">
      <c r="A809">
        <v>52</v>
      </c>
      <c r="B809" s="7">
        <v>45988.594641203701</v>
      </c>
      <c r="C809" t="s">
        <v>200</v>
      </c>
      <c r="D809" s="6" t="s">
        <v>415</v>
      </c>
      <c r="E809" s="6" t="str">
        <f>VLOOKUP(F809,Germplasm!$A$1:$B$21,2,FALSE)</f>
        <v>Edel</v>
      </c>
      <c r="F809" t="s">
        <v>67</v>
      </c>
      <c r="G809" s="6" t="s">
        <v>113</v>
      </c>
      <c r="H809">
        <v>44621.4</v>
      </c>
      <c r="I809">
        <v>443.92700000000002</v>
      </c>
      <c r="J809">
        <v>167348</v>
      </c>
      <c r="K809">
        <v>15.211399999999999</v>
      </c>
      <c r="L809">
        <v>77.930099999999996</v>
      </c>
      <c r="M809">
        <v>1546.32</v>
      </c>
      <c r="N809">
        <v>523.75699999999995</v>
      </c>
      <c r="O809">
        <v>23021000</v>
      </c>
      <c r="P809">
        <v>0.199818</v>
      </c>
      <c r="Q809">
        <v>0.76144000000000001</v>
      </c>
      <c r="R809">
        <v>8.2991700000000002</v>
      </c>
      <c r="S809">
        <v>22.6707</v>
      </c>
      <c r="T809">
        <v>44.22</v>
      </c>
      <c r="U809">
        <v>23.531199999999998</v>
      </c>
      <c r="V809">
        <v>0.51756599999999997</v>
      </c>
      <c r="W809">
        <v>97.631200000000007</v>
      </c>
      <c r="X809">
        <v>4.7773700000000003</v>
      </c>
      <c r="Y809">
        <v>8.9562399999999993</v>
      </c>
      <c r="Z809">
        <v>6.4951400000000001</v>
      </c>
      <c r="AA809">
        <v>26.008199999999999</v>
      </c>
      <c r="AB809">
        <v>34.029499999999999</v>
      </c>
      <c r="AC809">
        <v>19.733499999999999</v>
      </c>
      <c r="AD809">
        <v>1.7528900000000001</v>
      </c>
      <c r="AE809">
        <v>9.5191400000000002</v>
      </c>
      <c r="AF809">
        <v>0</v>
      </c>
      <c r="AG809">
        <v>98.001099999999994</v>
      </c>
      <c r="AH809">
        <v>1.99678</v>
      </c>
      <c r="AI809">
        <v>2.1299000000000001E-3</v>
      </c>
      <c r="AJ809">
        <v>0</v>
      </c>
      <c r="AK809">
        <v>0</v>
      </c>
      <c r="AL809">
        <v>0.38554300000000002</v>
      </c>
      <c r="AM809">
        <v>3.1948500000000002</v>
      </c>
      <c r="AN809">
        <v>13.754899999999999</v>
      </c>
      <c r="AO809">
        <v>13.004099999999999</v>
      </c>
      <c r="AP809">
        <v>23.726099999999999</v>
      </c>
      <c r="AQ809">
        <v>36.527799999999999</v>
      </c>
      <c r="AR809">
        <v>9.79223</v>
      </c>
      <c r="AS809">
        <v>0.136104</v>
      </c>
      <c r="AT809">
        <v>1.84663</v>
      </c>
      <c r="AU809">
        <v>20.924199999999999</v>
      </c>
      <c r="AV809">
        <v>44.009099999999997</v>
      </c>
      <c r="AW809">
        <v>26.538599999999999</v>
      </c>
      <c r="AX809">
        <v>4.4653400000000003</v>
      </c>
      <c r="AY809">
        <v>2.2161599999999999</v>
      </c>
      <c r="AZ809">
        <v>515.91800000000001</v>
      </c>
      <c r="BA809">
        <v>783.59900000000005</v>
      </c>
      <c r="BB809">
        <v>25456</v>
      </c>
      <c r="BC809">
        <v>0.10932699999999999</v>
      </c>
      <c r="BD809">
        <v>5.5377500000000003E-2</v>
      </c>
      <c r="BE809">
        <v>0.30031600000000003</v>
      </c>
      <c r="BF809">
        <v>1.35355</v>
      </c>
      <c r="BG809">
        <v>21.060500000000001</v>
      </c>
      <c r="BH809">
        <v>54.069699999999997</v>
      </c>
      <c r="BI809">
        <v>23.160599999999999</v>
      </c>
      <c r="BJ809">
        <v>32.038699999999999</v>
      </c>
      <c r="BK809">
        <v>0</v>
      </c>
      <c r="BL809">
        <v>31.216899999999999</v>
      </c>
      <c r="BM809">
        <v>60.577599999999997</v>
      </c>
      <c r="BN809">
        <v>6.4344400000000004</v>
      </c>
      <c r="BO809">
        <v>1.0095700000000001</v>
      </c>
      <c r="BP809">
        <v>0.76144000000000001</v>
      </c>
      <c r="BQ809">
        <v>34.822400000000002</v>
      </c>
      <c r="BR809">
        <v>93901</v>
      </c>
    </row>
    <row r="810" spans="1:70" x14ac:dyDescent="0.25">
      <c r="A810">
        <v>52</v>
      </c>
      <c r="B810" s="7">
        <v>45994.542083333334</v>
      </c>
      <c r="C810" t="s">
        <v>200</v>
      </c>
      <c r="D810" s="6" t="s">
        <v>416</v>
      </c>
      <c r="E810" s="6" t="str">
        <f>VLOOKUP(F810,Germplasm!$A$1:$B$21,2,FALSE)</f>
        <v>Edel</v>
      </c>
      <c r="F810" t="s">
        <v>67</v>
      </c>
      <c r="G810" s="6" t="s">
        <v>113</v>
      </c>
      <c r="H810">
        <v>36011.800000000003</v>
      </c>
      <c r="I810">
        <v>444.24099999999999</v>
      </c>
      <c r="J810">
        <v>116431</v>
      </c>
      <c r="K810">
        <v>16.9999</v>
      </c>
      <c r="L810">
        <v>60.540599999999998</v>
      </c>
      <c r="M810">
        <v>1355.51</v>
      </c>
      <c r="N810">
        <v>497.75799999999998</v>
      </c>
      <c r="O810">
        <v>18062700</v>
      </c>
      <c r="P810">
        <v>0.15637499999999999</v>
      </c>
      <c r="Q810">
        <v>0.54612400000000005</v>
      </c>
      <c r="R810">
        <v>12.042400000000001</v>
      </c>
      <c r="S810">
        <v>36.240699999999997</v>
      </c>
      <c r="T810">
        <v>37.123199999999997</v>
      </c>
      <c r="U810">
        <v>13.5555</v>
      </c>
      <c r="V810">
        <v>0.492039</v>
      </c>
      <c r="W810">
        <v>75.709000000000003</v>
      </c>
      <c r="X810">
        <v>7.2684600000000001</v>
      </c>
      <c r="Y810">
        <v>20.3187</v>
      </c>
      <c r="Z810">
        <v>17.871700000000001</v>
      </c>
      <c r="AA810">
        <v>25.195599999999999</v>
      </c>
      <c r="AB810">
        <v>19.066800000000001</v>
      </c>
      <c r="AC810">
        <v>10.278700000000001</v>
      </c>
      <c r="AD810">
        <v>1.81941</v>
      </c>
      <c r="AE810">
        <v>12.569100000000001</v>
      </c>
      <c r="AF810">
        <v>0</v>
      </c>
      <c r="AG810">
        <v>94.861999999999995</v>
      </c>
      <c r="AH810">
        <v>5.1182600000000003</v>
      </c>
      <c r="AI810">
        <v>1.9787099999999998E-2</v>
      </c>
      <c r="AJ810">
        <v>0</v>
      </c>
      <c r="AK810">
        <v>0</v>
      </c>
      <c r="AL810">
        <v>0.26042399999999999</v>
      </c>
      <c r="AM810">
        <v>7.4227999999999996</v>
      </c>
      <c r="AN810">
        <v>29.8904</v>
      </c>
      <c r="AO810">
        <v>20.039000000000001</v>
      </c>
      <c r="AP810">
        <v>20.794899999999998</v>
      </c>
      <c r="AQ810">
        <v>17.6356</v>
      </c>
      <c r="AR810">
        <v>4.2172900000000002</v>
      </c>
      <c r="AS810">
        <v>0.22766400000000001</v>
      </c>
      <c r="AT810">
        <v>0.948461</v>
      </c>
      <c r="AU810">
        <v>9.9713700000000003</v>
      </c>
      <c r="AV810">
        <v>33.8095</v>
      </c>
      <c r="AW810">
        <v>37.8474</v>
      </c>
      <c r="AX810">
        <v>14.9617</v>
      </c>
      <c r="AY810">
        <v>2.4615100000000001</v>
      </c>
      <c r="AZ810">
        <v>501.57799999999997</v>
      </c>
      <c r="BA810">
        <v>552.59900000000005</v>
      </c>
      <c r="BB810">
        <v>19793.099999999999</v>
      </c>
      <c r="BC810">
        <v>0.226961</v>
      </c>
      <c r="BD810">
        <v>6.8595199999999995E-2</v>
      </c>
      <c r="BE810">
        <v>0.233488</v>
      </c>
      <c r="BF810">
        <v>0.79939800000000005</v>
      </c>
      <c r="BG810">
        <v>9.8183500000000006</v>
      </c>
      <c r="BH810">
        <v>38.9621</v>
      </c>
      <c r="BI810">
        <v>50.118099999999998</v>
      </c>
      <c r="BJ810">
        <v>33.368699999999997</v>
      </c>
      <c r="BK810">
        <v>0</v>
      </c>
      <c r="BL810">
        <v>29.356100000000001</v>
      </c>
      <c r="BM810">
        <v>59.621099999999998</v>
      </c>
      <c r="BN810">
        <v>9.3236799999999995</v>
      </c>
      <c r="BO810">
        <v>1.14897</v>
      </c>
      <c r="BP810">
        <v>0.55008100000000004</v>
      </c>
      <c r="BQ810">
        <v>33.370600000000003</v>
      </c>
      <c r="BR810">
        <v>75807</v>
      </c>
    </row>
    <row r="811" spans="1:70" x14ac:dyDescent="0.25">
      <c r="A811">
        <v>52</v>
      </c>
      <c r="B811" s="7">
        <v>46002.547719907408</v>
      </c>
      <c r="C811" t="s">
        <v>200</v>
      </c>
      <c r="D811" s="6" t="s">
        <v>417</v>
      </c>
      <c r="E811" s="6" t="str">
        <f>VLOOKUP(F811,Germplasm!$A$1:$B$21,2,FALSE)</f>
        <v>Edel</v>
      </c>
      <c r="F811" t="s">
        <v>67</v>
      </c>
      <c r="G811" s="6" t="s">
        <v>113</v>
      </c>
      <c r="H811">
        <v>25082.9</v>
      </c>
      <c r="I811">
        <v>474.98200000000003</v>
      </c>
      <c r="J811">
        <v>77738.2</v>
      </c>
      <c r="K811">
        <v>16.989999999999998</v>
      </c>
      <c r="L811">
        <v>45.712299999999999</v>
      </c>
      <c r="M811">
        <v>1194.04</v>
      </c>
      <c r="N811">
        <v>484.92</v>
      </c>
      <c r="O811">
        <v>12683600</v>
      </c>
      <c r="P811">
        <v>4.6468799999999998E-2</v>
      </c>
      <c r="Q811">
        <v>1.0108699999999999</v>
      </c>
      <c r="R811">
        <v>32.094700000000003</v>
      </c>
      <c r="S811">
        <v>52.503300000000003</v>
      </c>
      <c r="T811">
        <v>11.595800000000001</v>
      </c>
      <c r="U811">
        <v>2.4838</v>
      </c>
      <c r="V811">
        <v>0.31158200000000003</v>
      </c>
      <c r="W811">
        <v>43.489400000000003</v>
      </c>
      <c r="X811">
        <v>18.659500000000001</v>
      </c>
      <c r="Y811">
        <v>46.829300000000003</v>
      </c>
      <c r="Z811">
        <v>14.5753</v>
      </c>
      <c r="AA811">
        <v>9.7032900000000009</v>
      </c>
      <c r="AB811">
        <v>3.31941</v>
      </c>
      <c r="AC811">
        <v>6.9132199999999999</v>
      </c>
      <c r="AD811">
        <v>1.8991</v>
      </c>
      <c r="AE811">
        <v>16.408799999999999</v>
      </c>
      <c r="AF811">
        <v>0</v>
      </c>
      <c r="AG811">
        <v>84.427999999999997</v>
      </c>
      <c r="AH811">
        <v>15.5366</v>
      </c>
      <c r="AI811">
        <v>3.5407000000000001E-2</v>
      </c>
      <c r="AJ811">
        <v>0</v>
      </c>
      <c r="AK811">
        <v>0</v>
      </c>
      <c r="AL811">
        <v>0.104813</v>
      </c>
      <c r="AM811">
        <v>18.680700000000002</v>
      </c>
      <c r="AN811">
        <v>54.8277</v>
      </c>
      <c r="AO811">
        <v>15.529500000000001</v>
      </c>
      <c r="AP811">
        <v>6.9397700000000002</v>
      </c>
      <c r="AQ811">
        <v>2.4590200000000002</v>
      </c>
      <c r="AR811">
        <v>1.5632200000000001</v>
      </c>
      <c r="AS811">
        <v>0.268764</v>
      </c>
      <c r="AT811">
        <v>0.74885800000000002</v>
      </c>
      <c r="AU811">
        <v>4.3497500000000002</v>
      </c>
      <c r="AV811">
        <v>25.778099999999998</v>
      </c>
      <c r="AW811">
        <v>52.680300000000003</v>
      </c>
      <c r="AX811">
        <v>12.8881</v>
      </c>
      <c r="AY811">
        <v>3.5548600000000001</v>
      </c>
      <c r="AZ811">
        <v>505.66800000000001</v>
      </c>
      <c r="BA811">
        <v>530.99900000000002</v>
      </c>
      <c r="BB811">
        <v>13207.8</v>
      </c>
      <c r="BC811">
        <v>0.32984999999999998</v>
      </c>
      <c r="BD811">
        <v>9.5598900000000001E-2</v>
      </c>
      <c r="BE811">
        <v>0.38947700000000002</v>
      </c>
      <c r="BF811">
        <v>0.77895400000000004</v>
      </c>
      <c r="BG811">
        <v>3.8310399999999998</v>
      </c>
      <c r="BH811">
        <v>16.067699999999999</v>
      </c>
      <c r="BI811">
        <v>78.837199999999996</v>
      </c>
      <c r="BJ811">
        <v>30.068899999999999</v>
      </c>
      <c r="BK811">
        <v>0</v>
      </c>
      <c r="BL811">
        <v>39.972700000000003</v>
      </c>
      <c r="BM811">
        <v>51.798699999999997</v>
      </c>
      <c r="BN811">
        <v>5.9448400000000001</v>
      </c>
      <c r="BO811">
        <v>1.6004</v>
      </c>
      <c r="BP811">
        <v>0.68335500000000005</v>
      </c>
      <c r="BQ811">
        <v>31.785299999999999</v>
      </c>
      <c r="BR811">
        <v>56486</v>
      </c>
    </row>
    <row r="812" spans="1:70" x14ac:dyDescent="0.25">
      <c r="A812">
        <v>52</v>
      </c>
      <c r="B812" s="7">
        <v>46013.573750000003</v>
      </c>
      <c r="C812" t="s">
        <v>200</v>
      </c>
      <c r="D812" s="6" t="s">
        <v>418</v>
      </c>
      <c r="E812" s="6" t="str">
        <f>VLOOKUP(F812,Germplasm!$A$1:$B$21,2,FALSE)</f>
        <v>Edel</v>
      </c>
      <c r="F812" t="s">
        <v>67</v>
      </c>
      <c r="G812" s="6" t="s">
        <v>113</v>
      </c>
      <c r="H812">
        <v>30381.3</v>
      </c>
      <c r="I812">
        <v>400.34800000000001</v>
      </c>
      <c r="J812">
        <v>104850</v>
      </c>
      <c r="K812">
        <v>15.0099</v>
      </c>
      <c r="L812">
        <v>82.036299999999997</v>
      </c>
      <c r="M812">
        <v>1215.46</v>
      </c>
      <c r="N812">
        <v>414.23899999999998</v>
      </c>
      <c r="O812">
        <v>13576500</v>
      </c>
      <c r="P812">
        <v>1.51719E-2</v>
      </c>
      <c r="Q812">
        <v>1.1725399999999999</v>
      </c>
      <c r="R812">
        <v>37.575000000000003</v>
      </c>
      <c r="S812">
        <v>57.081499999999998</v>
      </c>
      <c r="T812">
        <v>3.1715300000000002</v>
      </c>
      <c r="U812">
        <v>0.954739</v>
      </c>
      <c r="V812">
        <v>4.4753399999999999E-2</v>
      </c>
      <c r="W812">
        <v>37.052399999999999</v>
      </c>
      <c r="X812">
        <v>21.295200000000001</v>
      </c>
      <c r="Y812">
        <v>53.177500000000002</v>
      </c>
      <c r="Z812">
        <v>13.1411</v>
      </c>
      <c r="AA812">
        <v>4.8094999999999999</v>
      </c>
      <c r="AB812">
        <v>1.30382</v>
      </c>
      <c r="AC812">
        <v>6.2729400000000002</v>
      </c>
      <c r="AD812">
        <v>1.93045</v>
      </c>
      <c r="AE812">
        <v>20.225899999999999</v>
      </c>
      <c r="AF812">
        <v>0</v>
      </c>
      <c r="AG812">
        <v>72.6691</v>
      </c>
      <c r="AH812">
        <v>25.135000000000002</v>
      </c>
      <c r="AI812">
        <v>2.1108699999999998</v>
      </c>
      <c r="AJ812">
        <v>8.5031499999999996E-2</v>
      </c>
      <c r="AK812">
        <v>0</v>
      </c>
      <c r="AL812">
        <v>6.7834699999999998E-2</v>
      </c>
      <c r="AM812">
        <v>23.881900000000002</v>
      </c>
      <c r="AN812">
        <v>58.801499999999997</v>
      </c>
      <c r="AO812">
        <v>12.0566</v>
      </c>
      <c r="AP812">
        <v>3.54298</v>
      </c>
      <c r="AQ812">
        <v>1.2724899999999999</v>
      </c>
      <c r="AR812">
        <v>0.44455099999999997</v>
      </c>
      <c r="AS812">
        <v>0.232352</v>
      </c>
      <c r="AT812">
        <v>0.46841899999999997</v>
      </c>
      <c r="AU812">
        <v>3.10738</v>
      </c>
      <c r="AV812">
        <v>39.4099</v>
      </c>
      <c r="AW812">
        <v>48.934899999999999</v>
      </c>
      <c r="AX812">
        <v>5.8388299999999997</v>
      </c>
      <c r="AY812">
        <v>2.24065</v>
      </c>
      <c r="AZ812">
        <v>446.87200000000001</v>
      </c>
      <c r="BA812">
        <v>485.54899999999998</v>
      </c>
      <c r="BB812">
        <v>15737.9</v>
      </c>
      <c r="BC812">
        <v>0.310498</v>
      </c>
      <c r="BD812">
        <v>0.111884</v>
      </c>
      <c r="BE812">
        <v>0.28343800000000002</v>
      </c>
      <c r="BF812">
        <v>0.60566299999999995</v>
      </c>
      <c r="BG812">
        <v>2.5748099999999998</v>
      </c>
      <c r="BH812">
        <v>15.668200000000001</v>
      </c>
      <c r="BI812">
        <v>80.756</v>
      </c>
      <c r="BJ812">
        <v>25.065100000000001</v>
      </c>
      <c r="BK812">
        <v>0</v>
      </c>
      <c r="BL812">
        <v>56.261000000000003</v>
      </c>
      <c r="BM812">
        <v>39.491900000000001</v>
      </c>
      <c r="BN812">
        <v>2.8224499999999999</v>
      </c>
      <c r="BO812">
        <v>0.89954400000000001</v>
      </c>
      <c r="BP812">
        <v>0.52510699999999999</v>
      </c>
      <c r="BQ812">
        <v>31.217199999999998</v>
      </c>
      <c r="BR812">
        <v>67034</v>
      </c>
    </row>
    <row r="813" spans="1:70" x14ac:dyDescent="0.25">
      <c r="A813">
        <v>52</v>
      </c>
      <c r="B813" s="7">
        <v>46024.549849537034</v>
      </c>
      <c r="C813" t="s">
        <v>200</v>
      </c>
      <c r="D813" s="6" t="s">
        <v>419</v>
      </c>
      <c r="E813" s="6" t="str">
        <f>VLOOKUP(F813,Germplasm!$A$1:$B$21,2,FALSE)</f>
        <v>Edel</v>
      </c>
      <c r="F813" t="s">
        <v>67</v>
      </c>
      <c r="G813" s="6" t="s">
        <v>113</v>
      </c>
      <c r="H813">
        <v>25483.8</v>
      </c>
      <c r="I813">
        <v>395.11900000000003</v>
      </c>
      <c r="J813">
        <v>65172.6</v>
      </c>
      <c r="K813">
        <v>19.9587</v>
      </c>
      <c r="L813">
        <v>41.656500000000001</v>
      </c>
      <c r="M813">
        <v>1074.21</v>
      </c>
      <c r="N813">
        <v>423.84</v>
      </c>
      <c r="O813">
        <v>10759400</v>
      </c>
      <c r="P813">
        <v>7.4515199999999997E-3</v>
      </c>
      <c r="Q813">
        <v>0.96359700000000004</v>
      </c>
      <c r="R813">
        <v>37.593200000000003</v>
      </c>
      <c r="S813">
        <v>60.143599999999999</v>
      </c>
      <c r="T813">
        <v>1.13158</v>
      </c>
      <c r="U813">
        <v>0.143986</v>
      </c>
      <c r="V813">
        <v>2.3997600000000001E-2</v>
      </c>
      <c r="W813">
        <v>35.686399999999999</v>
      </c>
      <c r="X813">
        <v>21.0718</v>
      </c>
      <c r="Y813">
        <v>57.201099999999997</v>
      </c>
      <c r="Z813">
        <v>10.8912</v>
      </c>
      <c r="AA813">
        <v>2.94617</v>
      </c>
      <c r="AB813">
        <v>1.0319</v>
      </c>
      <c r="AC813">
        <v>6.8577899999999996</v>
      </c>
      <c r="AD813">
        <v>1.9591400000000001</v>
      </c>
      <c r="AE813">
        <v>20.9619</v>
      </c>
      <c r="AF813">
        <v>0</v>
      </c>
      <c r="AG813">
        <v>69.266400000000004</v>
      </c>
      <c r="AH813">
        <v>30.139199999999999</v>
      </c>
      <c r="AI813">
        <v>0.59440300000000001</v>
      </c>
      <c r="AJ813">
        <v>0</v>
      </c>
      <c r="AK813">
        <v>0</v>
      </c>
      <c r="AL813">
        <v>3.78275E-2</v>
      </c>
      <c r="AM813">
        <v>33.377000000000002</v>
      </c>
      <c r="AN813">
        <v>56.339100000000002</v>
      </c>
      <c r="AO813">
        <v>7.8306100000000001</v>
      </c>
      <c r="AP813">
        <v>1.82013</v>
      </c>
      <c r="AQ813">
        <v>0.48918299999999998</v>
      </c>
      <c r="AR813">
        <v>0.143986</v>
      </c>
      <c r="AS813">
        <v>0.21712600000000001</v>
      </c>
      <c r="AT813">
        <v>0.68301000000000001</v>
      </c>
      <c r="AU813">
        <v>3.54427</v>
      </c>
      <c r="AV813">
        <v>44.620800000000003</v>
      </c>
      <c r="AW813">
        <v>42.839500000000001</v>
      </c>
      <c r="AX813">
        <v>6.2560000000000002</v>
      </c>
      <c r="AY813">
        <v>2.0564100000000001</v>
      </c>
      <c r="AZ813">
        <v>422.20800000000003</v>
      </c>
      <c r="BA813">
        <v>472.79899999999998</v>
      </c>
      <c r="BB813">
        <v>13007.6</v>
      </c>
      <c r="BC813">
        <v>0.30970700000000001</v>
      </c>
      <c r="BD813">
        <v>0.190135</v>
      </c>
      <c r="BE813">
        <v>0.50025799999999998</v>
      </c>
      <c r="BF813">
        <v>0.80669000000000002</v>
      </c>
      <c r="BG813">
        <v>2.7301899999999999</v>
      </c>
      <c r="BH813">
        <v>17.957599999999999</v>
      </c>
      <c r="BI813">
        <v>77.815100000000001</v>
      </c>
      <c r="BJ813">
        <v>23.233699999999999</v>
      </c>
      <c r="BK813">
        <v>0</v>
      </c>
      <c r="BL813">
        <v>62.368000000000002</v>
      </c>
      <c r="BM813">
        <v>33.888399999999997</v>
      </c>
      <c r="BN813">
        <v>2.6545100000000001</v>
      </c>
      <c r="BO813">
        <v>0.729159</v>
      </c>
      <c r="BP813">
        <v>0.35996499999999998</v>
      </c>
      <c r="BQ813">
        <v>30.702400000000001</v>
      </c>
      <c r="BR813">
        <v>54172</v>
      </c>
    </row>
    <row r="814" spans="1:70" x14ac:dyDescent="0.25">
      <c r="A814">
        <v>52</v>
      </c>
      <c r="B814" s="7">
        <v>45952.581805555557</v>
      </c>
      <c r="C814" t="s">
        <v>198</v>
      </c>
      <c r="D814" s="6" t="s">
        <v>410</v>
      </c>
      <c r="E814" s="6" t="str">
        <f>VLOOKUP(F814,Germplasm!$A$1:$B$21,2,FALSE)</f>
        <v>Ismena</v>
      </c>
      <c r="F814" t="s">
        <v>63</v>
      </c>
      <c r="G814" s="6" t="s">
        <v>113</v>
      </c>
      <c r="H814">
        <v>35061.599999999999</v>
      </c>
      <c r="I814">
        <v>203.30799999999999</v>
      </c>
      <c r="J814">
        <v>131760</v>
      </c>
      <c r="K814">
        <v>15.694800000000001</v>
      </c>
      <c r="L814">
        <v>82.731499999999997</v>
      </c>
      <c r="M814">
        <v>1452.26</v>
      </c>
      <c r="N814">
        <v>510.05500000000001</v>
      </c>
      <c r="O814">
        <v>8382660</v>
      </c>
      <c r="P814">
        <v>0.25525900000000001</v>
      </c>
      <c r="Q814">
        <v>0.51820500000000003</v>
      </c>
      <c r="R814">
        <v>3.5471900000000001</v>
      </c>
      <c r="S814">
        <v>15.6114</v>
      </c>
      <c r="T814">
        <v>41.393799999999999</v>
      </c>
      <c r="U814">
        <v>38.514499999999998</v>
      </c>
      <c r="V814">
        <v>0.41483599999999998</v>
      </c>
      <c r="W814">
        <v>112.455</v>
      </c>
      <c r="X814">
        <v>1.13842</v>
      </c>
      <c r="Y814">
        <v>2.3489200000000001</v>
      </c>
      <c r="Z814">
        <v>4.5033500000000002</v>
      </c>
      <c r="AA814">
        <v>20.2209</v>
      </c>
      <c r="AB814">
        <v>40.511099999999999</v>
      </c>
      <c r="AC814">
        <v>31.2773</v>
      </c>
      <c r="AD814">
        <v>1.6954800000000001</v>
      </c>
      <c r="AE814">
        <v>7.1102299999999996</v>
      </c>
      <c r="AF814">
        <v>0</v>
      </c>
      <c r="AG814">
        <v>99.936099999999996</v>
      </c>
      <c r="AH814">
        <v>5.44047E-2</v>
      </c>
      <c r="AI814">
        <v>9.5208299999999992E-3</v>
      </c>
      <c r="AJ814">
        <v>0</v>
      </c>
      <c r="AK814">
        <v>0</v>
      </c>
      <c r="AL814">
        <v>0.54134199999999999</v>
      </c>
      <c r="AM814">
        <v>0.382193</v>
      </c>
      <c r="AN814">
        <v>2.1449099999999999</v>
      </c>
      <c r="AO814">
        <v>4.8066599999999999</v>
      </c>
      <c r="AP814">
        <v>13.943899999999999</v>
      </c>
      <c r="AQ814">
        <v>39.168700000000001</v>
      </c>
      <c r="AR814">
        <v>39.553600000000003</v>
      </c>
      <c r="AS814">
        <v>6.2765699999999994E-2</v>
      </c>
      <c r="AT814">
        <v>6.2606299999999999</v>
      </c>
      <c r="AU814">
        <v>30.616299999999999</v>
      </c>
      <c r="AV814">
        <v>43.322499999999998</v>
      </c>
      <c r="AW814">
        <v>15.358499999999999</v>
      </c>
      <c r="AX814">
        <v>3.14459</v>
      </c>
      <c r="AY814">
        <v>1.29755</v>
      </c>
      <c r="AZ814">
        <v>239.084</v>
      </c>
      <c r="BA814">
        <v>250.79900000000001</v>
      </c>
      <c r="BB814">
        <v>20679.5</v>
      </c>
      <c r="BC814">
        <v>2.8975000000000001E-2</v>
      </c>
      <c r="BD814">
        <v>3.4002999999999999E-2</v>
      </c>
      <c r="BE814">
        <v>0.21489900000000001</v>
      </c>
      <c r="BF814">
        <v>2.0279400000000001</v>
      </c>
      <c r="BG814">
        <v>34.600099999999998</v>
      </c>
      <c r="BH814">
        <v>57.970999999999997</v>
      </c>
      <c r="BI814">
        <v>5.1521299999999997</v>
      </c>
      <c r="BJ814">
        <v>34.263800000000003</v>
      </c>
      <c r="BK814">
        <v>0</v>
      </c>
      <c r="BL814">
        <v>26.293800000000001</v>
      </c>
      <c r="BM814">
        <v>61.409399999999998</v>
      </c>
      <c r="BN814">
        <v>11.2128</v>
      </c>
      <c r="BO814">
        <v>0.844634</v>
      </c>
      <c r="BP814">
        <v>0.23938100000000001</v>
      </c>
      <c r="BQ814">
        <v>36.176400000000001</v>
      </c>
      <c r="BR814">
        <v>73523</v>
      </c>
    </row>
    <row r="815" spans="1:70" x14ac:dyDescent="0.25">
      <c r="A815">
        <v>52</v>
      </c>
      <c r="B815" s="7">
        <v>45959.554652777777</v>
      </c>
      <c r="C815" t="s">
        <v>198</v>
      </c>
      <c r="D815" s="6" t="s">
        <v>411</v>
      </c>
      <c r="E815" s="6" t="str">
        <f>VLOOKUP(F815,Germplasm!$A$1:$B$21,2,FALSE)</f>
        <v>Ismena</v>
      </c>
      <c r="F815" t="s">
        <v>63</v>
      </c>
      <c r="G815" s="6" t="s">
        <v>113</v>
      </c>
      <c r="H815">
        <v>65975</v>
      </c>
      <c r="I815">
        <v>359.43799999999999</v>
      </c>
      <c r="J815">
        <v>198398</v>
      </c>
      <c r="K815">
        <v>19.082799999999999</v>
      </c>
      <c r="L815">
        <v>77.775400000000005</v>
      </c>
      <c r="M815">
        <v>1711.93</v>
      </c>
      <c r="N815">
        <v>612.22</v>
      </c>
      <c r="O815">
        <v>28559100</v>
      </c>
      <c r="P815">
        <v>0.2208</v>
      </c>
      <c r="Q815">
        <v>1.01542</v>
      </c>
      <c r="R815">
        <v>3.7374399999999999</v>
      </c>
      <c r="S815">
        <v>22.025600000000001</v>
      </c>
      <c r="T815">
        <v>46.2759</v>
      </c>
      <c r="U815">
        <v>26.250599999999999</v>
      </c>
      <c r="V815">
        <v>0.69500099999999998</v>
      </c>
      <c r="W815">
        <v>120.883</v>
      </c>
      <c r="X815">
        <v>1.09857</v>
      </c>
      <c r="Y815">
        <v>1.8530800000000001</v>
      </c>
      <c r="Z815">
        <v>3.6024099999999999</v>
      </c>
      <c r="AA815">
        <v>14.8346</v>
      </c>
      <c r="AB815">
        <v>33.385199999999998</v>
      </c>
      <c r="AC815">
        <v>45.226199999999999</v>
      </c>
      <c r="AD815">
        <v>1.74261</v>
      </c>
      <c r="AE815">
        <v>6.8461400000000001</v>
      </c>
      <c r="AF815">
        <v>0</v>
      </c>
      <c r="AG815">
        <v>99.842100000000002</v>
      </c>
      <c r="AH815">
        <v>0.15486800000000001</v>
      </c>
      <c r="AI815">
        <v>3.0515899999999999E-3</v>
      </c>
      <c r="AJ815">
        <v>0</v>
      </c>
      <c r="AK815">
        <v>0</v>
      </c>
      <c r="AL815">
        <v>0.52509600000000001</v>
      </c>
      <c r="AM815">
        <v>0.62634000000000001</v>
      </c>
      <c r="AN815">
        <v>2.3687999999999998</v>
      </c>
      <c r="AO815">
        <v>5.1526199999999998</v>
      </c>
      <c r="AP815">
        <v>15.8843</v>
      </c>
      <c r="AQ815">
        <v>43.0672</v>
      </c>
      <c r="AR815">
        <v>32.900799999999997</v>
      </c>
      <c r="AS815">
        <v>1.6779499999999999E-2</v>
      </c>
      <c r="AT815">
        <v>8.7207000000000008</v>
      </c>
      <c r="AU815">
        <v>41.731299999999997</v>
      </c>
      <c r="AV815">
        <v>36.854900000000001</v>
      </c>
      <c r="AW815">
        <v>8.8877699999999997</v>
      </c>
      <c r="AX815">
        <v>2.0483799999999999</v>
      </c>
      <c r="AY815">
        <v>1.7569600000000001</v>
      </c>
      <c r="AZ815">
        <v>432.87700000000001</v>
      </c>
      <c r="BA815">
        <v>495.59899999999999</v>
      </c>
      <c r="BB815">
        <v>37859.800000000003</v>
      </c>
      <c r="BC815">
        <v>8.0295900000000001E-4</v>
      </c>
      <c r="BD815">
        <v>6.0269000000000003E-2</v>
      </c>
      <c r="BE815">
        <v>0.44477</v>
      </c>
      <c r="BF815">
        <v>3.1835800000000001</v>
      </c>
      <c r="BG815">
        <v>46.761899999999997</v>
      </c>
      <c r="BH815">
        <v>45.103299999999997</v>
      </c>
      <c r="BI815">
        <v>4.4461700000000004</v>
      </c>
      <c r="BJ815">
        <v>31.061599999999999</v>
      </c>
      <c r="BK815">
        <v>0</v>
      </c>
      <c r="BL815">
        <v>37.707799999999999</v>
      </c>
      <c r="BM815">
        <v>52.9253</v>
      </c>
      <c r="BN815">
        <v>7.3360300000000001</v>
      </c>
      <c r="BO815">
        <v>1.0261</v>
      </c>
      <c r="BP815">
        <v>1.00474</v>
      </c>
      <c r="BQ815">
        <v>35.067</v>
      </c>
      <c r="BR815">
        <v>131079</v>
      </c>
    </row>
    <row r="816" spans="1:70" x14ac:dyDescent="0.25">
      <c r="A816">
        <v>52</v>
      </c>
      <c r="B816" s="7">
        <v>45966.526516203703</v>
      </c>
      <c r="C816" t="s">
        <v>198</v>
      </c>
      <c r="D816" s="6" t="s">
        <v>412</v>
      </c>
      <c r="E816" s="6" t="str">
        <f>VLOOKUP(F816,Germplasm!$A$1:$B$21,2,FALSE)</f>
        <v>Ismena</v>
      </c>
      <c r="F816" t="s">
        <v>63</v>
      </c>
      <c r="G816" s="6" t="s">
        <v>113</v>
      </c>
      <c r="H816">
        <v>44169.7</v>
      </c>
      <c r="I816">
        <v>482.36399999999998</v>
      </c>
      <c r="J816">
        <v>194352</v>
      </c>
      <c r="K816">
        <v>13.917199999999999</v>
      </c>
      <c r="L816">
        <v>86.113699999999994</v>
      </c>
      <c r="M816">
        <v>1699.79</v>
      </c>
      <c r="N816">
        <v>587.173</v>
      </c>
      <c r="O816">
        <v>25245800</v>
      </c>
      <c r="P816">
        <v>0.251448</v>
      </c>
      <c r="Q816">
        <v>0.44222499999999998</v>
      </c>
      <c r="R816">
        <v>2.5389599999999999</v>
      </c>
      <c r="S816">
        <v>16.756499999999999</v>
      </c>
      <c r="T816">
        <v>44.397100000000002</v>
      </c>
      <c r="U816">
        <v>35.314700000000002</v>
      </c>
      <c r="V816">
        <v>0.55048299999999994</v>
      </c>
      <c r="W816">
        <v>115.77200000000001</v>
      </c>
      <c r="X816">
        <v>1.1469199999999999</v>
      </c>
      <c r="Y816">
        <v>1.96193</v>
      </c>
      <c r="Z816">
        <v>3.26613</v>
      </c>
      <c r="AA816">
        <v>14.7333</v>
      </c>
      <c r="AB816">
        <v>44.2102</v>
      </c>
      <c r="AC816">
        <v>34.6815</v>
      </c>
      <c r="AD816">
        <v>1.6329899999999999</v>
      </c>
      <c r="AE816">
        <v>6.3724999999999996</v>
      </c>
      <c r="AF816">
        <v>0</v>
      </c>
      <c r="AG816">
        <v>99.938699999999997</v>
      </c>
      <c r="AH816">
        <v>5.8214399999999999E-2</v>
      </c>
      <c r="AI816">
        <v>3.06391E-3</v>
      </c>
      <c r="AJ816">
        <v>0</v>
      </c>
      <c r="AK816">
        <v>0</v>
      </c>
      <c r="AL816">
        <v>0.54814799999999997</v>
      </c>
      <c r="AM816">
        <v>0.434054</v>
      </c>
      <c r="AN816">
        <v>2.1365699999999999</v>
      </c>
      <c r="AO816">
        <v>6.4658800000000003</v>
      </c>
      <c r="AP816">
        <v>12.487500000000001</v>
      </c>
      <c r="AQ816">
        <v>32.733800000000002</v>
      </c>
      <c r="AR816">
        <v>45.742199999999997</v>
      </c>
      <c r="AS816">
        <v>4.6968599999999999E-2</v>
      </c>
      <c r="AT816">
        <v>3.9044500000000002</v>
      </c>
      <c r="AU816">
        <v>38.703400000000002</v>
      </c>
      <c r="AV816">
        <v>43.319600000000001</v>
      </c>
      <c r="AW816">
        <v>9.6666500000000006</v>
      </c>
      <c r="AX816">
        <v>2.6135199999999998</v>
      </c>
      <c r="AY816">
        <v>1.7923899999999999</v>
      </c>
      <c r="AZ816">
        <v>571.56299999999999</v>
      </c>
      <c r="BA816">
        <v>656.4</v>
      </c>
      <c r="BB816">
        <v>27048.400000000001</v>
      </c>
      <c r="BC816">
        <v>2.0073299999999999E-2</v>
      </c>
      <c r="BD816">
        <v>1.6340899999999998E-2</v>
      </c>
      <c r="BE816">
        <v>0.168515</v>
      </c>
      <c r="BF816">
        <v>1.1152599999999999</v>
      </c>
      <c r="BG816">
        <v>41.306699999999999</v>
      </c>
      <c r="BH816">
        <v>52.866799999999998</v>
      </c>
      <c r="BI816">
        <v>4.5264199999999999</v>
      </c>
      <c r="BJ816">
        <v>32.543500000000002</v>
      </c>
      <c r="BK816">
        <v>0</v>
      </c>
      <c r="BL816">
        <v>30.3215</v>
      </c>
      <c r="BM816">
        <v>59.892400000000002</v>
      </c>
      <c r="BN816">
        <v>8.2317099999999996</v>
      </c>
      <c r="BO816">
        <v>1.0887100000000001</v>
      </c>
      <c r="BP816">
        <v>0.46571499999999999</v>
      </c>
      <c r="BQ816">
        <v>37.805999999999997</v>
      </c>
      <c r="BR816">
        <v>97914</v>
      </c>
    </row>
    <row r="817" spans="1:70" x14ac:dyDescent="0.25">
      <c r="A817">
        <v>52</v>
      </c>
      <c r="B817" s="7">
        <v>45973.575659722221</v>
      </c>
      <c r="C817" t="s">
        <v>198</v>
      </c>
      <c r="D817" s="6" t="s">
        <v>413</v>
      </c>
      <c r="E817" s="6" t="str">
        <f>VLOOKUP(F817,Germplasm!$A$1:$B$21,2,FALSE)</f>
        <v>Ismena</v>
      </c>
      <c r="F817" t="s">
        <v>63</v>
      </c>
      <c r="G817" s="6" t="s">
        <v>113</v>
      </c>
      <c r="H817">
        <v>75625.5</v>
      </c>
      <c r="I817">
        <v>363.86599999999999</v>
      </c>
      <c r="J817">
        <v>308577</v>
      </c>
      <c r="K817">
        <v>13.760400000000001</v>
      </c>
      <c r="L817">
        <v>79.076099999999997</v>
      </c>
      <c r="M817">
        <v>2068.34</v>
      </c>
      <c r="N817">
        <v>738.91300000000001</v>
      </c>
      <c r="O817">
        <v>31995700</v>
      </c>
      <c r="P817">
        <v>0.187336</v>
      </c>
      <c r="Q817">
        <v>0.83464700000000003</v>
      </c>
      <c r="R817">
        <v>8.75943</v>
      </c>
      <c r="S817">
        <v>28.929200000000002</v>
      </c>
      <c r="T817">
        <v>39.118099999999998</v>
      </c>
      <c r="U817">
        <v>21.996099999999998</v>
      </c>
      <c r="V817">
        <v>0.36251100000000003</v>
      </c>
      <c r="W817">
        <v>95.210300000000004</v>
      </c>
      <c r="X817">
        <v>4.2112299999999996</v>
      </c>
      <c r="Y817">
        <v>9.9565900000000003</v>
      </c>
      <c r="Z817">
        <v>9.6700700000000008</v>
      </c>
      <c r="AA817">
        <v>25.252400000000002</v>
      </c>
      <c r="AB817">
        <v>30.495100000000001</v>
      </c>
      <c r="AC817">
        <v>20.4146</v>
      </c>
      <c r="AD817">
        <v>1.78104</v>
      </c>
      <c r="AE817">
        <v>9.8540200000000002</v>
      </c>
      <c r="AF817">
        <v>0</v>
      </c>
      <c r="AG817">
        <v>98.531300000000002</v>
      </c>
      <c r="AH817">
        <v>1.4095599999999999</v>
      </c>
      <c r="AI817">
        <v>5.7926999999999999E-2</v>
      </c>
      <c r="AJ817">
        <v>1.24574E-3</v>
      </c>
      <c r="AK817">
        <v>0</v>
      </c>
      <c r="AL817">
        <v>0.38083499999999998</v>
      </c>
      <c r="AM817">
        <v>2.6945399999999999</v>
      </c>
      <c r="AN817">
        <v>10.5863</v>
      </c>
      <c r="AO817">
        <v>17.982900000000001</v>
      </c>
      <c r="AP817">
        <v>28.635200000000001</v>
      </c>
      <c r="AQ817">
        <v>29.584499999999998</v>
      </c>
      <c r="AR817">
        <v>10.516500000000001</v>
      </c>
      <c r="AS817">
        <v>0.14607400000000001</v>
      </c>
      <c r="AT817">
        <v>2.08412</v>
      </c>
      <c r="AU817">
        <v>20.532299999999999</v>
      </c>
      <c r="AV817">
        <v>42.810499999999998</v>
      </c>
      <c r="AW817">
        <v>24.632000000000001</v>
      </c>
      <c r="AX817">
        <v>7.4794299999999998</v>
      </c>
      <c r="AY817">
        <v>2.4615800000000001</v>
      </c>
      <c r="AZ817">
        <v>423.08100000000002</v>
      </c>
      <c r="BA817">
        <v>478.19900000000001</v>
      </c>
      <c r="BB817">
        <v>42461.5</v>
      </c>
      <c r="BC817">
        <v>0.105974</v>
      </c>
      <c r="BD817">
        <v>8.4710400000000005E-2</v>
      </c>
      <c r="BE817">
        <v>0.40361999999999998</v>
      </c>
      <c r="BF817">
        <v>1.8057000000000001</v>
      </c>
      <c r="BG817">
        <v>20.322399999999998</v>
      </c>
      <c r="BH817">
        <v>54.341099999999997</v>
      </c>
      <c r="BI817">
        <v>23.0425</v>
      </c>
      <c r="BJ817">
        <v>31.743500000000001</v>
      </c>
      <c r="BK817">
        <v>0</v>
      </c>
      <c r="BL817">
        <v>36.817900000000002</v>
      </c>
      <c r="BM817">
        <v>51.909399999999998</v>
      </c>
      <c r="BN817">
        <v>9.3972499999999997</v>
      </c>
      <c r="BO817">
        <v>1.13487</v>
      </c>
      <c r="BP817">
        <v>0.74059299999999995</v>
      </c>
      <c r="BQ817">
        <v>34.207299999999996</v>
      </c>
      <c r="BR817">
        <v>160547</v>
      </c>
    </row>
    <row r="818" spans="1:70" x14ac:dyDescent="0.25">
      <c r="A818">
        <v>52</v>
      </c>
      <c r="B818" s="7">
        <v>45973.578483796293</v>
      </c>
      <c r="C818" t="s">
        <v>198</v>
      </c>
      <c r="D818" s="6" t="s">
        <v>414</v>
      </c>
      <c r="E818" s="6" t="str">
        <f>VLOOKUP(F818,Germplasm!$A$1:$B$21,2,FALSE)</f>
        <v>Ismena</v>
      </c>
      <c r="F818" t="s">
        <v>63</v>
      </c>
      <c r="G818" s="6" t="s">
        <v>113</v>
      </c>
      <c r="H818">
        <v>74125.7</v>
      </c>
      <c r="I818">
        <v>542.476</v>
      </c>
      <c r="J818">
        <v>213982</v>
      </c>
      <c r="K818">
        <v>19.512799999999999</v>
      </c>
      <c r="L818">
        <v>80.702399999999997</v>
      </c>
      <c r="M818">
        <v>1748.44</v>
      </c>
      <c r="N818">
        <v>622.11099999999999</v>
      </c>
      <c r="O818">
        <v>47525000</v>
      </c>
      <c r="P818">
        <v>0.230849</v>
      </c>
      <c r="Q818">
        <v>0.97001800000000005</v>
      </c>
      <c r="R818">
        <v>3.6517200000000001</v>
      </c>
      <c r="S818">
        <v>20.401900000000001</v>
      </c>
      <c r="T818">
        <v>44.2104</v>
      </c>
      <c r="U818">
        <v>30.023599999999998</v>
      </c>
      <c r="V818">
        <v>0.74230799999999997</v>
      </c>
      <c r="W818">
        <v>116.223</v>
      </c>
      <c r="X818">
        <v>1.58368</v>
      </c>
      <c r="Y818">
        <v>2.6649799999999999</v>
      </c>
      <c r="Z818">
        <v>3.69096</v>
      </c>
      <c r="AA818">
        <v>15.2964</v>
      </c>
      <c r="AB818">
        <v>38.999499999999998</v>
      </c>
      <c r="AC818">
        <v>37.764499999999998</v>
      </c>
      <c r="AD818">
        <v>1.7753000000000001</v>
      </c>
      <c r="AE818">
        <v>6.4032600000000004</v>
      </c>
      <c r="AF818">
        <v>0</v>
      </c>
      <c r="AG818">
        <v>99.922799999999995</v>
      </c>
      <c r="AH818">
        <v>7.7189800000000003E-2</v>
      </c>
      <c r="AI818">
        <v>0</v>
      </c>
      <c r="AJ818">
        <v>0</v>
      </c>
      <c r="AK818">
        <v>0</v>
      </c>
      <c r="AL818">
        <v>0.51286699999999996</v>
      </c>
      <c r="AM818">
        <v>0.59886399999999995</v>
      </c>
      <c r="AN818">
        <v>3.2233200000000002</v>
      </c>
      <c r="AO818">
        <v>8.5983000000000001</v>
      </c>
      <c r="AP818">
        <v>15.9352</v>
      </c>
      <c r="AQ818">
        <v>36.7211</v>
      </c>
      <c r="AR818">
        <v>34.923200000000001</v>
      </c>
      <c r="AS818">
        <v>5.0406100000000002E-2</v>
      </c>
      <c r="AT818">
        <v>5.38978</v>
      </c>
      <c r="AU818">
        <v>38.476500000000001</v>
      </c>
      <c r="AV818">
        <v>40.2821</v>
      </c>
      <c r="AW818">
        <v>10.1685</v>
      </c>
      <c r="AX818">
        <v>2.96923</v>
      </c>
      <c r="AY818">
        <v>2.7138599999999999</v>
      </c>
      <c r="AZ818">
        <v>641.14</v>
      </c>
      <c r="BA818">
        <v>823.19899999999996</v>
      </c>
      <c r="BB818">
        <v>41753.800000000003</v>
      </c>
      <c r="BC818">
        <v>2.10891E-2</v>
      </c>
      <c r="BD818">
        <v>5.2103099999999999E-2</v>
      </c>
      <c r="BE818">
        <v>0.296537</v>
      </c>
      <c r="BF818">
        <v>2.1516600000000001</v>
      </c>
      <c r="BG818">
        <v>41.366</v>
      </c>
      <c r="BH818">
        <v>49.501199999999997</v>
      </c>
      <c r="BI818">
        <v>6.63253</v>
      </c>
      <c r="BJ818">
        <v>32.188600000000001</v>
      </c>
      <c r="BK818">
        <v>0</v>
      </c>
      <c r="BL818">
        <v>34.391300000000001</v>
      </c>
      <c r="BM818">
        <v>54.7346</v>
      </c>
      <c r="BN818">
        <v>8.3474299999999992</v>
      </c>
      <c r="BO818">
        <v>1.6332100000000001</v>
      </c>
      <c r="BP818">
        <v>0.89347200000000004</v>
      </c>
      <c r="BQ818">
        <v>34.331400000000002</v>
      </c>
      <c r="BR818">
        <v>155461</v>
      </c>
    </row>
    <row r="819" spans="1:70" x14ac:dyDescent="0.25">
      <c r="A819">
        <v>52</v>
      </c>
      <c r="B819" s="7">
        <v>45988.594641203701</v>
      </c>
      <c r="C819" t="s">
        <v>198</v>
      </c>
      <c r="D819" s="6" t="s">
        <v>415</v>
      </c>
      <c r="E819" s="6" t="str">
        <f>VLOOKUP(F819,Germplasm!$A$1:$B$21,2,FALSE)</f>
        <v>Ismena</v>
      </c>
      <c r="F819" t="s">
        <v>63</v>
      </c>
      <c r="G819" s="6" t="s">
        <v>113</v>
      </c>
      <c r="H819">
        <v>72660.100000000006</v>
      </c>
      <c r="I819">
        <v>521.82100000000003</v>
      </c>
      <c r="J819">
        <v>216529</v>
      </c>
      <c r="K819">
        <v>19.6556</v>
      </c>
      <c r="L819">
        <v>75.198700000000002</v>
      </c>
      <c r="M819">
        <v>1756.67</v>
      </c>
      <c r="N819">
        <v>613.54200000000003</v>
      </c>
      <c r="O819">
        <v>48640900</v>
      </c>
      <c r="P819">
        <v>0.212697</v>
      </c>
      <c r="Q819">
        <v>1.0154099999999999</v>
      </c>
      <c r="R819">
        <v>6.3125200000000001</v>
      </c>
      <c r="S819">
        <v>21.284199999999998</v>
      </c>
      <c r="T819">
        <v>43.925699999999999</v>
      </c>
      <c r="U819">
        <v>26.845600000000001</v>
      </c>
      <c r="V819">
        <v>0.61652099999999999</v>
      </c>
      <c r="W819">
        <v>98.989699999999999</v>
      </c>
      <c r="X819">
        <v>3.46149</v>
      </c>
      <c r="Y819">
        <v>7.2794299999999996</v>
      </c>
      <c r="Z819">
        <v>7.2957999999999998</v>
      </c>
      <c r="AA819">
        <v>26.1236</v>
      </c>
      <c r="AB819">
        <v>37.120399999999997</v>
      </c>
      <c r="AC819">
        <v>18.7193</v>
      </c>
      <c r="AD819">
        <v>1.7072400000000001</v>
      </c>
      <c r="AE819">
        <v>8.0176800000000004</v>
      </c>
      <c r="AF819">
        <v>0</v>
      </c>
      <c r="AG819">
        <v>98.546899999999994</v>
      </c>
      <c r="AH819">
        <v>1.4531000000000001</v>
      </c>
      <c r="AI819">
        <v>0</v>
      </c>
      <c r="AJ819">
        <v>0</v>
      </c>
      <c r="AK819">
        <v>0</v>
      </c>
      <c r="AL819">
        <v>0.42484</v>
      </c>
      <c r="AM819">
        <v>2.5164</v>
      </c>
      <c r="AN819">
        <v>9.5139399999999998</v>
      </c>
      <c r="AO819">
        <v>13.507099999999999</v>
      </c>
      <c r="AP819">
        <v>20.387599999999999</v>
      </c>
      <c r="AQ819">
        <v>35.568399999999997</v>
      </c>
      <c r="AR819">
        <v>18.506499999999999</v>
      </c>
      <c r="AS819">
        <v>0.144484</v>
      </c>
      <c r="AT819">
        <v>1.4615800000000001</v>
      </c>
      <c r="AU819">
        <v>20.564</v>
      </c>
      <c r="AV819">
        <v>45.1006</v>
      </c>
      <c r="AW819">
        <v>23.724799999999998</v>
      </c>
      <c r="AX819">
        <v>6.3161500000000004</v>
      </c>
      <c r="AY819">
        <v>2.83284</v>
      </c>
      <c r="AZ819">
        <v>669.43</v>
      </c>
      <c r="BA819">
        <v>764.399</v>
      </c>
      <c r="BB819">
        <v>42560.1</v>
      </c>
      <c r="BC819">
        <v>0.104463</v>
      </c>
      <c r="BD819">
        <v>3.6979100000000001E-2</v>
      </c>
      <c r="BE819">
        <v>0.17277100000000001</v>
      </c>
      <c r="BF819">
        <v>0.916597</v>
      </c>
      <c r="BG819">
        <v>20.897400000000001</v>
      </c>
      <c r="BH819">
        <v>57.267899999999997</v>
      </c>
      <c r="BI819">
        <v>20.708300000000001</v>
      </c>
      <c r="BJ819">
        <v>33.463000000000001</v>
      </c>
      <c r="BK819">
        <v>0</v>
      </c>
      <c r="BL819">
        <v>29.523900000000001</v>
      </c>
      <c r="BM819">
        <v>58.840400000000002</v>
      </c>
      <c r="BN819">
        <v>9.0768599999999999</v>
      </c>
      <c r="BO819">
        <v>1.40157</v>
      </c>
      <c r="BP819">
        <v>1.15726</v>
      </c>
      <c r="BQ819">
        <v>35.907600000000002</v>
      </c>
      <c r="BR819">
        <v>164958</v>
      </c>
    </row>
    <row r="820" spans="1:70" x14ac:dyDescent="0.25">
      <c r="A820">
        <v>52</v>
      </c>
      <c r="B820" s="7">
        <v>45994.542083333334</v>
      </c>
      <c r="C820" t="s">
        <v>198</v>
      </c>
      <c r="D820" s="6" t="s">
        <v>416</v>
      </c>
      <c r="E820" s="6" t="str">
        <f>VLOOKUP(F820,Germplasm!$A$1:$B$21,2,FALSE)</f>
        <v>Ismena</v>
      </c>
      <c r="F820" t="s">
        <v>63</v>
      </c>
      <c r="G820" s="6" t="s">
        <v>113</v>
      </c>
      <c r="H820">
        <v>70073.600000000006</v>
      </c>
      <c r="I820">
        <v>532.83900000000006</v>
      </c>
      <c r="J820">
        <v>222543</v>
      </c>
      <c r="K820">
        <v>18.011199999999999</v>
      </c>
      <c r="L820">
        <v>71.935100000000006</v>
      </c>
      <c r="M820">
        <v>1795.06</v>
      </c>
      <c r="N820">
        <v>648.85799999999995</v>
      </c>
      <c r="O820">
        <v>47328700</v>
      </c>
      <c r="P820">
        <v>0.17896899999999999</v>
      </c>
      <c r="Q820">
        <v>0.558249</v>
      </c>
      <c r="R820">
        <v>8.4337700000000009</v>
      </c>
      <c r="S820">
        <v>31.790800000000001</v>
      </c>
      <c r="T820">
        <v>41.158999999999999</v>
      </c>
      <c r="U820">
        <v>17.7758</v>
      </c>
      <c r="V820">
        <v>0.28231800000000001</v>
      </c>
      <c r="W820">
        <v>76.4178</v>
      </c>
      <c r="X820">
        <v>4.7617200000000004</v>
      </c>
      <c r="Y820">
        <v>16.610099999999999</v>
      </c>
      <c r="Z820">
        <v>22.500499999999999</v>
      </c>
      <c r="AA820">
        <v>32.941200000000002</v>
      </c>
      <c r="AB820">
        <v>15.1372</v>
      </c>
      <c r="AC820">
        <v>8.0492600000000003</v>
      </c>
      <c r="AD820">
        <v>1.74823</v>
      </c>
      <c r="AE820">
        <v>11.505599999999999</v>
      </c>
      <c r="AF820">
        <v>0</v>
      </c>
      <c r="AG820">
        <v>96.272400000000005</v>
      </c>
      <c r="AH820">
        <v>3.72634</v>
      </c>
      <c r="AI820">
        <v>1.27746E-3</v>
      </c>
      <c r="AJ820">
        <v>0</v>
      </c>
      <c r="AK820">
        <v>0</v>
      </c>
      <c r="AL820">
        <v>0.277061</v>
      </c>
      <c r="AM820">
        <v>6.3221400000000001</v>
      </c>
      <c r="AN820">
        <v>21.861799999999999</v>
      </c>
      <c r="AO820">
        <v>25.6373</v>
      </c>
      <c r="AP820">
        <v>25.694800000000001</v>
      </c>
      <c r="AQ820">
        <v>16.6587</v>
      </c>
      <c r="AR820">
        <v>3.8253499999999998</v>
      </c>
      <c r="AS820">
        <v>0.27217400000000003</v>
      </c>
      <c r="AT820">
        <v>0.87825200000000003</v>
      </c>
      <c r="AU820">
        <v>7.48909</v>
      </c>
      <c r="AV820">
        <v>27.935400000000001</v>
      </c>
      <c r="AW820">
        <v>35.927199999999999</v>
      </c>
      <c r="AX820">
        <v>24.212900000000001</v>
      </c>
      <c r="AY820">
        <v>3.55708</v>
      </c>
      <c r="AZ820">
        <v>675.41399999999999</v>
      </c>
      <c r="BA820">
        <v>802.19899999999996</v>
      </c>
      <c r="BB820">
        <v>40082.699999999997</v>
      </c>
      <c r="BC820">
        <v>0.24582699999999999</v>
      </c>
      <c r="BD820">
        <v>9.19769E-2</v>
      </c>
      <c r="BE820">
        <v>0.33469399999999999</v>
      </c>
      <c r="BF820">
        <v>0.60934699999999997</v>
      </c>
      <c r="BG820">
        <v>7.3306899999999997</v>
      </c>
      <c r="BH820">
        <v>38.121899999999997</v>
      </c>
      <c r="BI820">
        <v>53.511400000000002</v>
      </c>
      <c r="BJ820">
        <v>37.286700000000003</v>
      </c>
      <c r="BK820">
        <v>0</v>
      </c>
      <c r="BL820">
        <v>24.311299999999999</v>
      </c>
      <c r="BM820">
        <v>54.242100000000001</v>
      </c>
      <c r="BN820">
        <v>19.8383</v>
      </c>
      <c r="BO820">
        <v>1.2174199999999999</v>
      </c>
      <c r="BP820">
        <v>0.39090200000000003</v>
      </c>
      <c r="BQ820">
        <v>34.9392</v>
      </c>
      <c r="BR820">
        <v>156561</v>
      </c>
    </row>
    <row r="821" spans="1:70" x14ac:dyDescent="0.25">
      <c r="A821">
        <v>52</v>
      </c>
      <c r="B821" s="7">
        <v>46002.547719907408</v>
      </c>
      <c r="C821" t="s">
        <v>198</v>
      </c>
      <c r="D821" s="6" t="s">
        <v>417</v>
      </c>
      <c r="E821" s="6" t="str">
        <f>VLOOKUP(F821,Germplasm!$A$1:$B$21,2,FALSE)</f>
        <v>Ismena</v>
      </c>
      <c r="F821" t="s">
        <v>63</v>
      </c>
      <c r="G821" s="6" t="s">
        <v>113</v>
      </c>
      <c r="H821">
        <v>52563.1</v>
      </c>
      <c r="I821">
        <v>563.81700000000001</v>
      </c>
      <c r="J821">
        <v>181278</v>
      </c>
      <c r="K821">
        <v>16.075500000000002</v>
      </c>
      <c r="L821">
        <v>73.839500000000001</v>
      </c>
      <c r="M821">
        <v>1957.45</v>
      </c>
      <c r="N821">
        <v>581.51400000000001</v>
      </c>
      <c r="O821">
        <v>36044600</v>
      </c>
      <c r="P821">
        <v>0.109962</v>
      </c>
      <c r="Q821">
        <v>1.3202400000000001</v>
      </c>
      <c r="R821">
        <v>19.201899999999998</v>
      </c>
      <c r="S821">
        <v>42.889299999999999</v>
      </c>
      <c r="T821">
        <v>26.2926</v>
      </c>
      <c r="U821">
        <v>9.9322300000000006</v>
      </c>
      <c r="V821">
        <v>0.36370599999999997</v>
      </c>
      <c r="W821">
        <v>62.151699999999998</v>
      </c>
      <c r="X821">
        <v>10.051600000000001</v>
      </c>
      <c r="Y821">
        <v>31.2395</v>
      </c>
      <c r="Z821">
        <v>15.6995</v>
      </c>
      <c r="AA821">
        <v>23.136199999999999</v>
      </c>
      <c r="AB821">
        <v>10.768599999999999</v>
      </c>
      <c r="AC821">
        <v>9.1046700000000005</v>
      </c>
      <c r="AD821">
        <v>1.8037300000000001</v>
      </c>
      <c r="AE821">
        <v>12.679399999999999</v>
      </c>
      <c r="AF821">
        <v>0</v>
      </c>
      <c r="AG821">
        <v>90.295299999999997</v>
      </c>
      <c r="AH821">
        <v>9.6966999999999999</v>
      </c>
      <c r="AI821">
        <v>8.0111499999999999E-3</v>
      </c>
      <c r="AJ821">
        <v>0</v>
      </c>
      <c r="AK821">
        <v>0</v>
      </c>
      <c r="AL821">
        <v>0.209366</v>
      </c>
      <c r="AM821">
        <v>10.1557</v>
      </c>
      <c r="AN821">
        <v>36.081400000000002</v>
      </c>
      <c r="AO821">
        <v>21.903300000000002</v>
      </c>
      <c r="AP821">
        <v>18.910299999999999</v>
      </c>
      <c r="AQ821">
        <v>9.7808200000000003</v>
      </c>
      <c r="AR821">
        <v>3.1684100000000002</v>
      </c>
      <c r="AS821">
        <v>0.26055299999999998</v>
      </c>
      <c r="AT821">
        <v>0.938106</v>
      </c>
      <c r="AU821">
        <v>7.0145600000000004</v>
      </c>
      <c r="AV821">
        <v>27.4895</v>
      </c>
      <c r="AW821">
        <v>45.118000000000002</v>
      </c>
      <c r="AX821">
        <v>16.136900000000001</v>
      </c>
      <c r="AY821">
        <v>3.3029999999999999</v>
      </c>
      <c r="AZ821">
        <v>685.74</v>
      </c>
      <c r="BA821">
        <v>826.19899999999996</v>
      </c>
      <c r="BB821">
        <v>29141.4</v>
      </c>
      <c r="BC821">
        <v>0.273341</v>
      </c>
      <c r="BD821">
        <v>0.10574699999999999</v>
      </c>
      <c r="BE821">
        <v>0.29481000000000002</v>
      </c>
      <c r="BF821">
        <v>0.92849199999999998</v>
      </c>
      <c r="BG821">
        <v>6.6236199999999998</v>
      </c>
      <c r="BH821">
        <v>31.549499999999998</v>
      </c>
      <c r="BI821">
        <v>60.497799999999998</v>
      </c>
      <c r="BJ821">
        <v>33.710299999999997</v>
      </c>
      <c r="BK821">
        <v>0</v>
      </c>
      <c r="BL821">
        <v>29.801500000000001</v>
      </c>
      <c r="BM821">
        <v>58.702500000000001</v>
      </c>
      <c r="BN821">
        <v>9.1094799999999996</v>
      </c>
      <c r="BO821">
        <v>1.32585</v>
      </c>
      <c r="BP821">
        <v>1.0606800000000001</v>
      </c>
      <c r="BQ821">
        <v>33.709899999999998</v>
      </c>
      <c r="BR821">
        <v>124826</v>
      </c>
    </row>
    <row r="822" spans="1:70" x14ac:dyDescent="0.25">
      <c r="A822">
        <v>52</v>
      </c>
      <c r="B822" s="7">
        <v>46013.573750000003</v>
      </c>
      <c r="C822" t="s">
        <v>198</v>
      </c>
      <c r="D822" s="6" t="s">
        <v>418</v>
      </c>
      <c r="E822" s="6" t="str">
        <f>VLOOKUP(F822,Germplasm!$A$1:$B$21,2,FALSE)</f>
        <v>Ismena</v>
      </c>
      <c r="F822" t="s">
        <v>63</v>
      </c>
      <c r="G822" s="6" t="s">
        <v>113</v>
      </c>
      <c r="H822">
        <v>37716.199999999997</v>
      </c>
      <c r="I822">
        <v>670.30600000000004</v>
      </c>
      <c r="J822">
        <v>114277</v>
      </c>
      <c r="K822">
        <v>18.252400000000002</v>
      </c>
      <c r="L822">
        <v>67.861800000000002</v>
      </c>
      <c r="M822">
        <v>1303</v>
      </c>
      <c r="N822">
        <v>461.20100000000002</v>
      </c>
      <c r="O822">
        <v>27903800</v>
      </c>
      <c r="P822">
        <v>4.9938299999999998E-2</v>
      </c>
      <c r="Q822">
        <v>1.5882799999999999</v>
      </c>
      <c r="R822">
        <v>25.999199999999998</v>
      </c>
      <c r="S822">
        <v>57.611899999999999</v>
      </c>
      <c r="T822">
        <v>11.379899999999999</v>
      </c>
      <c r="U822">
        <v>3.2635200000000002</v>
      </c>
      <c r="V822">
        <v>0.15715199999999999</v>
      </c>
      <c r="W822">
        <v>44.569600000000001</v>
      </c>
      <c r="X822">
        <v>13.5769</v>
      </c>
      <c r="Y822">
        <v>49.0974</v>
      </c>
      <c r="Z822">
        <v>16.990200000000002</v>
      </c>
      <c r="AA822">
        <v>8.7020300000000006</v>
      </c>
      <c r="AB822">
        <v>3.8334600000000001</v>
      </c>
      <c r="AC822">
        <v>7.7999799999999997</v>
      </c>
      <c r="AD822">
        <v>1.8082199999999999</v>
      </c>
      <c r="AE822">
        <v>14.305</v>
      </c>
      <c r="AF822">
        <v>0</v>
      </c>
      <c r="AG822">
        <v>86.734300000000005</v>
      </c>
      <c r="AH822">
        <v>13.2186</v>
      </c>
      <c r="AI822">
        <v>4.7145600000000003E-2</v>
      </c>
      <c r="AJ822">
        <v>0</v>
      </c>
      <c r="AK822">
        <v>0</v>
      </c>
      <c r="AL822">
        <v>0.11822299999999999</v>
      </c>
      <c r="AM822">
        <v>18.464300000000001</v>
      </c>
      <c r="AN822">
        <v>49.374000000000002</v>
      </c>
      <c r="AO822">
        <v>18.967199999999998</v>
      </c>
      <c r="AP822">
        <v>8.3961100000000002</v>
      </c>
      <c r="AQ822">
        <v>3.74336</v>
      </c>
      <c r="AR822">
        <v>1.05501</v>
      </c>
      <c r="AS822">
        <v>0.27179399999999998</v>
      </c>
      <c r="AT822">
        <v>0.71766099999999999</v>
      </c>
      <c r="AU822">
        <v>4.5762700000000001</v>
      </c>
      <c r="AV822">
        <v>23.879799999999999</v>
      </c>
      <c r="AW822">
        <v>54.994799999999998</v>
      </c>
      <c r="AX822">
        <v>12.5868</v>
      </c>
      <c r="AY822">
        <v>3.2446600000000001</v>
      </c>
      <c r="AZ822">
        <v>739.83600000000001</v>
      </c>
      <c r="BA822">
        <v>770.99900000000002</v>
      </c>
      <c r="BB822">
        <v>20858.2</v>
      </c>
      <c r="BC822">
        <v>0.33131500000000003</v>
      </c>
      <c r="BD822">
        <v>0.13934099999999999</v>
      </c>
      <c r="BE822">
        <v>0.31430399999999997</v>
      </c>
      <c r="BF822">
        <v>0.80566599999999999</v>
      </c>
      <c r="BG822">
        <v>4.0346200000000003</v>
      </c>
      <c r="BH822">
        <v>16.5397</v>
      </c>
      <c r="BI822">
        <v>78.166399999999996</v>
      </c>
      <c r="BJ822">
        <v>30.798200000000001</v>
      </c>
      <c r="BK822">
        <v>0</v>
      </c>
      <c r="BL822">
        <v>36.261200000000002</v>
      </c>
      <c r="BM822">
        <v>55.950299999999999</v>
      </c>
      <c r="BN822">
        <v>5.6270899999999999</v>
      </c>
      <c r="BO822">
        <v>1.18493</v>
      </c>
      <c r="BP822">
        <v>0.97643800000000003</v>
      </c>
      <c r="BQ822">
        <v>33.605600000000003</v>
      </c>
      <c r="BR822">
        <v>95449</v>
      </c>
    </row>
    <row r="823" spans="1:70" x14ac:dyDescent="0.25">
      <c r="A823">
        <v>52</v>
      </c>
      <c r="B823" s="7">
        <v>46024.549849537034</v>
      </c>
      <c r="C823" t="s">
        <v>198</v>
      </c>
      <c r="D823" s="6" t="s">
        <v>419</v>
      </c>
      <c r="E823" s="6" t="str">
        <f>VLOOKUP(F823,Germplasm!$A$1:$B$21,2,FALSE)</f>
        <v>Ismena</v>
      </c>
      <c r="F823" t="s">
        <v>63</v>
      </c>
      <c r="G823" s="6" t="s">
        <v>113</v>
      </c>
      <c r="H823">
        <v>35166.6</v>
      </c>
      <c r="I823">
        <v>547.90499999999997</v>
      </c>
      <c r="J823">
        <v>97883.3</v>
      </c>
      <c r="K823">
        <v>19.516400000000001</v>
      </c>
      <c r="L823">
        <v>63.648800000000001</v>
      </c>
      <c r="M823">
        <v>1200.57</v>
      </c>
      <c r="N823">
        <v>461.59500000000003</v>
      </c>
      <c r="O823">
        <v>21792600</v>
      </c>
      <c r="P823">
        <v>1.2446E-2</v>
      </c>
      <c r="Q823">
        <v>1.33047</v>
      </c>
      <c r="R823">
        <v>32.972799999999999</v>
      </c>
      <c r="S823">
        <v>63.798299999999998</v>
      </c>
      <c r="T823">
        <v>1.59148</v>
      </c>
      <c r="U823">
        <v>0.26222600000000001</v>
      </c>
      <c r="V823">
        <v>4.4711399999999998E-2</v>
      </c>
      <c r="W823">
        <v>36.403599999999997</v>
      </c>
      <c r="X823">
        <v>17.036200000000001</v>
      </c>
      <c r="Y823">
        <v>60.697499999999998</v>
      </c>
      <c r="Z823">
        <v>10.5543</v>
      </c>
      <c r="AA823">
        <v>2.7793600000000001</v>
      </c>
      <c r="AB823">
        <v>1.1576599999999999</v>
      </c>
      <c r="AC823">
        <v>7.77494</v>
      </c>
      <c r="AD823">
        <v>1.8408599999999999</v>
      </c>
      <c r="AE823">
        <v>19.1203</v>
      </c>
      <c r="AF823">
        <v>0</v>
      </c>
      <c r="AG823">
        <v>72.6113</v>
      </c>
      <c r="AH823">
        <v>26.904199999999999</v>
      </c>
      <c r="AI823">
        <v>0.48336600000000002</v>
      </c>
      <c r="AJ823">
        <v>1.20842E-3</v>
      </c>
      <c r="AK823">
        <v>0</v>
      </c>
      <c r="AL823">
        <v>4.7492699999999999E-2</v>
      </c>
      <c r="AM823">
        <v>31.378900000000002</v>
      </c>
      <c r="AN823">
        <v>54.167200000000001</v>
      </c>
      <c r="AO823">
        <v>10.142200000000001</v>
      </c>
      <c r="AP823">
        <v>3.1600100000000002</v>
      </c>
      <c r="AQ823">
        <v>0.89422699999999999</v>
      </c>
      <c r="AR823">
        <v>0.25739200000000001</v>
      </c>
      <c r="AS823">
        <v>0.24590300000000001</v>
      </c>
      <c r="AT823">
        <v>0.83501499999999995</v>
      </c>
      <c r="AU823">
        <v>4.2922900000000004</v>
      </c>
      <c r="AV823">
        <v>30.563199999999998</v>
      </c>
      <c r="AW823">
        <v>53.181199999999997</v>
      </c>
      <c r="AX823">
        <v>8.5108700000000006</v>
      </c>
      <c r="AY823">
        <v>2.6174300000000001</v>
      </c>
      <c r="AZ823">
        <v>619.69799999999998</v>
      </c>
      <c r="BA823">
        <v>658.79899999999998</v>
      </c>
      <c r="BB823">
        <v>19103.3</v>
      </c>
      <c r="BC823">
        <v>0.34235399999999999</v>
      </c>
      <c r="BD823">
        <v>0.178845</v>
      </c>
      <c r="BE823">
        <v>0.54378700000000002</v>
      </c>
      <c r="BF823">
        <v>1.07186</v>
      </c>
      <c r="BG823">
        <v>3.3315999999999999</v>
      </c>
      <c r="BH823">
        <v>12.1059</v>
      </c>
      <c r="BI823">
        <v>82.768000000000001</v>
      </c>
      <c r="BJ823">
        <v>26.512799999999999</v>
      </c>
      <c r="BK823">
        <v>0</v>
      </c>
      <c r="BL823">
        <v>51.112299999999998</v>
      </c>
      <c r="BM823">
        <v>43.675800000000002</v>
      </c>
      <c r="BN823">
        <v>3.7328000000000001</v>
      </c>
      <c r="BO823">
        <v>0.87851800000000002</v>
      </c>
      <c r="BP823">
        <v>0.60058199999999995</v>
      </c>
      <c r="BQ823">
        <v>32.930399999999999</v>
      </c>
      <c r="BR823">
        <v>82753</v>
      </c>
    </row>
    <row r="824" spans="1:70" x14ac:dyDescent="0.25">
      <c r="A824">
        <v>52</v>
      </c>
      <c r="B824" s="7">
        <v>45952.581805555557</v>
      </c>
      <c r="C824" t="s">
        <v>199</v>
      </c>
      <c r="D824" s="6" t="s">
        <v>410</v>
      </c>
      <c r="E824" s="6" t="str">
        <f>VLOOKUP(F824,Germplasm!$A$1:$B$21,2,FALSE)</f>
        <v>Tore</v>
      </c>
      <c r="F824" t="s">
        <v>72</v>
      </c>
      <c r="G824" s="6" t="s">
        <v>113</v>
      </c>
      <c r="H824">
        <v>32483.1</v>
      </c>
      <c r="I824">
        <v>191.49</v>
      </c>
      <c r="J824">
        <v>89583.4</v>
      </c>
      <c r="K824">
        <v>21.6373</v>
      </c>
      <c r="L824">
        <v>62.069699999999997</v>
      </c>
      <c r="M824">
        <v>1182.2</v>
      </c>
      <c r="N824">
        <v>445.58100000000002</v>
      </c>
      <c r="O824">
        <v>7552600</v>
      </c>
      <c r="P824">
        <v>0.27594000000000002</v>
      </c>
      <c r="Q824">
        <v>0.56076199999999998</v>
      </c>
      <c r="R824">
        <v>2.7353900000000002</v>
      </c>
      <c r="S824">
        <v>12.647600000000001</v>
      </c>
      <c r="T824">
        <v>38.822000000000003</v>
      </c>
      <c r="U824">
        <v>44.625900000000001</v>
      </c>
      <c r="V824">
        <v>0.60835899999999998</v>
      </c>
      <c r="W824">
        <v>115.459</v>
      </c>
      <c r="X824">
        <v>0.89840799999999998</v>
      </c>
      <c r="Y824">
        <v>1.5603199999999999</v>
      </c>
      <c r="Z824">
        <v>3.36903</v>
      </c>
      <c r="AA824">
        <v>17.1129</v>
      </c>
      <c r="AB824">
        <v>43.562399999999997</v>
      </c>
      <c r="AC824">
        <v>33.497</v>
      </c>
      <c r="AD824">
        <v>1.6758200000000001</v>
      </c>
      <c r="AE824">
        <v>6.50915</v>
      </c>
      <c r="AF824">
        <v>0</v>
      </c>
      <c r="AG824">
        <v>99.961299999999994</v>
      </c>
      <c r="AH824">
        <v>3.8673199999999998E-2</v>
      </c>
      <c r="AI824">
        <v>0</v>
      </c>
      <c r="AJ824">
        <v>0</v>
      </c>
      <c r="AK824">
        <v>0</v>
      </c>
      <c r="AL824">
        <v>0.57868299999999995</v>
      </c>
      <c r="AM824">
        <v>0.23947599999999999</v>
      </c>
      <c r="AN824">
        <v>1.1007</v>
      </c>
      <c r="AO824">
        <v>2.61788</v>
      </c>
      <c r="AP824">
        <v>9.0123499999999996</v>
      </c>
      <c r="AQ824">
        <v>37.499600000000001</v>
      </c>
      <c r="AR824">
        <v>49.53</v>
      </c>
      <c r="AS824">
        <v>5.0149600000000003E-2</v>
      </c>
      <c r="AT824">
        <v>7.5159900000000004</v>
      </c>
      <c r="AU824">
        <v>32.6982</v>
      </c>
      <c r="AV824">
        <v>41.512700000000002</v>
      </c>
      <c r="AW824">
        <v>13.941700000000001</v>
      </c>
      <c r="AX824">
        <v>2.8365300000000002</v>
      </c>
      <c r="AY824">
        <v>1.4948699999999999</v>
      </c>
      <c r="AZ824">
        <v>232.50899999999999</v>
      </c>
      <c r="BA824">
        <v>238.19900000000001</v>
      </c>
      <c r="BB824">
        <v>19383.5</v>
      </c>
      <c r="BC824">
        <v>1.7096500000000001E-2</v>
      </c>
      <c r="BD824">
        <v>2.67738E-2</v>
      </c>
      <c r="BE824">
        <v>0.29897400000000002</v>
      </c>
      <c r="BF824">
        <v>2.0928200000000001</v>
      </c>
      <c r="BG824">
        <v>37.7956</v>
      </c>
      <c r="BH824">
        <v>56.306699999999999</v>
      </c>
      <c r="BI824">
        <v>3.4790999999999999</v>
      </c>
      <c r="BJ824">
        <v>36.130400000000002</v>
      </c>
      <c r="BK824">
        <v>0</v>
      </c>
      <c r="BL824">
        <v>22.4498</v>
      </c>
      <c r="BM824">
        <v>62.275799999999997</v>
      </c>
      <c r="BN824">
        <v>13.8004</v>
      </c>
      <c r="BO824">
        <v>1.1557299999999999</v>
      </c>
      <c r="BP824">
        <v>0.31830999999999998</v>
      </c>
      <c r="BQ824">
        <v>36.667700000000004</v>
      </c>
      <c r="BR824">
        <v>67230</v>
      </c>
    </row>
    <row r="825" spans="1:70" x14ac:dyDescent="0.25">
      <c r="A825">
        <v>52</v>
      </c>
      <c r="B825" s="7">
        <v>45959.554652777777</v>
      </c>
      <c r="C825" t="s">
        <v>199</v>
      </c>
      <c r="D825" s="6" t="s">
        <v>411</v>
      </c>
      <c r="E825" s="6" t="str">
        <f>VLOOKUP(F825,Germplasm!$A$1:$B$21,2,FALSE)</f>
        <v>Tore</v>
      </c>
      <c r="F825" t="s">
        <v>72</v>
      </c>
      <c r="G825" s="6" t="s">
        <v>113</v>
      </c>
      <c r="H825">
        <v>52400.2</v>
      </c>
      <c r="I825">
        <v>294.77100000000002</v>
      </c>
      <c r="J825">
        <v>130427</v>
      </c>
      <c r="K825">
        <v>23.677800000000001</v>
      </c>
      <c r="L825">
        <v>77.368399999999994</v>
      </c>
      <c r="M825">
        <v>1352.76</v>
      </c>
      <c r="N825">
        <v>486.62700000000001</v>
      </c>
      <c r="O825">
        <v>18775800</v>
      </c>
      <c r="P825">
        <v>0.25345499999999999</v>
      </c>
      <c r="Q825">
        <v>0.618645</v>
      </c>
      <c r="R825">
        <v>2.58432</v>
      </c>
      <c r="S825">
        <v>15.111599999999999</v>
      </c>
      <c r="T825">
        <v>45.571899999999999</v>
      </c>
      <c r="U825">
        <v>35.353099999999998</v>
      </c>
      <c r="V825">
        <v>0.76043799999999995</v>
      </c>
      <c r="W825">
        <v>120.392</v>
      </c>
      <c r="X825">
        <v>0.62447200000000003</v>
      </c>
      <c r="Y825">
        <v>1.0819000000000001</v>
      </c>
      <c r="Z825">
        <v>2.5979199999999998</v>
      </c>
      <c r="AA825">
        <v>14.623100000000001</v>
      </c>
      <c r="AB825">
        <v>39.3369</v>
      </c>
      <c r="AC825">
        <v>41.735700000000001</v>
      </c>
      <c r="AD825">
        <v>1.69678</v>
      </c>
      <c r="AE825">
        <v>6.4839900000000004</v>
      </c>
      <c r="AF825">
        <v>0</v>
      </c>
      <c r="AG825">
        <v>99.991299999999995</v>
      </c>
      <c r="AH825">
        <v>7.7694799999999996E-3</v>
      </c>
      <c r="AI825">
        <v>9.7118499999999995E-4</v>
      </c>
      <c r="AJ825">
        <v>0</v>
      </c>
      <c r="AK825">
        <v>0</v>
      </c>
      <c r="AL825">
        <v>0.56377600000000005</v>
      </c>
      <c r="AM825">
        <v>0.27872999999999998</v>
      </c>
      <c r="AN825">
        <v>1.2217499999999999</v>
      </c>
      <c r="AO825">
        <v>2.6804700000000001</v>
      </c>
      <c r="AP825">
        <v>11.0152</v>
      </c>
      <c r="AQ825">
        <v>41.4405</v>
      </c>
      <c r="AR825">
        <v>43.363399999999999</v>
      </c>
      <c r="AS825">
        <v>1.67654E-2</v>
      </c>
      <c r="AT825">
        <v>9.2573299999999996</v>
      </c>
      <c r="AU825">
        <v>39.032899999999998</v>
      </c>
      <c r="AV825">
        <v>38.732799999999997</v>
      </c>
      <c r="AW825">
        <v>9.6788299999999996</v>
      </c>
      <c r="AX825">
        <v>1.9715100000000001</v>
      </c>
      <c r="AY825">
        <v>1.32664</v>
      </c>
      <c r="AZ825">
        <v>358.31599999999997</v>
      </c>
      <c r="BA825">
        <v>400.19900000000001</v>
      </c>
      <c r="BB825">
        <v>30882.2</v>
      </c>
      <c r="BC825">
        <v>9.7110399999999998E-4</v>
      </c>
      <c r="BD825">
        <v>6.0213500000000003E-2</v>
      </c>
      <c r="BE825">
        <v>0.37973299999999999</v>
      </c>
      <c r="BF825">
        <v>2.7037800000000001</v>
      </c>
      <c r="BG825">
        <v>45.146500000000003</v>
      </c>
      <c r="BH825">
        <v>48.517499999999998</v>
      </c>
      <c r="BI825">
        <v>3.1922799999999998</v>
      </c>
      <c r="BJ825">
        <v>33.4968</v>
      </c>
      <c r="BK825">
        <v>0</v>
      </c>
      <c r="BL825">
        <v>28.529499999999999</v>
      </c>
      <c r="BM825">
        <v>60.4893</v>
      </c>
      <c r="BN825">
        <v>9.2893799999999995</v>
      </c>
      <c r="BO825">
        <v>0.98380999999999996</v>
      </c>
      <c r="BP825">
        <v>0.70799400000000001</v>
      </c>
      <c r="BQ825">
        <v>36.156500000000001</v>
      </c>
      <c r="BR825">
        <v>102967</v>
      </c>
    </row>
    <row r="826" spans="1:70" x14ac:dyDescent="0.25">
      <c r="A826">
        <v>52</v>
      </c>
      <c r="B826" s="7">
        <v>45966.526516203703</v>
      </c>
      <c r="C826" t="s">
        <v>199</v>
      </c>
      <c r="D826" s="6" t="s">
        <v>412</v>
      </c>
      <c r="E826" s="6" t="str">
        <f>VLOOKUP(F826,Germplasm!$A$1:$B$21,2,FALSE)</f>
        <v>Tore</v>
      </c>
      <c r="F826" t="s">
        <v>72</v>
      </c>
      <c r="G826" s="6" t="s">
        <v>113</v>
      </c>
      <c r="H826">
        <v>49419.199999999997</v>
      </c>
      <c r="I826">
        <v>415.07799999999997</v>
      </c>
      <c r="J826">
        <v>181608</v>
      </c>
      <c r="K826">
        <v>17.0974</v>
      </c>
      <c r="L826">
        <v>76.573400000000007</v>
      </c>
      <c r="M826">
        <v>1582.4</v>
      </c>
      <c r="N826">
        <v>582.03099999999995</v>
      </c>
      <c r="O826">
        <v>25135900</v>
      </c>
      <c r="P826">
        <v>0.28332200000000002</v>
      </c>
      <c r="Q826">
        <v>0.19045300000000001</v>
      </c>
      <c r="R826">
        <v>1.4446600000000001</v>
      </c>
      <c r="S826">
        <v>10.4415</v>
      </c>
      <c r="T826">
        <v>41.951700000000002</v>
      </c>
      <c r="U826">
        <v>45.348300000000002</v>
      </c>
      <c r="V826">
        <v>0.623386</v>
      </c>
      <c r="W826">
        <v>115.955</v>
      </c>
      <c r="X826">
        <v>0.48217199999999999</v>
      </c>
      <c r="Y826">
        <v>1.01823</v>
      </c>
      <c r="Z826">
        <v>2.3523299999999998</v>
      </c>
      <c r="AA826">
        <v>15.786199999999999</v>
      </c>
      <c r="AB826">
        <v>48.6845</v>
      </c>
      <c r="AC826">
        <v>31.676500000000001</v>
      </c>
      <c r="AD826">
        <v>1.5915900000000001</v>
      </c>
      <c r="AE826">
        <v>6.0543399999999998</v>
      </c>
      <c r="AF826">
        <v>0</v>
      </c>
      <c r="AG826">
        <v>99.949799999999996</v>
      </c>
      <c r="AH826">
        <v>5.0168200000000003E-2</v>
      </c>
      <c r="AI826">
        <v>0</v>
      </c>
      <c r="AJ826">
        <v>0</v>
      </c>
      <c r="AK826">
        <v>0</v>
      </c>
      <c r="AL826">
        <v>0.58450400000000002</v>
      </c>
      <c r="AM826">
        <v>0.17930499999999999</v>
      </c>
      <c r="AN826">
        <v>0.97642099999999998</v>
      </c>
      <c r="AO826">
        <v>2.64683</v>
      </c>
      <c r="AP826">
        <v>9.55518</v>
      </c>
      <c r="AQ826">
        <v>33.122100000000003</v>
      </c>
      <c r="AR826">
        <v>53.520099999999999</v>
      </c>
      <c r="AS826">
        <v>5.3024599999999998E-2</v>
      </c>
      <c r="AT826">
        <v>4.2104100000000004</v>
      </c>
      <c r="AU826">
        <v>35.567399999999999</v>
      </c>
      <c r="AV826">
        <v>44.535400000000003</v>
      </c>
      <c r="AW826">
        <v>11.8787</v>
      </c>
      <c r="AX826">
        <v>2.4601000000000002</v>
      </c>
      <c r="AY826">
        <v>1.3480399999999999</v>
      </c>
      <c r="AZ826">
        <v>508.62700000000001</v>
      </c>
      <c r="BA826">
        <v>552</v>
      </c>
      <c r="BB826">
        <v>31050.1</v>
      </c>
      <c r="BC826">
        <v>2.09651E-2</v>
      </c>
      <c r="BD826">
        <v>1.67227E-2</v>
      </c>
      <c r="BE826">
        <v>7.4323200000000006E-2</v>
      </c>
      <c r="BF826">
        <v>1.0405199999999999</v>
      </c>
      <c r="BG826">
        <v>38.6462</v>
      </c>
      <c r="BH826">
        <v>56.6937</v>
      </c>
      <c r="BI826">
        <v>3.5284900000000001</v>
      </c>
      <c r="BJ826">
        <v>35.311</v>
      </c>
      <c r="BK826">
        <v>0</v>
      </c>
      <c r="BL826">
        <v>21.230399999999999</v>
      </c>
      <c r="BM826">
        <v>66.993099999999998</v>
      </c>
      <c r="BN826">
        <v>10.399699999999999</v>
      </c>
      <c r="BO826">
        <v>0.96620200000000001</v>
      </c>
      <c r="BP826">
        <v>0.410636</v>
      </c>
      <c r="BQ826">
        <v>38.975900000000003</v>
      </c>
      <c r="BR826">
        <v>107638</v>
      </c>
    </row>
    <row r="827" spans="1:70" x14ac:dyDescent="0.25">
      <c r="A827">
        <v>52</v>
      </c>
      <c r="B827" s="7">
        <v>45973.575659722221</v>
      </c>
      <c r="C827" t="s">
        <v>199</v>
      </c>
      <c r="D827" s="6" t="s">
        <v>413</v>
      </c>
      <c r="E827" s="6" t="str">
        <f>VLOOKUP(F827,Germplasm!$A$1:$B$21,2,FALSE)</f>
        <v>Tore</v>
      </c>
      <c r="F827" t="s">
        <v>72</v>
      </c>
      <c r="G827" s="6" t="s">
        <v>113</v>
      </c>
      <c r="H827">
        <v>63953</v>
      </c>
      <c r="I827">
        <v>425.98599999999999</v>
      </c>
      <c r="J827">
        <v>192627</v>
      </c>
      <c r="K827">
        <v>19.134799999999998</v>
      </c>
      <c r="L827">
        <v>90.822400000000002</v>
      </c>
      <c r="M827">
        <v>1628.48</v>
      </c>
      <c r="N827">
        <v>569.46100000000001</v>
      </c>
      <c r="O827">
        <v>35052200</v>
      </c>
      <c r="P827">
        <v>0.20707400000000001</v>
      </c>
      <c r="Q827">
        <v>1.2363599999999999</v>
      </c>
      <c r="R827">
        <v>8.9477100000000007</v>
      </c>
      <c r="S827">
        <v>23.418500000000002</v>
      </c>
      <c r="T827">
        <v>36.555999999999997</v>
      </c>
      <c r="U827">
        <v>29.0654</v>
      </c>
      <c r="V827">
        <v>0.77598500000000004</v>
      </c>
      <c r="W827">
        <v>98.521299999999997</v>
      </c>
      <c r="X827">
        <v>4.8376000000000001</v>
      </c>
      <c r="Y827">
        <v>9.5376700000000003</v>
      </c>
      <c r="Z827">
        <v>7.2784800000000001</v>
      </c>
      <c r="AA827">
        <v>21.4373</v>
      </c>
      <c r="AB827">
        <v>34.692</v>
      </c>
      <c r="AC827">
        <v>22.216899999999999</v>
      </c>
      <c r="AD827">
        <v>1.73508</v>
      </c>
      <c r="AE827">
        <v>7.5253399999999999</v>
      </c>
      <c r="AF827">
        <v>0</v>
      </c>
      <c r="AG827">
        <v>99.6858</v>
      </c>
      <c r="AH827">
        <v>0.31343399999999999</v>
      </c>
      <c r="AI827">
        <v>7.23867E-4</v>
      </c>
      <c r="AJ827">
        <v>0</v>
      </c>
      <c r="AK827">
        <v>0</v>
      </c>
      <c r="AL827">
        <v>0.44436100000000001</v>
      </c>
      <c r="AM827">
        <v>1.5679000000000001</v>
      </c>
      <c r="AN827">
        <v>7.7106300000000001</v>
      </c>
      <c r="AO827">
        <v>14.861000000000001</v>
      </c>
      <c r="AP827">
        <v>18.738700000000001</v>
      </c>
      <c r="AQ827">
        <v>34.375700000000002</v>
      </c>
      <c r="AR827">
        <v>22.746099999999998</v>
      </c>
      <c r="AS827">
        <v>0.141817</v>
      </c>
      <c r="AT827">
        <v>2.6536900000000001</v>
      </c>
      <c r="AU827">
        <v>22.764900000000001</v>
      </c>
      <c r="AV827">
        <v>40.658900000000003</v>
      </c>
      <c r="AW827">
        <v>22.9068</v>
      </c>
      <c r="AX827">
        <v>7.9770099999999999</v>
      </c>
      <c r="AY827">
        <v>3.0387900000000001</v>
      </c>
      <c r="AZ827">
        <v>548.09299999999996</v>
      </c>
      <c r="BA827">
        <v>593.99900000000002</v>
      </c>
      <c r="BB827">
        <v>36858.800000000003</v>
      </c>
      <c r="BC827">
        <v>9.2019299999999998E-2</v>
      </c>
      <c r="BD827">
        <v>6.8043500000000007E-2</v>
      </c>
      <c r="BE827">
        <v>0.33804600000000001</v>
      </c>
      <c r="BF827">
        <v>1.5975699999999999</v>
      </c>
      <c r="BG827">
        <v>23.414200000000001</v>
      </c>
      <c r="BH827">
        <v>54.617899999999999</v>
      </c>
      <c r="BI827">
        <v>19.964200000000002</v>
      </c>
      <c r="BJ827">
        <v>34.418799999999997</v>
      </c>
      <c r="BK827">
        <v>0</v>
      </c>
      <c r="BL827">
        <v>29.205100000000002</v>
      </c>
      <c r="BM827">
        <v>57.1008</v>
      </c>
      <c r="BN827">
        <v>10.991899999999999</v>
      </c>
      <c r="BO827">
        <v>1.4817499999999999</v>
      </c>
      <c r="BP827">
        <v>1.22044</v>
      </c>
      <c r="BQ827">
        <v>35.241199999999999</v>
      </c>
      <c r="BR827">
        <v>138147</v>
      </c>
    </row>
    <row r="828" spans="1:70" x14ac:dyDescent="0.25">
      <c r="A828">
        <v>52</v>
      </c>
      <c r="B828" s="7">
        <v>45973.578483796293</v>
      </c>
      <c r="C828" t="s">
        <v>199</v>
      </c>
      <c r="D828" s="6" t="s">
        <v>414</v>
      </c>
      <c r="E828" s="6" t="str">
        <f>VLOOKUP(F828,Germplasm!$A$1:$B$21,2,FALSE)</f>
        <v>Tore</v>
      </c>
      <c r="F828" t="s">
        <v>72</v>
      </c>
      <c r="G828" s="6" t="s">
        <v>113</v>
      </c>
      <c r="H828">
        <v>74405.899999999994</v>
      </c>
      <c r="I828">
        <v>500.12599999999998</v>
      </c>
      <c r="J828">
        <v>175317</v>
      </c>
      <c r="K828">
        <v>25.393699999999999</v>
      </c>
      <c r="L828">
        <v>68.127099999999999</v>
      </c>
      <c r="M828">
        <v>1616.57</v>
      </c>
      <c r="N828">
        <v>596.53899999999999</v>
      </c>
      <c r="O828">
        <v>44856200</v>
      </c>
      <c r="P828">
        <v>0.263988</v>
      </c>
      <c r="Q828">
        <v>0.564357</v>
      </c>
      <c r="R828">
        <v>2.3932799999999999</v>
      </c>
      <c r="S828">
        <v>13.591200000000001</v>
      </c>
      <c r="T828">
        <v>44.111800000000002</v>
      </c>
      <c r="U828">
        <v>38.092399999999998</v>
      </c>
      <c r="V828">
        <v>1.24699</v>
      </c>
      <c r="W828">
        <v>112.20699999999999</v>
      </c>
      <c r="X828">
        <v>1.26389</v>
      </c>
      <c r="Y828">
        <v>2.27027</v>
      </c>
      <c r="Z828">
        <v>4.0890500000000003</v>
      </c>
      <c r="AA828">
        <v>19.421299999999999</v>
      </c>
      <c r="AB828">
        <v>43.810299999999998</v>
      </c>
      <c r="AC828">
        <v>29.145199999999999</v>
      </c>
      <c r="AD828">
        <v>1.6713199999999999</v>
      </c>
      <c r="AE828">
        <v>6.6589</v>
      </c>
      <c r="AF828">
        <v>0</v>
      </c>
      <c r="AG828">
        <v>99.847300000000004</v>
      </c>
      <c r="AH828">
        <v>0.145313</v>
      </c>
      <c r="AI828">
        <v>7.4346400000000002E-3</v>
      </c>
      <c r="AJ828">
        <v>0</v>
      </c>
      <c r="AK828">
        <v>0</v>
      </c>
      <c r="AL828">
        <v>0.54128600000000004</v>
      </c>
      <c r="AM828">
        <v>0.411609</v>
      </c>
      <c r="AN828">
        <v>2.5352100000000002</v>
      </c>
      <c r="AO828">
        <v>5.04474</v>
      </c>
      <c r="AP828">
        <v>12.9329</v>
      </c>
      <c r="AQ828">
        <v>38.9251</v>
      </c>
      <c r="AR828">
        <v>40.150500000000001</v>
      </c>
      <c r="AS828">
        <v>8.0782599999999996E-2</v>
      </c>
      <c r="AT828">
        <v>3.69367</v>
      </c>
      <c r="AU828">
        <v>32.128500000000003</v>
      </c>
      <c r="AV828">
        <v>42.807299999999998</v>
      </c>
      <c r="AW828">
        <v>14.9321</v>
      </c>
      <c r="AX828">
        <v>4.1208200000000001</v>
      </c>
      <c r="AY828">
        <v>2.31758</v>
      </c>
      <c r="AZ828">
        <v>602.85900000000004</v>
      </c>
      <c r="BA828">
        <v>611.51199999999994</v>
      </c>
      <c r="BB828">
        <v>44519.4</v>
      </c>
      <c r="BC828">
        <v>3.8865700000000003E-2</v>
      </c>
      <c r="BD828">
        <v>6.7587700000000001E-2</v>
      </c>
      <c r="BE828">
        <v>0.214253</v>
      </c>
      <c r="BF828">
        <v>1.4409700000000001</v>
      </c>
      <c r="BG828">
        <v>34.089199999999998</v>
      </c>
      <c r="BH828">
        <v>56.506</v>
      </c>
      <c r="BI828">
        <v>7.68201</v>
      </c>
      <c r="BJ828">
        <v>35.352600000000002</v>
      </c>
      <c r="BK828">
        <v>0</v>
      </c>
      <c r="BL828">
        <v>24.535699999999999</v>
      </c>
      <c r="BM828">
        <v>61.802199999999999</v>
      </c>
      <c r="BN828">
        <v>11.0364</v>
      </c>
      <c r="BO828">
        <v>1.5504599999999999</v>
      </c>
      <c r="BP828">
        <v>1.0753200000000001</v>
      </c>
      <c r="BQ828">
        <v>36.803400000000003</v>
      </c>
      <c r="BR828">
        <v>147956</v>
      </c>
    </row>
    <row r="829" spans="1:70" x14ac:dyDescent="0.25">
      <c r="A829">
        <v>52</v>
      </c>
      <c r="B829" s="7">
        <v>45988.594641203701</v>
      </c>
      <c r="C829" t="s">
        <v>199</v>
      </c>
      <c r="D829" s="6" t="s">
        <v>415</v>
      </c>
      <c r="E829" s="6" t="str">
        <f>VLOOKUP(F829,Germplasm!$A$1:$B$21,2,FALSE)</f>
        <v>Tore</v>
      </c>
      <c r="F829" t="s">
        <v>72</v>
      </c>
      <c r="G829" s="6" t="s">
        <v>113</v>
      </c>
      <c r="H829">
        <v>49121</v>
      </c>
      <c r="I829">
        <v>423.42099999999999</v>
      </c>
      <c r="J829">
        <v>150344</v>
      </c>
      <c r="K829">
        <v>19.354199999999999</v>
      </c>
      <c r="L829">
        <v>81.876400000000004</v>
      </c>
      <c r="M829">
        <v>1451.34</v>
      </c>
      <c r="N829">
        <v>509.94099999999997</v>
      </c>
      <c r="O829">
        <v>29382700</v>
      </c>
      <c r="P829">
        <v>0.192408</v>
      </c>
      <c r="Q829">
        <v>0.77183299999999999</v>
      </c>
      <c r="R829">
        <v>7.5289799999999998</v>
      </c>
      <c r="S829">
        <v>25.217700000000001</v>
      </c>
      <c r="T829">
        <v>48.458300000000001</v>
      </c>
      <c r="U829">
        <v>17.069700000000001</v>
      </c>
      <c r="V829">
        <v>0.95349799999999996</v>
      </c>
      <c r="W829">
        <v>88.317099999999996</v>
      </c>
      <c r="X829">
        <v>4.5838999999999999</v>
      </c>
      <c r="Y829">
        <v>11.351599999999999</v>
      </c>
      <c r="Z829">
        <v>14.854200000000001</v>
      </c>
      <c r="AA829">
        <v>29.086500000000001</v>
      </c>
      <c r="AB829">
        <v>25.662700000000001</v>
      </c>
      <c r="AC829">
        <v>14.4611</v>
      </c>
      <c r="AD829">
        <v>1.6881299999999999</v>
      </c>
      <c r="AE829">
        <v>9.4288600000000002</v>
      </c>
      <c r="AF829">
        <v>0</v>
      </c>
      <c r="AG829">
        <v>99.484800000000007</v>
      </c>
      <c r="AH829">
        <v>0.514235</v>
      </c>
      <c r="AI829">
        <v>9.6118699999999996E-4</v>
      </c>
      <c r="AJ829">
        <v>0</v>
      </c>
      <c r="AK829">
        <v>0</v>
      </c>
      <c r="AL829">
        <v>0.36677900000000002</v>
      </c>
      <c r="AM829">
        <v>2.6365400000000001</v>
      </c>
      <c r="AN829">
        <v>14.548500000000001</v>
      </c>
      <c r="AO829">
        <v>17.796399999999998</v>
      </c>
      <c r="AP829">
        <v>25.990500000000001</v>
      </c>
      <c r="AQ829">
        <v>29.9054</v>
      </c>
      <c r="AR829">
        <v>9.1226299999999991</v>
      </c>
      <c r="AS829">
        <v>0.204345</v>
      </c>
      <c r="AT829">
        <v>0.87756400000000001</v>
      </c>
      <c r="AU829">
        <v>15.677899999999999</v>
      </c>
      <c r="AV829">
        <v>34.988199999999999</v>
      </c>
      <c r="AW829">
        <v>31.672999999999998</v>
      </c>
      <c r="AX829">
        <v>13.6037</v>
      </c>
      <c r="AY829">
        <v>3.1796099999999998</v>
      </c>
      <c r="AZ829">
        <v>598.16999999999996</v>
      </c>
      <c r="BA829">
        <v>635.399</v>
      </c>
      <c r="BB829">
        <v>29097.9</v>
      </c>
      <c r="BC829">
        <v>0.16517200000000001</v>
      </c>
      <c r="BD829">
        <v>2.7874400000000001E-2</v>
      </c>
      <c r="BE829">
        <v>0.114381</v>
      </c>
      <c r="BF829">
        <v>0.71223999999999998</v>
      </c>
      <c r="BG829">
        <v>15.7</v>
      </c>
      <c r="BH829">
        <v>47.671999999999997</v>
      </c>
      <c r="BI829">
        <v>35.773499999999999</v>
      </c>
      <c r="BJ829">
        <v>34.706400000000002</v>
      </c>
      <c r="BK829">
        <v>0</v>
      </c>
      <c r="BL829">
        <v>27.344799999999999</v>
      </c>
      <c r="BM829">
        <v>59.267800000000001</v>
      </c>
      <c r="BN829">
        <v>10.9316</v>
      </c>
      <c r="BO829">
        <v>1.7397499999999999</v>
      </c>
      <c r="BP829">
        <v>0.71608400000000005</v>
      </c>
      <c r="BQ829">
        <v>36.369300000000003</v>
      </c>
      <c r="BR829">
        <v>104038</v>
      </c>
    </row>
    <row r="830" spans="1:70" x14ac:dyDescent="0.25">
      <c r="A830">
        <v>52</v>
      </c>
      <c r="B830" s="7">
        <v>45994.542083333334</v>
      </c>
      <c r="C830" t="s">
        <v>199</v>
      </c>
      <c r="D830" s="6" t="s">
        <v>416</v>
      </c>
      <c r="E830" s="6" t="str">
        <f>VLOOKUP(F830,Germplasm!$A$1:$B$21,2,FALSE)</f>
        <v>Tore</v>
      </c>
      <c r="F830" t="s">
        <v>72</v>
      </c>
      <c r="G830" s="6" t="s">
        <v>113</v>
      </c>
      <c r="H830">
        <v>43456.6</v>
      </c>
      <c r="I830">
        <v>431.55900000000003</v>
      </c>
      <c r="J830">
        <v>155503</v>
      </c>
      <c r="K830">
        <v>16.406500000000001</v>
      </c>
      <c r="L830">
        <v>56.058500000000002</v>
      </c>
      <c r="M830">
        <v>1551.53</v>
      </c>
      <c r="N830">
        <v>619.58000000000004</v>
      </c>
      <c r="O830">
        <v>25865900</v>
      </c>
      <c r="P830">
        <v>0.11971900000000001</v>
      </c>
      <c r="Q830">
        <v>0.77889699999999995</v>
      </c>
      <c r="R830">
        <v>14.0159</v>
      </c>
      <c r="S830">
        <v>47.508499999999998</v>
      </c>
      <c r="T830">
        <v>30.496400000000001</v>
      </c>
      <c r="U830">
        <v>6.9054399999999996</v>
      </c>
      <c r="V830">
        <v>0.29486099999999998</v>
      </c>
      <c r="W830">
        <v>62.0107</v>
      </c>
      <c r="X830">
        <v>8.1102500000000006</v>
      </c>
      <c r="Y830">
        <v>33.253700000000002</v>
      </c>
      <c r="Z830">
        <v>21.268000000000001</v>
      </c>
      <c r="AA830">
        <v>20.338000000000001</v>
      </c>
      <c r="AB830">
        <v>10.6784</v>
      </c>
      <c r="AC830">
        <v>6.3516599999999999</v>
      </c>
      <c r="AD830">
        <v>1.7033400000000001</v>
      </c>
      <c r="AE830">
        <v>13.352499999999999</v>
      </c>
      <c r="AF830">
        <v>0</v>
      </c>
      <c r="AG830">
        <v>92.577799999999996</v>
      </c>
      <c r="AH830">
        <v>7.3841999999999999</v>
      </c>
      <c r="AI830">
        <v>3.3819099999999998E-2</v>
      </c>
      <c r="AJ830">
        <v>4.2273900000000001E-3</v>
      </c>
      <c r="AK830">
        <v>0</v>
      </c>
      <c r="AL830">
        <v>0.21864400000000001</v>
      </c>
      <c r="AM830">
        <v>6.9191799999999999</v>
      </c>
      <c r="AN830">
        <v>36.552100000000003</v>
      </c>
      <c r="AO830">
        <v>25.4404</v>
      </c>
      <c r="AP830">
        <v>17.758199999999999</v>
      </c>
      <c r="AQ830">
        <v>10.318</v>
      </c>
      <c r="AR830">
        <v>3.0120200000000001</v>
      </c>
      <c r="AS830">
        <v>0.28375600000000001</v>
      </c>
      <c r="AT830">
        <v>0.35827100000000001</v>
      </c>
      <c r="AU830">
        <v>5.5716999999999999</v>
      </c>
      <c r="AV830">
        <v>24.279</v>
      </c>
      <c r="AW830">
        <v>44.703600000000002</v>
      </c>
      <c r="AX830">
        <v>22.775099999999998</v>
      </c>
      <c r="AY830">
        <v>2.3123800000000001</v>
      </c>
      <c r="AZ830">
        <v>595.21199999999999</v>
      </c>
      <c r="BA830">
        <v>644.99900000000002</v>
      </c>
      <c r="BB830">
        <v>25512.6</v>
      </c>
      <c r="BC830">
        <v>0.29115400000000002</v>
      </c>
      <c r="BD830">
        <v>2.6421199999999999E-2</v>
      </c>
      <c r="BE830">
        <v>0.13739000000000001</v>
      </c>
      <c r="BF830">
        <v>0.47663800000000001</v>
      </c>
      <c r="BG830">
        <v>5.2895200000000004</v>
      </c>
      <c r="BH830">
        <v>28.440799999999999</v>
      </c>
      <c r="BI830">
        <v>65.629199999999997</v>
      </c>
      <c r="BJ830">
        <v>34.698399999999999</v>
      </c>
      <c r="BK830">
        <v>0</v>
      </c>
      <c r="BL830">
        <v>23.902699999999999</v>
      </c>
      <c r="BM830">
        <v>65.730699999999999</v>
      </c>
      <c r="BN830">
        <v>8.9250799999999995</v>
      </c>
      <c r="BO830">
        <v>1.09701</v>
      </c>
      <c r="BP830">
        <v>0.344532</v>
      </c>
      <c r="BQ830">
        <v>35.9908</v>
      </c>
      <c r="BR830">
        <v>94621</v>
      </c>
    </row>
    <row r="831" spans="1:70" x14ac:dyDescent="0.25">
      <c r="A831">
        <v>52</v>
      </c>
      <c r="B831" s="7">
        <v>46002.547719907408</v>
      </c>
      <c r="C831" t="s">
        <v>199</v>
      </c>
      <c r="D831" s="6" t="s">
        <v>417</v>
      </c>
      <c r="E831" s="6" t="str">
        <f>VLOOKUP(F831,Germplasm!$A$1:$B$21,2,FALSE)</f>
        <v>Tore</v>
      </c>
      <c r="F831" t="s">
        <v>72</v>
      </c>
      <c r="G831" s="6" t="s">
        <v>113</v>
      </c>
      <c r="H831">
        <v>34279.599999999999</v>
      </c>
      <c r="I831">
        <v>481.17599999999999</v>
      </c>
      <c r="J831">
        <v>71976.899999999994</v>
      </c>
      <c r="K831">
        <v>26.304600000000001</v>
      </c>
      <c r="L831">
        <v>67.870400000000004</v>
      </c>
      <c r="M831">
        <v>1077.8900000000001</v>
      </c>
      <c r="N831">
        <v>403.17399999999998</v>
      </c>
      <c r="O831">
        <v>20540900</v>
      </c>
      <c r="P831">
        <v>5.6554399999999998E-2</v>
      </c>
      <c r="Q831">
        <v>1.30365</v>
      </c>
      <c r="R831">
        <v>29.882999999999999</v>
      </c>
      <c r="S831">
        <v>50.120100000000001</v>
      </c>
      <c r="T831">
        <v>14.5884</v>
      </c>
      <c r="U831">
        <v>3.89236</v>
      </c>
      <c r="V831">
        <v>0.21240700000000001</v>
      </c>
      <c r="W831">
        <v>46.020800000000001</v>
      </c>
      <c r="X831">
        <v>16.721800000000002</v>
      </c>
      <c r="Y831">
        <v>45.108699999999999</v>
      </c>
      <c r="Z831">
        <v>14.68</v>
      </c>
      <c r="AA831">
        <v>12.7272</v>
      </c>
      <c r="AB831">
        <v>4.2043400000000002</v>
      </c>
      <c r="AC831">
        <v>6.5580699999999998</v>
      </c>
      <c r="AD831">
        <v>1.8105500000000001</v>
      </c>
      <c r="AE831">
        <v>14.703799999999999</v>
      </c>
      <c r="AF831">
        <v>0</v>
      </c>
      <c r="AG831">
        <v>88.470299999999995</v>
      </c>
      <c r="AH831">
        <v>11.3094</v>
      </c>
      <c r="AI831">
        <v>0.21771699999999999</v>
      </c>
      <c r="AJ831">
        <v>2.6550900000000001E-3</v>
      </c>
      <c r="AK831">
        <v>0</v>
      </c>
      <c r="AL831">
        <v>0.14955099999999999</v>
      </c>
      <c r="AM831">
        <v>10.904500000000001</v>
      </c>
      <c r="AN831">
        <v>51.807499999999997</v>
      </c>
      <c r="AO831">
        <v>20.235800000000001</v>
      </c>
      <c r="AP831">
        <v>10.431900000000001</v>
      </c>
      <c r="AQ831">
        <v>4.9185600000000003</v>
      </c>
      <c r="AR831">
        <v>1.70191</v>
      </c>
      <c r="AS831">
        <v>0.28190900000000002</v>
      </c>
      <c r="AT831">
        <v>0.53500099999999995</v>
      </c>
      <c r="AU831">
        <v>4.1844200000000003</v>
      </c>
      <c r="AV831">
        <v>22.0412</v>
      </c>
      <c r="AW831">
        <v>54.664299999999997</v>
      </c>
      <c r="AX831">
        <v>15.7858</v>
      </c>
      <c r="AY831">
        <v>2.7891699999999999</v>
      </c>
      <c r="AZ831">
        <v>599.21699999999998</v>
      </c>
      <c r="BA831">
        <v>649.19899999999996</v>
      </c>
      <c r="BB831">
        <v>18933.3</v>
      </c>
      <c r="BC831">
        <v>0.31900600000000001</v>
      </c>
      <c r="BD831">
        <v>8.7618000000000001E-2</v>
      </c>
      <c r="BE831">
        <v>0.25223400000000001</v>
      </c>
      <c r="BF831">
        <v>0.60668800000000001</v>
      </c>
      <c r="BG831">
        <v>3.7728799999999998</v>
      </c>
      <c r="BH831">
        <v>19.2866</v>
      </c>
      <c r="BI831">
        <v>75.994</v>
      </c>
      <c r="BJ831">
        <v>31.9482</v>
      </c>
      <c r="BK831">
        <v>0</v>
      </c>
      <c r="BL831">
        <v>31.886299999999999</v>
      </c>
      <c r="BM831">
        <v>60.319699999999997</v>
      </c>
      <c r="BN831">
        <v>6.03104</v>
      </c>
      <c r="BO831">
        <v>1.0726599999999999</v>
      </c>
      <c r="BP831">
        <v>0.69032400000000005</v>
      </c>
      <c r="BQ831">
        <v>33.554099999999998</v>
      </c>
      <c r="BR831">
        <v>75327</v>
      </c>
    </row>
    <row r="832" spans="1:70" x14ac:dyDescent="0.25">
      <c r="A832">
        <v>52</v>
      </c>
      <c r="B832" s="7">
        <v>46013.573750000003</v>
      </c>
      <c r="C832" t="s">
        <v>199</v>
      </c>
      <c r="D832" s="6" t="s">
        <v>418</v>
      </c>
      <c r="E832" s="6" t="str">
        <f>VLOOKUP(F832,Germplasm!$A$1:$B$21,2,FALSE)</f>
        <v>Tore</v>
      </c>
      <c r="F832" t="s">
        <v>72</v>
      </c>
      <c r="G832" s="6" t="s">
        <v>113</v>
      </c>
      <c r="H832">
        <v>27142.400000000001</v>
      </c>
      <c r="I832">
        <v>504.86799999999999</v>
      </c>
      <c r="J832">
        <v>57416.6</v>
      </c>
      <c r="K832">
        <v>25.2682</v>
      </c>
      <c r="L832">
        <v>69.083200000000005</v>
      </c>
      <c r="M832">
        <v>908.452</v>
      </c>
      <c r="N832">
        <v>335.73500000000001</v>
      </c>
      <c r="O832">
        <v>15523100</v>
      </c>
      <c r="P832">
        <v>7.7581999999999998E-3</v>
      </c>
      <c r="Q832">
        <v>1.4611000000000001</v>
      </c>
      <c r="R832">
        <v>38.002400000000002</v>
      </c>
      <c r="S832">
        <v>57.692999999999998</v>
      </c>
      <c r="T832">
        <v>2.3336600000000001</v>
      </c>
      <c r="U832">
        <v>0.44141000000000002</v>
      </c>
      <c r="V832">
        <v>6.8435700000000002E-2</v>
      </c>
      <c r="W832">
        <v>34.668999999999997</v>
      </c>
      <c r="X832">
        <v>20.914000000000001</v>
      </c>
      <c r="Y832">
        <v>59.450099999999999</v>
      </c>
      <c r="Z832">
        <v>10.137</v>
      </c>
      <c r="AA832">
        <v>2.7288700000000001</v>
      </c>
      <c r="AB832">
        <v>0.93928</v>
      </c>
      <c r="AC832">
        <v>5.8307200000000003</v>
      </c>
      <c r="AD832">
        <v>1.8708400000000001</v>
      </c>
      <c r="AE832">
        <v>17.0183</v>
      </c>
      <c r="AF832">
        <v>0</v>
      </c>
      <c r="AG832">
        <v>82.319599999999994</v>
      </c>
      <c r="AH832">
        <v>17.163699999999999</v>
      </c>
      <c r="AI832">
        <v>0.494448</v>
      </c>
      <c r="AJ832">
        <v>2.22416E-2</v>
      </c>
      <c r="AK832">
        <v>0</v>
      </c>
      <c r="AL832">
        <v>8.8170399999999996E-2</v>
      </c>
      <c r="AM832">
        <v>15.736800000000001</v>
      </c>
      <c r="AN832">
        <v>63.532299999999999</v>
      </c>
      <c r="AO832">
        <v>15.6187</v>
      </c>
      <c r="AP832">
        <v>3.5586600000000002</v>
      </c>
      <c r="AQ832">
        <v>1.083</v>
      </c>
      <c r="AR832">
        <v>0.47049600000000003</v>
      </c>
      <c r="AS832">
        <v>0.26894000000000001</v>
      </c>
      <c r="AT832">
        <v>0.55261899999999997</v>
      </c>
      <c r="AU832">
        <v>2.6553100000000001</v>
      </c>
      <c r="AV832">
        <v>26.4282</v>
      </c>
      <c r="AW832">
        <v>57.420999999999999</v>
      </c>
      <c r="AX832">
        <v>10.658899999999999</v>
      </c>
      <c r="AY832">
        <v>2.2840400000000001</v>
      </c>
      <c r="AZ832">
        <v>571.91300000000001</v>
      </c>
      <c r="BA832">
        <v>640.19899999999996</v>
      </c>
      <c r="BB832">
        <v>14508.1</v>
      </c>
      <c r="BC832">
        <v>0.339947</v>
      </c>
      <c r="BD832">
        <v>0.104364</v>
      </c>
      <c r="BE832">
        <v>0.27887600000000001</v>
      </c>
      <c r="BF832">
        <v>0.53893100000000005</v>
      </c>
      <c r="BG832">
        <v>2.2806199999999999</v>
      </c>
      <c r="BH832">
        <v>11.9198</v>
      </c>
      <c r="BI832">
        <v>84.877399999999994</v>
      </c>
      <c r="BJ832">
        <v>28.408799999999999</v>
      </c>
      <c r="BK832">
        <v>0</v>
      </c>
      <c r="BL832">
        <v>41.858699999999999</v>
      </c>
      <c r="BM832">
        <v>53.379899999999999</v>
      </c>
      <c r="BN832">
        <v>3.4406099999999999</v>
      </c>
      <c r="BO832">
        <v>0.67580300000000004</v>
      </c>
      <c r="BP832">
        <v>0.645007</v>
      </c>
      <c r="BQ832">
        <v>32.326999999999998</v>
      </c>
      <c r="BR832">
        <v>58449</v>
      </c>
    </row>
    <row r="833" spans="1:70" x14ac:dyDescent="0.25">
      <c r="A833">
        <v>52</v>
      </c>
      <c r="B833" s="7">
        <v>46024.549849537034</v>
      </c>
      <c r="C833" t="s">
        <v>199</v>
      </c>
      <c r="D833" s="6" t="s">
        <v>419</v>
      </c>
      <c r="E833" s="6" t="str">
        <f>VLOOKUP(F833,Germplasm!$A$1:$B$21,2,FALSE)</f>
        <v>Tore</v>
      </c>
      <c r="F833" t="s">
        <v>72</v>
      </c>
      <c r="G833" s="6" t="s">
        <v>113</v>
      </c>
      <c r="H833">
        <v>35508.400000000001</v>
      </c>
      <c r="I833">
        <v>493.99900000000002</v>
      </c>
      <c r="J833">
        <v>76104</v>
      </c>
      <c r="K833">
        <v>24.349599999999999</v>
      </c>
      <c r="L833">
        <v>78.792199999999994</v>
      </c>
      <c r="M833">
        <v>1034.95</v>
      </c>
      <c r="N833">
        <v>353.42500000000001</v>
      </c>
      <c r="O833">
        <v>20469900</v>
      </c>
      <c r="P833">
        <v>3.2838400000000001E-3</v>
      </c>
      <c r="Q833">
        <v>1.3426800000000001</v>
      </c>
      <c r="R833">
        <v>39.514699999999998</v>
      </c>
      <c r="S833">
        <v>57.87</v>
      </c>
      <c r="T833">
        <v>1.10677</v>
      </c>
      <c r="U833">
        <v>0.13345899999999999</v>
      </c>
      <c r="V833">
        <v>3.2353699999999999E-2</v>
      </c>
      <c r="W833">
        <v>34.091999999999999</v>
      </c>
      <c r="X833">
        <v>22.035599999999999</v>
      </c>
      <c r="Y833">
        <v>58.378300000000003</v>
      </c>
      <c r="Z833">
        <v>9.5915300000000006</v>
      </c>
      <c r="AA833">
        <v>2.5748199999999999</v>
      </c>
      <c r="AB833">
        <v>0.93286599999999997</v>
      </c>
      <c r="AC833">
        <v>6.4869199999999996</v>
      </c>
      <c r="AD833">
        <v>1.9161600000000001</v>
      </c>
      <c r="AE833">
        <v>20.3459</v>
      </c>
      <c r="AF833">
        <v>0</v>
      </c>
      <c r="AG833">
        <v>71.838800000000006</v>
      </c>
      <c r="AH833">
        <v>26.325199999999999</v>
      </c>
      <c r="AI833">
        <v>1.75789</v>
      </c>
      <c r="AJ833">
        <v>7.8188199999999999E-2</v>
      </c>
      <c r="AK833">
        <v>0</v>
      </c>
      <c r="AL833">
        <v>5.7336199999999997E-2</v>
      </c>
      <c r="AM833">
        <v>24.866499999999998</v>
      </c>
      <c r="AN833">
        <v>61.802399999999999</v>
      </c>
      <c r="AO833">
        <v>10.0108</v>
      </c>
      <c r="AP833">
        <v>2.2809400000000002</v>
      </c>
      <c r="AQ833">
        <v>0.758965</v>
      </c>
      <c r="AR833">
        <v>0.28039900000000001</v>
      </c>
      <c r="AS833">
        <v>0.237236</v>
      </c>
      <c r="AT833">
        <v>0.55405800000000005</v>
      </c>
      <c r="AU833">
        <v>3.11809</v>
      </c>
      <c r="AV833">
        <v>36.619</v>
      </c>
      <c r="AW833">
        <v>50.67</v>
      </c>
      <c r="AX833">
        <v>7.3025099999999998</v>
      </c>
      <c r="AY833">
        <v>1.7363200000000001</v>
      </c>
      <c r="AZ833">
        <v>576.48099999999999</v>
      </c>
      <c r="BA833">
        <v>636.59900000000005</v>
      </c>
      <c r="BB833">
        <v>18531</v>
      </c>
      <c r="BC833">
        <v>0.324878</v>
      </c>
      <c r="BD833">
        <v>0.102453</v>
      </c>
      <c r="BE833">
        <v>0.32084099999999999</v>
      </c>
      <c r="BF833">
        <v>0.676732</v>
      </c>
      <c r="BG833">
        <v>2.57212</v>
      </c>
      <c r="BH833">
        <v>15.3613</v>
      </c>
      <c r="BI833">
        <v>80.9666</v>
      </c>
      <c r="BJ833">
        <v>25.331</v>
      </c>
      <c r="BK833">
        <v>0</v>
      </c>
      <c r="BL833">
        <v>52.630099999999999</v>
      </c>
      <c r="BM833">
        <v>43.840699999999998</v>
      </c>
      <c r="BN833">
        <v>2.4898899999999999</v>
      </c>
      <c r="BO833">
        <v>0.62280899999999995</v>
      </c>
      <c r="BP833">
        <v>0.41655399999999998</v>
      </c>
      <c r="BQ833">
        <v>31.482500000000002</v>
      </c>
      <c r="BR833">
        <v>74180</v>
      </c>
    </row>
    <row r="834" spans="1:70" x14ac:dyDescent="0.25">
      <c r="A834">
        <v>53</v>
      </c>
      <c r="B834" s="7">
        <v>45952.582812499997</v>
      </c>
      <c r="C834" t="s">
        <v>205</v>
      </c>
      <c r="D834" s="6" t="s">
        <v>420</v>
      </c>
      <c r="E834" s="6" t="str">
        <f>VLOOKUP(F834,Germplasm!$A$1:$B$21,2,FALSE)</f>
        <v>Annika</v>
      </c>
      <c r="F834" t="s">
        <v>66</v>
      </c>
      <c r="G834" s="6" t="s">
        <v>113</v>
      </c>
      <c r="H834">
        <v>42035.5</v>
      </c>
      <c r="I834">
        <v>190.83500000000001</v>
      </c>
      <c r="J834">
        <v>187004</v>
      </c>
      <c r="K834">
        <v>13.496600000000001</v>
      </c>
      <c r="L834">
        <v>71.749499999999998</v>
      </c>
      <c r="M834">
        <v>1650.47</v>
      </c>
      <c r="N834">
        <v>602.41499999999996</v>
      </c>
      <c r="O834">
        <v>9769970</v>
      </c>
      <c r="P834">
        <v>0.22436600000000001</v>
      </c>
      <c r="Q834">
        <v>0.44392700000000002</v>
      </c>
      <c r="R834">
        <v>6.4713700000000003</v>
      </c>
      <c r="S834">
        <v>21.405799999999999</v>
      </c>
      <c r="T834">
        <v>39.331499999999998</v>
      </c>
      <c r="U834">
        <v>32.11</v>
      </c>
      <c r="V834">
        <v>0.23739399999999999</v>
      </c>
      <c r="W834">
        <v>112.712</v>
      </c>
      <c r="X834">
        <v>1.9917400000000001</v>
      </c>
      <c r="Y834">
        <v>3.1205500000000002</v>
      </c>
      <c r="Z834">
        <v>4.7538200000000002</v>
      </c>
      <c r="AA834">
        <v>18.910799999999998</v>
      </c>
      <c r="AB834">
        <v>38.215699999999998</v>
      </c>
      <c r="AC834">
        <v>33.007300000000001</v>
      </c>
      <c r="AD834">
        <v>1.6654899999999999</v>
      </c>
      <c r="AE834">
        <v>13.960800000000001</v>
      </c>
      <c r="AF834">
        <v>0</v>
      </c>
      <c r="AG834">
        <v>91.159400000000005</v>
      </c>
      <c r="AH834">
        <v>1.0136700000000001</v>
      </c>
      <c r="AI834">
        <v>1.4920199999999999</v>
      </c>
      <c r="AJ834">
        <v>6.3348699999999996</v>
      </c>
      <c r="AK834">
        <v>0</v>
      </c>
      <c r="AL834">
        <v>0.47396700000000003</v>
      </c>
      <c r="AM834">
        <v>7.7556700000000003</v>
      </c>
      <c r="AN834">
        <v>4.0689399999999996</v>
      </c>
      <c r="AO834">
        <v>4.9935900000000002</v>
      </c>
      <c r="AP834">
        <v>13.814</v>
      </c>
      <c r="AQ834">
        <v>37.777799999999999</v>
      </c>
      <c r="AR834">
        <v>31.5901</v>
      </c>
      <c r="AS834">
        <v>4.8873100000000003E-2</v>
      </c>
      <c r="AT834">
        <v>5.9134900000000004</v>
      </c>
      <c r="AU834">
        <v>32.506399999999999</v>
      </c>
      <c r="AV834">
        <v>45.3459</v>
      </c>
      <c r="AW834">
        <v>12.9404</v>
      </c>
      <c r="AX834">
        <v>2.3537699999999999</v>
      </c>
      <c r="AY834">
        <v>0.94008199999999997</v>
      </c>
      <c r="AZ834">
        <v>232.422</v>
      </c>
      <c r="BA834">
        <v>250.2</v>
      </c>
      <c r="BB834">
        <v>25239.1</v>
      </c>
      <c r="BC834">
        <v>1.52751E-2</v>
      </c>
      <c r="BD834">
        <v>0.63621700000000003</v>
      </c>
      <c r="BE834">
        <v>0.71218300000000001</v>
      </c>
      <c r="BF834">
        <v>2.56623</v>
      </c>
      <c r="BG834">
        <v>34.505299999999998</v>
      </c>
      <c r="BH834">
        <v>56.052399999999999</v>
      </c>
      <c r="BI834">
        <v>5.52773</v>
      </c>
      <c r="BJ834">
        <v>32.961799999999997</v>
      </c>
      <c r="BK834">
        <v>0</v>
      </c>
      <c r="BL834">
        <v>31.162800000000001</v>
      </c>
      <c r="BM834">
        <v>57.9313</v>
      </c>
      <c r="BN834">
        <v>8.8512500000000003</v>
      </c>
      <c r="BO834">
        <v>1.09914</v>
      </c>
      <c r="BP834">
        <v>0.95551200000000003</v>
      </c>
      <c r="BQ834">
        <v>36.940399999999997</v>
      </c>
      <c r="BR834">
        <v>84248</v>
      </c>
    </row>
    <row r="835" spans="1:70" x14ac:dyDescent="0.25">
      <c r="A835">
        <v>53</v>
      </c>
      <c r="B835" s="7">
        <v>45959.556030092594</v>
      </c>
      <c r="C835" t="s">
        <v>205</v>
      </c>
      <c r="D835" s="6" t="s">
        <v>421</v>
      </c>
      <c r="E835" s="6" t="str">
        <f>VLOOKUP(F835,Germplasm!$A$1:$B$21,2,FALSE)</f>
        <v>Annika</v>
      </c>
      <c r="F835" t="s">
        <v>66</v>
      </c>
      <c r="G835" s="6" t="s">
        <v>113</v>
      </c>
      <c r="H835">
        <v>71614.399999999994</v>
      </c>
      <c r="I835">
        <v>372.822</v>
      </c>
      <c r="J835">
        <v>226624</v>
      </c>
      <c r="K835">
        <v>18.802499999999998</v>
      </c>
      <c r="L835">
        <v>83.823300000000003</v>
      </c>
      <c r="M835">
        <v>1792</v>
      </c>
      <c r="N835">
        <v>653.01700000000005</v>
      </c>
      <c r="O835">
        <v>30627500</v>
      </c>
      <c r="P835">
        <v>0.22021099999999999</v>
      </c>
      <c r="Q835">
        <v>0.91893400000000003</v>
      </c>
      <c r="R835">
        <v>5.28775</v>
      </c>
      <c r="S835">
        <v>21.4773</v>
      </c>
      <c r="T835">
        <v>43.0214</v>
      </c>
      <c r="U835">
        <v>28.715499999999999</v>
      </c>
      <c r="V835">
        <v>0.57913800000000004</v>
      </c>
      <c r="W835">
        <v>118.976</v>
      </c>
      <c r="X835">
        <v>1.8527</v>
      </c>
      <c r="Y835">
        <v>2.6057800000000002</v>
      </c>
      <c r="Z835">
        <v>3.8220399999999999</v>
      </c>
      <c r="AA835">
        <v>14.1784</v>
      </c>
      <c r="AB835">
        <v>34.994300000000003</v>
      </c>
      <c r="AC835">
        <v>42.546700000000001</v>
      </c>
      <c r="AD835">
        <v>1.68066</v>
      </c>
      <c r="AE835">
        <v>10.981199999999999</v>
      </c>
      <c r="AF835">
        <v>0</v>
      </c>
      <c r="AG835">
        <v>94.067700000000002</v>
      </c>
      <c r="AH835">
        <v>0.61352200000000001</v>
      </c>
      <c r="AI835">
        <v>1.01197</v>
      </c>
      <c r="AJ835">
        <v>4.3067900000000003</v>
      </c>
      <c r="AK835">
        <v>0</v>
      </c>
      <c r="AL835">
        <v>0.499693</v>
      </c>
      <c r="AM835">
        <v>4.9439099999999998</v>
      </c>
      <c r="AN835">
        <v>3.7633800000000002</v>
      </c>
      <c r="AO835">
        <v>5.55945</v>
      </c>
      <c r="AP835">
        <v>13.299899999999999</v>
      </c>
      <c r="AQ835">
        <v>36.567900000000002</v>
      </c>
      <c r="AR835">
        <v>35.865400000000001</v>
      </c>
      <c r="AS835">
        <v>2.1387E-2</v>
      </c>
      <c r="AT835">
        <v>8.5643600000000006</v>
      </c>
      <c r="AU835">
        <v>39.591700000000003</v>
      </c>
      <c r="AV835">
        <v>38.634999999999998</v>
      </c>
      <c r="AW835">
        <v>9.1630500000000001</v>
      </c>
      <c r="AX835">
        <v>2.36374</v>
      </c>
      <c r="AY835">
        <v>1.6821299999999999</v>
      </c>
      <c r="AZ835">
        <v>427.673</v>
      </c>
      <c r="BA835">
        <v>527.399</v>
      </c>
      <c r="BB835">
        <v>42610.8</v>
      </c>
      <c r="BC835">
        <v>9.6945400000000002E-4</v>
      </c>
      <c r="BD835">
        <v>0.33507700000000001</v>
      </c>
      <c r="BE835">
        <v>0.824546</v>
      </c>
      <c r="BF835">
        <v>3.3413300000000001</v>
      </c>
      <c r="BG835">
        <v>43.654400000000003</v>
      </c>
      <c r="BH835">
        <v>46.498899999999999</v>
      </c>
      <c r="BI835">
        <v>5.3457299999999996</v>
      </c>
      <c r="BJ835">
        <v>32.446399999999997</v>
      </c>
      <c r="BK835">
        <v>0</v>
      </c>
      <c r="BL835">
        <v>33.852200000000003</v>
      </c>
      <c r="BM835">
        <v>55.298499999999997</v>
      </c>
      <c r="BN835">
        <v>8.2852399999999999</v>
      </c>
      <c r="BO835">
        <v>1.2728900000000001</v>
      </c>
      <c r="BP835">
        <v>1.2910900000000001</v>
      </c>
      <c r="BQ835">
        <v>36.565800000000003</v>
      </c>
      <c r="BR835">
        <v>148324</v>
      </c>
    </row>
    <row r="836" spans="1:70" x14ac:dyDescent="0.25">
      <c r="A836">
        <v>53</v>
      </c>
      <c r="B836" s="7">
        <v>45966.524942129632</v>
      </c>
      <c r="C836" t="s">
        <v>205</v>
      </c>
      <c r="D836" s="6" t="s">
        <v>422</v>
      </c>
      <c r="E836" s="6" t="str">
        <f>VLOOKUP(F836,Germplasm!$A$1:$B$21,2,FALSE)</f>
        <v>Annika</v>
      </c>
      <c r="F836" t="s">
        <v>66</v>
      </c>
      <c r="G836" s="6" t="s">
        <v>113</v>
      </c>
      <c r="H836">
        <v>93398.8</v>
      </c>
      <c r="I836">
        <v>472.46600000000001</v>
      </c>
      <c r="J836">
        <v>276530</v>
      </c>
      <c r="K836">
        <v>20.226099999999999</v>
      </c>
      <c r="L836">
        <v>84.688900000000004</v>
      </c>
      <c r="M836">
        <v>1997.84</v>
      </c>
      <c r="N836">
        <v>707.49199999999996</v>
      </c>
      <c r="O836">
        <v>51592600</v>
      </c>
      <c r="P836">
        <v>0.23253199999999999</v>
      </c>
      <c r="Q836">
        <v>0.44454700000000003</v>
      </c>
      <c r="R836">
        <v>4.4081000000000001</v>
      </c>
      <c r="S836">
        <v>20.640499999999999</v>
      </c>
      <c r="T836">
        <v>42.125799999999998</v>
      </c>
      <c r="U836">
        <v>31.8687</v>
      </c>
      <c r="V836">
        <v>0.512409</v>
      </c>
      <c r="W836">
        <v>117.559</v>
      </c>
      <c r="X836">
        <v>1.4010100000000001</v>
      </c>
      <c r="Y836">
        <v>2.5590999999999999</v>
      </c>
      <c r="Z836">
        <v>3.6232600000000001</v>
      </c>
      <c r="AA836">
        <v>14.406499999999999</v>
      </c>
      <c r="AB836">
        <v>39.393099999999997</v>
      </c>
      <c r="AC836">
        <v>38.617100000000001</v>
      </c>
      <c r="AD836">
        <v>1.6698900000000001</v>
      </c>
      <c r="AE836">
        <v>9.5671599999999994</v>
      </c>
      <c r="AF836">
        <v>0</v>
      </c>
      <c r="AG836">
        <v>95.566800000000001</v>
      </c>
      <c r="AH836">
        <v>0.67714799999999997</v>
      </c>
      <c r="AI836">
        <v>0.82270699999999997</v>
      </c>
      <c r="AJ836">
        <v>2.9333200000000001</v>
      </c>
      <c r="AK836">
        <v>0</v>
      </c>
      <c r="AL836">
        <v>0.50598200000000004</v>
      </c>
      <c r="AM836">
        <v>3.5642499999999999</v>
      </c>
      <c r="AN836">
        <v>3.6665299999999998</v>
      </c>
      <c r="AO836">
        <v>5.7668200000000001</v>
      </c>
      <c r="AP836">
        <v>13.8813</v>
      </c>
      <c r="AQ836">
        <v>36.7361</v>
      </c>
      <c r="AR836">
        <v>36.384999999999998</v>
      </c>
      <c r="AS836">
        <v>3.0381700000000001E-2</v>
      </c>
      <c r="AT836">
        <v>5.9561500000000001</v>
      </c>
      <c r="AU836">
        <v>39.027200000000001</v>
      </c>
      <c r="AV836">
        <v>42.075099999999999</v>
      </c>
      <c r="AW836">
        <v>9.5375999999999994</v>
      </c>
      <c r="AX836">
        <v>2.0988099999999998</v>
      </c>
      <c r="AY836">
        <v>1.3051200000000001</v>
      </c>
      <c r="AZ836">
        <v>552.39099999999996</v>
      </c>
      <c r="BA836">
        <v>671.99900000000002</v>
      </c>
      <c r="BB836">
        <v>55931.199999999997</v>
      </c>
      <c r="BC836">
        <v>8.1689199999999997E-3</v>
      </c>
      <c r="BD836">
        <v>0.17703199999999999</v>
      </c>
      <c r="BE836">
        <v>0.53109600000000001</v>
      </c>
      <c r="BF836">
        <v>2.7041599999999999</v>
      </c>
      <c r="BG836">
        <v>41.570099999999996</v>
      </c>
      <c r="BH836">
        <v>50.2958</v>
      </c>
      <c r="BI836">
        <v>4.7218400000000003</v>
      </c>
      <c r="BJ836">
        <v>31.822600000000001</v>
      </c>
      <c r="BK836">
        <v>0</v>
      </c>
      <c r="BL836">
        <v>33.325299999999999</v>
      </c>
      <c r="BM836">
        <v>57.712499999999999</v>
      </c>
      <c r="BN836">
        <v>7.1963499999999998</v>
      </c>
      <c r="BO836">
        <v>0.98547799999999997</v>
      </c>
      <c r="BP836">
        <v>0.780416</v>
      </c>
      <c r="BQ836">
        <v>36.845300000000002</v>
      </c>
      <c r="BR836">
        <v>203353</v>
      </c>
    </row>
    <row r="837" spans="1:70" x14ac:dyDescent="0.25">
      <c r="A837">
        <v>53</v>
      </c>
      <c r="B837" s="7">
        <v>45973.579606481479</v>
      </c>
      <c r="C837" t="s">
        <v>205</v>
      </c>
      <c r="D837" s="6" t="s">
        <v>423</v>
      </c>
      <c r="E837" s="6" t="str">
        <f>VLOOKUP(F837,Germplasm!$A$1:$B$21,2,FALSE)</f>
        <v>Annika</v>
      </c>
      <c r="F837" t="s">
        <v>66</v>
      </c>
      <c r="G837" s="6" t="s">
        <v>113</v>
      </c>
      <c r="H837">
        <v>55089.599999999999</v>
      </c>
      <c r="I837">
        <v>615.62900000000002</v>
      </c>
      <c r="J837">
        <v>206473</v>
      </c>
      <c r="K837">
        <v>17.705400000000001</v>
      </c>
      <c r="L837">
        <v>79.032499999999999</v>
      </c>
      <c r="M837">
        <v>1695.77</v>
      </c>
      <c r="N837">
        <v>607.03800000000001</v>
      </c>
      <c r="O837">
        <v>39497500</v>
      </c>
      <c r="P837">
        <v>0.22553799999999999</v>
      </c>
      <c r="Q837">
        <v>0.69335500000000005</v>
      </c>
      <c r="R837">
        <v>5.1351100000000001</v>
      </c>
      <c r="S837">
        <v>21.007999999999999</v>
      </c>
      <c r="T837">
        <v>42.490600000000001</v>
      </c>
      <c r="U837">
        <v>29.924499999999998</v>
      </c>
      <c r="V837">
        <v>0.74845600000000001</v>
      </c>
      <c r="W837">
        <v>114.29900000000001</v>
      </c>
      <c r="X837">
        <v>1.74028</v>
      </c>
      <c r="Y837">
        <v>3.4568300000000001</v>
      </c>
      <c r="Z837">
        <v>4.9192999999999998</v>
      </c>
      <c r="AA837">
        <v>15.8278</v>
      </c>
      <c r="AB837">
        <v>38.315899999999999</v>
      </c>
      <c r="AC837">
        <v>35.739899999999999</v>
      </c>
      <c r="AD837">
        <v>1.5069600000000001</v>
      </c>
      <c r="AE837">
        <v>10.8087</v>
      </c>
      <c r="AF837">
        <v>0</v>
      </c>
      <c r="AG837">
        <v>93.9542</v>
      </c>
      <c r="AH837">
        <v>0.58774499999999996</v>
      </c>
      <c r="AI837">
        <v>1.2466600000000001</v>
      </c>
      <c r="AJ837">
        <v>4.2114000000000003</v>
      </c>
      <c r="AK837">
        <v>0</v>
      </c>
      <c r="AL837">
        <v>0.48000500000000001</v>
      </c>
      <c r="AM837">
        <v>4.7478699999999998</v>
      </c>
      <c r="AN837">
        <v>4.6644600000000001</v>
      </c>
      <c r="AO837">
        <v>7.2695100000000004</v>
      </c>
      <c r="AP837">
        <v>14.395200000000001</v>
      </c>
      <c r="AQ837">
        <v>38.6297</v>
      </c>
      <c r="AR837">
        <v>30.293299999999999</v>
      </c>
      <c r="AS837">
        <v>5.0426100000000001E-2</v>
      </c>
      <c r="AT837">
        <v>5.6807699999999999</v>
      </c>
      <c r="AU837">
        <v>35.697800000000001</v>
      </c>
      <c r="AV837">
        <v>42.244100000000003</v>
      </c>
      <c r="AW837">
        <v>11.011799999999999</v>
      </c>
      <c r="AX837">
        <v>3.2877000000000001</v>
      </c>
      <c r="AY837">
        <v>2.0777700000000001</v>
      </c>
      <c r="AZ837">
        <v>716.96799999999996</v>
      </c>
      <c r="BA837">
        <v>815.4</v>
      </c>
      <c r="BB837">
        <v>36556.800000000003</v>
      </c>
      <c r="BC837">
        <v>1.9534900000000001E-2</v>
      </c>
      <c r="BD837">
        <v>0.38035000000000002</v>
      </c>
      <c r="BE837">
        <v>0.610703</v>
      </c>
      <c r="BF837">
        <v>2.4665400000000002</v>
      </c>
      <c r="BG837">
        <v>37.920999999999999</v>
      </c>
      <c r="BH837">
        <v>51.170499999999997</v>
      </c>
      <c r="BI837">
        <v>7.4508900000000002</v>
      </c>
      <c r="BJ837">
        <v>32.655500000000004</v>
      </c>
      <c r="BK837">
        <v>0</v>
      </c>
      <c r="BL837">
        <v>32.2395</v>
      </c>
      <c r="BM837">
        <v>56.988300000000002</v>
      </c>
      <c r="BN837">
        <v>8.1771499999999993</v>
      </c>
      <c r="BO837">
        <v>1.5252300000000001</v>
      </c>
      <c r="BP837">
        <v>1.0698799999999999</v>
      </c>
      <c r="BQ837">
        <v>41.633400000000002</v>
      </c>
      <c r="BR837">
        <v>130669</v>
      </c>
    </row>
    <row r="838" spans="1:70" x14ac:dyDescent="0.25">
      <c r="A838">
        <v>53</v>
      </c>
      <c r="B838" s="7">
        <v>45988.59747685185</v>
      </c>
      <c r="C838" t="s">
        <v>205</v>
      </c>
      <c r="D838" s="6" t="s">
        <v>424</v>
      </c>
      <c r="E838" s="6" t="str">
        <f>VLOOKUP(F838,Germplasm!$A$1:$B$21,2,FALSE)</f>
        <v>Annika</v>
      </c>
      <c r="F838" t="s">
        <v>66</v>
      </c>
      <c r="G838" s="6" t="s">
        <v>113</v>
      </c>
      <c r="H838">
        <v>65759.3</v>
      </c>
      <c r="I838">
        <v>546.36</v>
      </c>
      <c r="J838">
        <v>196240</v>
      </c>
      <c r="K838">
        <v>19.4147</v>
      </c>
      <c r="L838">
        <v>66.289000000000001</v>
      </c>
      <c r="M838">
        <v>1667.81</v>
      </c>
      <c r="N838">
        <v>623.41899999999998</v>
      </c>
      <c r="O838">
        <v>46307800</v>
      </c>
      <c r="P838">
        <v>0.16281399999999999</v>
      </c>
      <c r="Q838">
        <v>0.50176100000000001</v>
      </c>
      <c r="R838">
        <v>10.710100000000001</v>
      </c>
      <c r="S838">
        <v>34.784500000000001</v>
      </c>
      <c r="T838">
        <v>37.661099999999998</v>
      </c>
      <c r="U838">
        <v>16.051600000000001</v>
      </c>
      <c r="V838">
        <v>0.29095399999999999</v>
      </c>
      <c r="W838">
        <v>86.837299999999999</v>
      </c>
      <c r="X838">
        <v>5.1401899999999996</v>
      </c>
      <c r="Y838">
        <v>14.6966</v>
      </c>
      <c r="Z838">
        <v>11.5008</v>
      </c>
      <c r="AA838">
        <v>26.9422</v>
      </c>
      <c r="AB838">
        <v>26.650600000000001</v>
      </c>
      <c r="AC838">
        <v>15.069699999999999</v>
      </c>
      <c r="AD838">
        <v>1.7259899999999999</v>
      </c>
      <c r="AE838">
        <v>13.651899999999999</v>
      </c>
      <c r="AF838">
        <v>0</v>
      </c>
      <c r="AG838">
        <v>90.272599999999997</v>
      </c>
      <c r="AH838">
        <v>5.19407</v>
      </c>
      <c r="AI838">
        <v>0.948295</v>
      </c>
      <c r="AJ838">
        <v>3.58507</v>
      </c>
      <c r="AK838">
        <v>0</v>
      </c>
      <c r="AL838">
        <v>0.30804700000000002</v>
      </c>
      <c r="AM838">
        <v>9.3017800000000008</v>
      </c>
      <c r="AN838">
        <v>19.037299999999998</v>
      </c>
      <c r="AO838">
        <v>18.0641</v>
      </c>
      <c r="AP838">
        <v>21.968399999999999</v>
      </c>
      <c r="AQ838">
        <v>23.639399999999998</v>
      </c>
      <c r="AR838">
        <v>7.9891199999999998</v>
      </c>
      <c r="AS838">
        <v>0.16142300000000001</v>
      </c>
      <c r="AT838">
        <v>1.3854</v>
      </c>
      <c r="AU838">
        <v>15.0252</v>
      </c>
      <c r="AV838">
        <v>44.282299999999999</v>
      </c>
      <c r="AW838">
        <v>30.587900000000001</v>
      </c>
      <c r="AX838">
        <v>7.1694599999999999</v>
      </c>
      <c r="AY838">
        <v>1.5497300000000001</v>
      </c>
      <c r="AZ838">
        <v>704.202</v>
      </c>
      <c r="BA838">
        <v>769.8</v>
      </c>
      <c r="BB838">
        <v>38099.4</v>
      </c>
      <c r="BC838">
        <v>0.14555499999999999</v>
      </c>
      <c r="BD838">
        <v>0.34281400000000001</v>
      </c>
      <c r="BE838">
        <v>0.36571300000000001</v>
      </c>
      <c r="BF838">
        <v>1.1564099999999999</v>
      </c>
      <c r="BG838">
        <v>14.545</v>
      </c>
      <c r="BH838">
        <v>51.814799999999998</v>
      </c>
      <c r="BI838">
        <v>31.775300000000001</v>
      </c>
      <c r="BJ838">
        <v>30.664999999999999</v>
      </c>
      <c r="BK838">
        <v>0</v>
      </c>
      <c r="BL838">
        <v>36.773400000000002</v>
      </c>
      <c r="BM838">
        <v>55.353999999999999</v>
      </c>
      <c r="BN838">
        <v>6.0649100000000002</v>
      </c>
      <c r="BO838">
        <v>0.95301000000000002</v>
      </c>
      <c r="BP838">
        <v>0.85467800000000005</v>
      </c>
      <c r="BQ838">
        <v>35.453200000000002</v>
      </c>
      <c r="BR838">
        <v>148477</v>
      </c>
    </row>
    <row r="839" spans="1:70" x14ac:dyDescent="0.25">
      <c r="A839">
        <v>53</v>
      </c>
      <c r="B839" s="7">
        <v>45994.54310185185</v>
      </c>
      <c r="C839" t="s">
        <v>205</v>
      </c>
      <c r="D839" s="6" t="s">
        <v>425</v>
      </c>
      <c r="E839" s="6" t="str">
        <f>VLOOKUP(F839,Germplasm!$A$1:$B$21,2,FALSE)</f>
        <v>Annika</v>
      </c>
      <c r="F839" t="s">
        <v>66</v>
      </c>
      <c r="G839" s="6" t="s">
        <v>113</v>
      </c>
      <c r="H839">
        <v>51214.1</v>
      </c>
      <c r="I839">
        <v>595.22</v>
      </c>
      <c r="J839">
        <v>142690</v>
      </c>
      <c r="K839">
        <v>21.2773</v>
      </c>
      <c r="L839">
        <v>74.340500000000006</v>
      </c>
      <c r="M839">
        <v>1427.54</v>
      </c>
      <c r="N839">
        <v>491.62</v>
      </c>
      <c r="O839">
        <v>35881400</v>
      </c>
      <c r="P839">
        <v>0.14976500000000001</v>
      </c>
      <c r="Q839">
        <v>0.61582099999999995</v>
      </c>
      <c r="R839">
        <v>11.5063</v>
      </c>
      <c r="S839">
        <v>37.982500000000002</v>
      </c>
      <c r="T839">
        <v>35.752899999999997</v>
      </c>
      <c r="U839">
        <v>13.9802</v>
      </c>
      <c r="V839">
        <v>0.16236</v>
      </c>
      <c r="W839">
        <v>74.938999999999993</v>
      </c>
      <c r="X839">
        <v>5.9671500000000002</v>
      </c>
      <c r="Y839">
        <v>19.837499999999999</v>
      </c>
      <c r="Z839">
        <v>18.401700000000002</v>
      </c>
      <c r="AA839">
        <v>29.306899999999999</v>
      </c>
      <c r="AB839">
        <v>16.572199999999999</v>
      </c>
      <c r="AC839">
        <v>9.9146400000000003</v>
      </c>
      <c r="AD839">
        <v>1.68686</v>
      </c>
      <c r="AE839">
        <v>15.4686</v>
      </c>
      <c r="AF839">
        <v>0</v>
      </c>
      <c r="AG839">
        <v>87.859099999999998</v>
      </c>
      <c r="AH839">
        <v>6.6133100000000002</v>
      </c>
      <c r="AI839">
        <v>0.95940199999999998</v>
      </c>
      <c r="AJ839">
        <v>4.5682299999999998</v>
      </c>
      <c r="AK839">
        <v>0</v>
      </c>
      <c r="AL839">
        <v>0.251639</v>
      </c>
      <c r="AM839">
        <v>12.1442</v>
      </c>
      <c r="AN839">
        <v>25.329799999999999</v>
      </c>
      <c r="AO839">
        <v>19.908000000000001</v>
      </c>
      <c r="AP839">
        <v>21.422499999999999</v>
      </c>
      <c r="AQ839">
        <v>16.917400000000001</v>
      </c>
      <c r="AR839">
        <v>4.2779499999999997</v>
      </c>
      <c r="AS839">
        <v>0.222382</v>
      </c>
      <c r="AT839">
        <v>0.89380199999999999</v>
      </c>
      <c r="AU839">
        <v>8.8469999999999995</v>
      </c>
      <c r="AV839">
        <v>35.9161</v>
      </c>
      <c r="AW839">
        <v>38.362900000000003</v>
      </c>
      <c r="AX839">
        <v>13.7178</v>
      </c>
      <c r="AY839">
        <v>2.2623799999999998</v>
      </c>
      <c r="AZ839">
        <v>700.61599999999999</v>
      </c>
      <c r="BA839">
        <v>789.59900000000005</v>
      </c>
      <c r="BB839">
        <v>30360.6</v>
      </c>
      <c r="BC839">
        <v>0.21082699999999999</v>
      </c>
      <c r="BD839">
        <v>0.30258099999999999</v>
      </c>
      <c r="BE839">
        <v>0.32800099999999999</v>
      </c>
      <c r="BF839">
        <v>0.99958199999999997</v>
      </c>
      <c r="BG839">
        <v>8.1098099999999995</v>
      </c>
      <c r="BH839">
        <v>42.8262</v>
      </c>
      <c r="BI839">
        <v>47.433799999999998</v>
      </c>
      <c r="BJ839">
        <v>33.626399999999997</v>
      </c>
      <c r="BK839">
        <v>0</v>
      </c>
      <c r="BL839">
        <v>30.1785</v>
      </c>
      <c r="BM839">
        <v>57.764200000000002</v>
      </c>
      <c r="BN839">
        <v>9.85806</v>
      </c>
      <c r="BO839">
        <v>1.22262</v>
      </c>
      <c r="BP839">
        <v>0.97662199999999999</v>
      </c>
      <c r="BQ839">
        <v>36.401000000000003</v>
      </c>
      <c r="BR839">
        <v>121951</v>
      </c>
    </row>
    <row r="840" spans="1:70" x14ac:dyDescent="0.25">
      <c r="A840">
        <v>53</v>
      </c>
      <c r="B840" s="7">
        <v>46002.549247685187</v>
      </c>
      <c r="C840" t="s">
        <v>205</v>
      </c>
      <c r="D840" s="6" t="s">
        <v>426</v>
      </c>
      <c r="E840" s="6" t="str">
        <f>VLOOKUP(F840,Germplasm!$A$1:$B$21,2,FALSE)</f>
        <v>Annika</v>
      </c>
      <c r="F840" t="s">
        <v>66</v>
      </c>
      <c r="G840" s="6" t="s">
        <v>113</v>
      </c>
      <c r="H840">
        <v>0</v>
      </c>
      <c r="J840">
        <v>0</v>
      </c>
      <c r="M840">
        <v>0</v>
      </c>
      <c r="N840">
        <v>0</v>
      </c>
      <c r="O840">
        <v>0</v>
      </c>
      <c r="AZ840">
        <v>0</v>
      </c>
      <c r="BA840">
        <v>0</v>
      </c>
      <c r="BB840">
        <v>0</v>
      </c>
      <c r="BR840">
        <v>0</v>
      </c>
    </row>
    <row r="841" spans="1:70" x14ac:dyDescent="0.25">
      <c r="A841">
        <v>53</v>
      </c>
      <c r="B841" s="7">
        <v>46002.551516203705</v>
      </c>
      <c r="C841" t="s">
        <v>205</v>
      </c>
      <c r="D841" s="6" t="s">
        <v>427</v>
      </c>
      <c r="E841" s="6" t="str">
        <f>VLOOKUP(F841,Germplasm!$A$1:$B$21,2,FALSE)</f>
        <v>Annika</v>
      </c>
      <c r="F841" t="s">
        <v>66</v>
      </c>
      <c r="G841" s="6" t="s">
        <v>113</v>
      </c>
      <c r="H841">
        <v>48820.800000000003</v>
      </c>
      <c r="I841">
        <v>564.11599999999999</v>
      </c>
      <c r="J841">
        <v>166732</v>
      </c>
      <c r="K841">
        <v>16.8428</v>
      </c>
      <c r="L841">
        <v>70.017499999999998</v>
      </c>
      <c r="M841">
        <v>1548.81</v>
      </c>
      <c r="N841">
        <v>592.78200000000004</v>
      </c>
      <c r="O841">
        <v>32364300</v>
      </c>
      <c r="P841">
        <v>0.102131</v>
      </c>
      <c r="Q841">
        <v>0.93658200000000003</v>
      </c>
      <c r="R841">
        <v>16.613499999999998</v>
      </c>
      <c r="S841">
        <v>50.351199999999999</v>
      </c>
      <c r="T841">
        <v>25.048999999999999</v>
      </c>
      <c r="U841">
        <v>6.7857000000000003</v>
      </c>
      <c r="V841">
        <v>0.26397900000000002</v>
      </c>
      <c r="W841">
        <v>62.479700000000001</v>
      </c>
      <c r="X841">
        <v>8.4708199999999998</v>
      </c>
      <c r="Y841">
        <v>32.520899999999997</v>
      </c>
      <c r="Z841">
        <v>17.408999999999999</v>
      </c>
      <c r="AA841">
        <v>21.904800000000002</v>
      </c>
      <c r="AB841">
        <v>9.5854999999999997</v>
      </c>
      <c r="AC841">
        <v>10.1089</v>
      </c>
      <c r="AD841">
        <v>1.7384900000000001</v>
      </c>
      <c r="AE841">
        <v>18.366599999999998</v>
      </c>
      <c r="AF841">
        <v>0</v>
      </c>
      <c r="AG841">
        <v>80.758499999999998</v>
      </c>
      <c r="AH841">
        <v>13.1347</v>
      </c>
      <c r="AI841">
        <v>1.2801199999999999</v>
      </c>
      <c r="AJ841">
        <v>4.8266499999999999</v>
      </c>
      <c r="AK841">
        <v>0</v>
      </c>
      <c r="AL841">
        <v>0.181843</v>
      </c>
      <c r="AM841">
        <v>17.266200000000001</v>
      </c>
      <c r="AN841">
        <v>33.807400000000001</v>
      </c>
      <c r="AO841">
        <v>20.080500000000001</v>
      </c>
      <c r="AP841">
        <v>17.697399999999998</v>
      </c>
      <c r="AQ841">
        <v>8.9617100000000001</v>
      </c>
      <c r="AR841">
        <v>2.1868599999999998</v>
      </c>
      <c r="AS841">
        <v>0.23289299999999999</v>
      </c>
      <c r="AT841">
        <v>1.3045199999999999</v>
      </c>
      <c r="AU841">
        <v>8.0341699999999996</v>
      </c>
      <c r="AV841">
        <v>30.6297</v>
      </c>
      <c r="AW841">
        <v>45.168399999999998</v>
      </c>
      <c r="AX841">
        <v>12.388</v>
      </c>
      <c r="AY841">
        <v>2.47525</v>
      </c>
      <c r="AZ841">
        <v>662.92200000000003</v>
      </c>
      <c r="BA841">
        <v>706.19899999999996</v>
      </c>
      <c r="BB841">
        <v>28082.3</v>
      </c>
      <c r="BC841">
        <v>0.24837799999999999</v>
      </c>
      <c r="BD841">
        <v>0.52886100000000003</v>
      </c>
      <c r="BE841">
        <v>0.57315899999999997</v>
      </c>
      <c r="BF841">
        <v>1.15988</v>
      </c>
      <c r="BG841">
        <v>7.0768000000000004</v>
      </c>
      <c r="BH841">
        <v>31.219100000000001</v>
      </c>
      <c r="BI841">
        <v>59.4422</v>
      </c>
      <c r="BJ841">
        <v>31.984300000000001</v>
      </c>
      <c r="BK841">
        <v>0</v>
      </c>
      <c r="BL841">
        <v>34.981699999999996</v>
      </c>
      <c r="BM841">
        <v>55.979700000000001</v>
      </c>
      <c r="BN841">
        <v>6.3174099999999997</v>
      </c>
      <c r="BO841">
        <v>1.4455499999999999</v>
      </c>
      <c r="BP841">
        <v>1.2756000000000001</v>
      </c>
      <c r="BQ841">
        <v>35.154600000000002</v>
      </c>
      <c r="BR841">
        <v>110615</v>
      </c>
    </row>
    <row r="842" spans="1:70" x14ac:dyDescent="0.25">
      <c r="A842">
        <v>53</v>
      </c>
      <c r="B842" s="7">
        <v>46013.57503472222</v>
      </c>
      <c r="C842" t="s">
        <v>205</v>
      </c>
      <c r="D842" s="6" t="s">
        <v>428</v>
      </c>
      <c r="E842" s="6" t="str">
        <f>VLOOKUP(F842,Germplasm!$A$1:$B$21,2,FALSE)</f>
        <v>Annika</v>
      </c>
      <c r="F842" t="s">
        <v>66</v>
      </c>
      <c r="G842" s="6" t="s">
        <v>113</v>
      </c>
      <c r="H842">
        <v>36252.9</v>
      </c>
      <c r="I842">
        <v>534.90700000000004</v>
      </c>
      <c r="J842">
        <v>124965</v>
      </c>
      <c r="K842">
        <v>16.150500000000001</v>
      </c>
      <c r="L842">
        <v>70.495699999999999</v>
      </c>
      <c r="M842">
        <v>1379.23</v>
      </c>
      <c r="N842">
        <v>519.83199999999999</v>
      </c>
      <c r="O842">
        <v>22385200</v>
      </c>
      <c r="P842">
        <v>3.2086200000000002E-2</v>
      </c>
      <c r="Q842">
        <v>1.2035899999999999</v>
      </c>
      <c r="R842">
        <v>24.392399999999999</v>
      </c>
      <c r="S842">
        <v>68.317999999999998</v>
      </c>
      <c r="T842">
        <v>5.0074699999999996</v>
      </c>
      <c r="U842">
        <v>1.0505599999999999</v>
      </c>
      <c r="V842">
        <v>2.7934E-2</v>
      </c>
      <c r="W842">
        <v>44.929200000000002</v>
      </c>
      <c r="X842">
        <v>12.464600000000001</v>
      </c>
      <c r="Y842">
        <v>53.5822</v>
      </c>
      <c r="Z842">
        <v>13.5747</v>
      </c>
      <c r="AA842">
        <v>6.7758099999999999</v>
      </c>
      <c r="AB842">
        <v>3.8403100000000001</v>
      </c>
      <c r="AC842">
        <v>9.7623200000000008</v>
      </c>
      <c r="AD842">
        <v>1.79627</v>
      </c>
      <c r="AE842">
        <v>23.9038</v>
      </c>
      <c r="AF842">
        <v>0</v>
      </c>
      <c r="AG842">
        <v>67.454499999999996</v>
      </c>
      <c r="AH842">
        <v>24.305</v>
      </c>
      <c r="AI842">
        <v>1.4574199999999999</v>
      </c>
      <c r="AJ842">
        <v>6.7831000000000001</v>
      </c>
      <c r="AK842">
        <v>0</v>
      </c>
      <c r="AL842">
        <v>7.4919100000000002E-2</v>
      </c>
      <c r="AM842">
        <v>25.4284</v>
      </c>
      <c r="AN842">
        <v>54.453000000000003</v>
      </c>
      <c r="AO842">
        <v>13.0367</v>
      </c>
      <c r="AP842">
        <v>4.8665799999999999</v>
      </c>
      <c r="AQ842">
        <v>1.8339300000000001</v>
      </c>
      <c r="AR842">
        <v>0.38135999999999998</v>
      </c>
      <c r="AS842">
        <v>0.23191899999999999</v>
      </c>
      <c r="AT842">
        <v>1.3517600000000001</v>
      </c>
      <c r="AU842">
        <v>6.7758099999999999</v>
      </c>
      <c r="AV842">
        <v>30.3642</v>
      </c>
      <c r="AW842">
        <v>49.4407</v>
      </c>
      <c r="AX842">
        <v>9.7404600000000006</v>
      </c>
      <c r="AY842">
        <v>2.3270200000000001</v>
      </c>
      <c r="AZ842">
        <v>617.47400000000005</v>
      </c>
      <c r="BA842">
        <v>688.19899999999996</v>
      </c>
      <c r="BB842">
        <v>20182.400000000001</v>
      </c>
      <c r="BC842">
        <v>0.296209</v>
      </c>
      <c r="BD842">
        <v>0.53681800000000002</v>
      </c>
      <c r="BE842">
        <v>0.83073200000000003</v>
      </c>
      <c r="BF842">
        <v>1.4877899999999999</v>
      </c>
      <c r="BG842">
        <v>5.2722300000000004</v>
      </c>
      <c r="BH842">
        <v>18.160699999999999</v>
      </c>
      <c r="BI842">
        <v>73.711699999999993</v>
      </c>
      <c r="BJ842">
        <v>28.580200000000001</v>
      </c>
      <c r="BK842">
        <v>0</v>
      </c>
      <c r="BL842">
        <v>45.6053</v>
      </c>
      <c r="BM842">
        <v>47.748899999999999</v>
      </c>
      <c r="BN842">
        <v>3.9119700000000002</v>
      </c>
      <c r="BO842">
        <v>1.29711</v>
      </c>
      <c r="BP842">
        <v>1.4367799999999999</v>
      </c>
      <c r="BQ842">
        <v>33.857700000000001</v>
      </c>
      <c r="BR842">
        <v>82337</v>
      </c>
    </row>
    <row r="843" spans="1:70" x14ac:dyDescent="0.25">
      <c r="A843">
        <v>53</v>
      </c>
      <c r="B843" s="7">
        <v>46013.57534722222</v>
      </c>
      <c r="C843" t="s">
        <v>205</v>
      </c>
      <c r="D843" s="6" t="s">
        <v>429</v>
      </c>
      <c r="E843" s="6" t="str">
        <f>VLOOKUP(F843,Germplasm!$A$1:$B$21,2,FALSE)</f>
        <v>Annika</v>
      </c>
      <c r="F843" t="s">
        <v>66</v>
      </c>
      <c r="G843" s="6" t="s">
        <v>113</v>
      </c>
      <c r="H843">
        <v>0</v>
      </c>
      <c r="J843">
        <v>0</v>
      </c>
      <c r="M843">
        <v>0</v>
      </c>
      <c r="N843">
        <v>0</v>
      </c>
      <c r="O843">
        <v>0</v>
      </c>
      <c r="AZ843">
        <v>0</v>
      </c>
      <c r="BA843">
        <v>0</v>
      </c>
      <c r="BB843">
        <v>0</v>
      </c>
      <c r="BR843">
        <v>0</v>
      </c>
    </row>
    <row r="844" spans="1:70" x14ac:dyDescent="0.25">
      <c r="A844">
        <v>53</v>
      </c>
      <c r="B844" s="7">
        <v>46013.575879629629</v>
      </c>
      <c r="C844" t="s">
        <v>205</v>
      </c>
      <c r="D844" s="6" t="s">
        <v>430</v>
      </c>
      <c r="E844" s="6" t="str">
        <f>VLOOKUP(F844,Germplasm!$A$1:$B$21,2,FALSE)</f>
        <v>Annika</v>
      </c>
      <c r="F844" t="s">
        <v>66</v>
      </c>
      <c r="G844" s="6" t="s">
        <v>113</v>
      </c>
      <c r="H844">
        <v>36857.1</v>
      </c>
      <c r="I844">
        <v>534.92999999999995</v>
      </c>
      <c r="J844">
        <v>126001</v>
      </c>
      <c r="K844">
        <v>16.2743</v>
      </c>
      <c r="L844">
        <v>70.025300000000001</v>
      </c>
      <c r="M844">
        <v>1385.57</v>
      </c>
      <c r="N844">
        <v>525.56799999999998</v>
      </c>
      <c r="O844">
        <v>22761800</v>
      </c>
      <c r="P844">
        <v>3.22799E-2</v>
      </c>
      <c r="Q844">
        <v>1.1922900000000001</v>
      </c>
      <c r="R844">
        <v>24.3934</v>
      </c>
      <c r="S844">
        <v>68.347499999999997</v>
      </c>
      <c r="T844">
        <v>5.0004200000000001</v>
      </c>
      <c r="U844">
        <v>1.0401100000000001</v>
      </c>
      <c r="V844">
        <v>2.6362099999999999E-2</v>
      </c>
      <c r="W844">
        <v>45.021099999999997</v>
      </c>
      <c r="X844">
        <v>12.444100000000001</v>
      </c>
      <c r="Y844">
        <v>53.378500000000003</v>
      </c>
      <c r="Z844">
        <v>13.800599999999999</v>
      </c>
      <c r="AA844">
        <v>6.7439200000000001</v>
      </c>
      <c r="AB844">
        <v>3.8428800000000001</v>
      </c>
      <c r="AC844">
        <v>9.7899399999999996</v>
      </c>
      <c r="AD844">
        <v>1.7974000000000001</v>
      </c>
      <c r="AE844">
        <v>23.751799999999999</v>
      </c>
      <c r="AF844">
        <v>0</v>
      </c>
      <c r="AG844">
        <v>67.825000000000003</v>
      </c>
      <c r="AH844">
        <v>23.997900000000001</v>
      </c>
      <c r="AI844">
        <v>1.48587</v>
      </c>
      <c r="AJ844">
        <v>6.6911899999999997</v>
      </c>
      <c r="AK844">
        <v>0</v>
      </c>
      <c r="AL844">
        <v>7.4508699999999997E-2</v>
      </c>
      <c r="AM844">
        <v>25.532900000000001</v>
      </c>
      <c r="AN844">
        <v>54.436599999999999</v>
      </c>
      <c r="AO844">
        <v>12.820399999999999</v>
      </c>
      <c r="AP844">
        <v>4.9261299999999997</v>
      </c>
      <c r="AQ844">
        <v>1.9280299999999999</v>
      </c>
      <c r="AR844">
        <v>0.35588900000000001</v>
      </c>
      <c r="AS844">
        <v>0.23171700000000001</v>
      </c>
      <c r="AT844">
        <v>1.3995899999999999</v>
      </c>
      <c r="AU844">
        <v>6.8505599999999998</v>
      </c>
      <c r="AV844">
        <v>30.2865</v>
      </c>
      <c r="AW844">
        <v>49.524900000000002</v>
      </c>
      <c r="AX844">
        <v>9.6341699999999992</v>
      </c>
      <c r="AY844">
        <v>2.3042899999999999</v>
      </c>
      <c r="AZ844">
        <v>617.56899999999996</v>
      </c>
      <c r="BA844">
        <v>688.19899999999996</v>
      </c>
      <c r="BB844">
        <v>20505.8</v>
      </c>
      <c r="BC844">
        <v>0.29522399999999999</v>
      </c>
      <c r="BD844">
        <v>0.57397600000000004</v>
      </c>
      <c r="BE844">
        <v>0.88073500000000005</v>
      </c>
      <c r="BF844">
        <v>1.4067799999999999</v>
      </c>
      <c r="BG844">
        <v>5.3886599999999998</v>
      </c>
      <c r="BH844">
        <v>18.084399999999999</v>
      </c>
      <c r="BI844">
        <v>73.665400000000005</v>
      </c>
      <c r="BJ844">
        <v>28.532499999999999</v>
      </c>
      <c r="BK844">
        <v>0</v>
      </c>
      <c r="BL844">
        <v>45.424399999999999</v>
      </c>
      <c r="BM844">
        <v>48.115699999999997</v>
      </c>
      <c r="BN844">
        <v>3.7338399999999998</v>
      </c>
      <c r="BO844">
        <v>1.30013</v>
      </c>
      <c r="BP844">
        <v>1.4259500000000001</v>
      </c>
      <c r="BQ844">
        <v>33.833500000000001</v>
      </c>
      <c r="BR844">
        <v>83453</v>
      </c>
    </row>
    <row r="845" spans="1:70" x14ac:dyDescent="0.25">
      <c r="A845">
        <v>53</v>
      </c>
      <c r="B845" s="7">
        <v>46024.551469907405</v>
      </c>
      <c r="C845" t="s">
        <v>205</v>
      </c>
      <c r="D845" s="6" t="s">
        <v>431</v>
      </c>
      <c r="E845" s="6" t="str">
        <f>VLOOKUP(F845,Germplasm!$A$1:$B$21,2,FALSE)</f>
        <v>Annika</v>
      </c>
      <c r="F845" t="s">
        <v>66</v>
      </c>
      <c r="G845" s="6" t="s">
        <v>113</v>
      </c>
      <c r="H845">
        <v>37706.199999999997</v>
      </c>
      <c r="I845">
        <v>533.27</v>
      </c>
      <c r="J845">
        <v>112826</v>
      </c>
      <c r="K845">
        <v>18.439900000000002</v>
      </c>
      <c r="L845">
        <v>75.455200000000005</v>
      </c>
      <c r="M845">
        <v>1296.29</v>
      </c>
      <c r="N845">
        <v>479.46899999999999</v>
      </c>
      <c r="O845">
        <v>23206700</v>
      </c>
      <c r="P845">
        <v>1.3961100000000001E-2</v>
      </c>
      <c r="Q845">
        <v>1.20217</v>
      </c>
      <c r="R845">
        <v>30.598500000000001</v>
      </c>
      <c r="S845">
        <v>66.661100000000005</v>
      </c>
      <c r="T845">
        <v>1.3110299999999999</v>
      </c>
      <c r="U845">
        <v>0.1976</v>
      </c>
      <c r="V845">
        <v>2.95809E-2</v>
      </c>
      <c r="W845">
        <v>38.980800000000002</v>
      </c>
      <c r="X845">
        <v>14.831899999999999</v>
      </c>
      <c r="Y845">
        <v>57.463900000000002</v>
      </c>
      <c r="Z845">
        <v>10.946099999999999</v>
      </c>
      <c r="AA845">
        <v>3.8277700000000001</v>
      </c>
      <c r="AB845">
        <v>1.90974</v>
      </c>
      <c r="AC845">
        <v>11.0207</v>
      </c>
      <c r="AD845">
        <v>1.81236</v>
      </c>
      <c r="AE845">
        <v>24.382899999999999</v>
      </c>
      <c r="AF845">
        <v>0</v>
      </c>
      <c r="AG845">
        <v>64.825900000000004</v>
      </c>
      <c r="AH845">
        <v>27.247599999999998</v>
      </c>
      <c r="AI845">
        <v>1.63287</v>
      </c>
      <c r="AJ845">
        <v>6.2936300000000003</v>
      </c>
      <c r="AK845">
        <v>0</v>
      </c>
      <c r="AL845">
        <v>4.88216E-2</v>
      </c>
      <c r="AM845">
        <v>31.651599999999998</v>
      </c>
      <c r="AN845">
        <v>54.185099999999998</v>
      </c>
      <c r="AO845">
        <v>9.9178800000000003</v>
      </c>
      <c r="AP845">
        <v>3.00305</v>
      </c>
      <c r="AQ845">
        <v>0.97735300000000003</v>
      </c>
      <c r="AR845">
        <v>0.26504499999999998</v>
      </c>
      <c r="AS845">
        <v>0.21812999999999999</v>
      </c>
      <c r="AT845">
        <v>1.5121800000000001</v>
      </c>
      <c r="AU845">
        <v>7.0864000000000003</v>
      </c>
      <c r="AV845">
        <v>33.2395</v>
      </c>
      <c r="AW845">
        <v>49.064100000000003</v>
      </c>
      <c r="AX845">
        <v>6.8485699999999996</v>
      </c>
      <c r="AY845">
        <v>2.2493300000000001</v>
      </c>
      <c r="AZ845">
        <v>615.46100000000001</v>
      </c>
      <c r="BA845">
        <v>653.399</v>
      </c>
      <c r="BB845">
        <v>20805</v>
      </c>
      <c r="BC845">
        <v>0.29430299999999998</v>
      </c>
      <c r="BD845">
        <v>0.69219299999999995</v>
      </c>
      <c r="BE845">
        <v>0.82944799999999996</v>
      </c>
      <c r="BF845">
        <v>1.5228200000000001</v>
      </c>
      <c r="BG845">
        <v>5.5541099999999997</v>
      </c>
      <c r="BH845">
        <v>16.229299999999999</v>
      </c>
      <c r="BI845">
        <v>75.172200000000004</v>
      </c>
      <c r="BJ845">
        <v>26.628499999999999</v>
      </c>
      <c r="BK845">
        <v>0</v>
      </c>
      <c r="BL845">
        <v>52.652799999999999</v>
      </c>
      <c r="BM845">
        <v>41.561199999999999</v>
      </c>
      <c r="BN845">
        <v>3.1142799999999999</v>
      </c>
      <c r="BO845">
        <v>1.31694</v>
      </c>
      <c r="BP845">
        <v>1.3548100000000001</v>
      </c>
      <c r="BQ845">
        <v>33.518599999999999</v>
      </c>
      <c r="BR845">
        <v>84514</v>
      </c>
    </row>
    <row r="846" spans="1:70" x14ac:dyDescent="0.25">
      <c r="A846">
        <v>33</v>
      </c>
      <c r="B846" s="7">
        <v>45952.552048611113</v>
      </c>
      <c r="C846" t="s">
        <v>122</v>
      </c>
      <c r="D846" s="6" t="s">
        <v>231</v>
      </c>
      <c r="E846" s="6" t="str">
        <f>VLOOKUP(F846,Germplasm!$A$1:$B$21,2,FALSE)</f>
        <v>Pernilla</v>
      </c>
      <c r="F846" t="s">
        <v>70</v>
      </c>
      <c r="G846" s="6" t="s">
        <v>113</v>
      </c>
      <c r="H846">
        <v>30615.1</v>
      </c>
      <c r="I846">
        <v>264.82400000000001</v>
      </c>
      <c r="J846">
        <v>158755</v>
      </c>
      <c r="K846">
        <v>11.3866</v>
      </c>
      <c r="L846">
        <v>77.372</v>
      </c>
      <c r="M846">
        <v>1494.27</v>
      </c>
      <c r="N846">
        <v>548.60500000000002</v>
      </c>
      <c r="O846">
        <v>10592100</v>
      </c>
      <c r="P846">
        <v>0.18007799999999999</v>
      </c>
      <c r="Q846">
        <v>0.78956599999999999</v>
      </c>
      <c r="R846">
        <v>8.7964300000000009</v>
      </c>
      <c r="S846">
        <v>30.187799999999999</v>
      </c>
      <c r="T846">
        <v>39.4465</v>
      </c>
      <c r="U846">
        <v>20.522400000000001</v>
      </c>
      <c r="V846">
        <v>0.25736300000000001</v>
      </c>
      <c r="W846">
        <v>117.65300000000001</v>
      </c>
      <c r="X846">
        <v>2.7134399999999999</v>
      </c>
      <c r="Y846">
        <v>3.8922300000000001</v>
      </c>
      <c r="Z846">
        <v>5.3299700000000003</v>
      </c>
      <c r="AA846">
        <v>15.0367</v>
      </c>
      <c r="AB846">
        <v>30.945599999999999</v>
      </c>
      <c r="AC846">
        <v>42.082099999999997</v>
      </c>
      <c r="AD846">
        <v>1.6936100000000001</v>
      </c>
      <c r="AE846">
        <v>15.4024</v>
      </c>
      <c r="AF846">
        <v>0</v>
      </c>
      <c r="AG846">
        <v>88.140600000000006</v>
      </c>
      <c r="AH846">
        <v>1.4313899999999999</v>
      </c>
      <c r="AI846">
        <v>1.9762999999999999</v>
      </c>
      <c r="AJ846">
        <v>8.4516899999999993</v>
      </c>
      <c r="AK846">
        <v>0</v>
      </c>
      <c r="AL846">
        <v>0.42199999999999999</v>
      </c>
      <c r="AM846">
        <v>10.9221</v>
      </c>
      <c r="AN846">
        <v>6.2577400000000001</v>
      </c>
      <c r="AO846">
        <v>6.9138599999999997</v>
      </c>
      <c r="AP846">
        <v>17.267199999999999</v>
      </c>
      <c r="AQ846">
        <v>35.025300000000001</v>
      </c>
      <c r="AR846">
        <v>23.613900000000001</v>
      </c>
      <c r="AS846">
        <v>2.0346599999999999E-2</v>
      </c>
      <c r="AT846">
        <v>7.9051900000000002</v>
      </c>
      <c r="AU846">
        <v>38.194600000000001</v>
      </c>
      <c r="AV846">
        <v>41.718299999999999</v>
      </c>
      <c r="AW846">
        <v>9.0680899999999998</v>
      </c>
      <c r="AX846">
        <v>1.9508799999999999</v>
      </c>
      <c r="AY846">
        <v>1.1629</v>
      </c>
      <c r="AZ846">
        <v>345.97800000000001</v>
      </c>
      <c r="BA846">
        <v>354.6</v>
      </c>
      <c r="BB846">
        <v>18076.8</v>
      </c>
      <c r="BC846">
        <v>-2.9540600000000001E-3</v>
      </c>
      <c r="BD846">
        <v>0.72919599999999996</v>
      </c>
      <c r="BE846">
        <v>0.83087100000000003</v>
      </c>
      <c r="BF846">
        <v>4.5435800000000004</v>
      </c>
      <c r="BG846">
        <v>39.996200000000002</v>
      </c>
      <c r="BH846">
        <v>47.491500000000002</v>
      </c>
      <c r="BI846">
        <v>6.4086699999999999</v>
      </c>
      <c r="BJ846">
        <v>29.910499999999999</v>
      </c>
      <c r="BK846">
        <v>0</v>
      </c>
      <c r="BL846">
        <v>41.586399999999998</v>
      </c>
      <c r="BM846">
        <v>50.020699999999998</v>
      </c>
      <c r="BN846">
        <v>5.6063900000000002</v>
      </c>
      <c r="BO846">
        <v>1.2582199999999999</v>
      </c>
      <c r="BP846">
        <v>1.5282899999999999</v>
      </c>
      <c r="BQ846">
        <v>36.217100000000002</v>
      </c>
      <c r="BR846">
        <v>62946</v>
      </c>
    </row>
    <row r="847" spans="1:70" x14ac:dyDescent="0.25">
      <c r="A847">
        <v>33</v>
      </c>
      <c r="B847" s="7">
        <v>45959.512916666667</v>
      </c>
      <c r="C847" t="s">
        <v>122</v>
      </c>
      <c r="D847" s="6" t="s">
        <v>232</v>
      </c>
      <c r="E847" s="6" t="str">
        <f>VLOOKUP(F847,Germplasm!$A$1:$B$21,2,FALSE)</f>
        <v>Pernilla</v>
      </c>
      <c r="F847" t="s">
        <v>70</v>
      </c>
      <c r="G847" s="6" t="s">
        <v>113</v>
      </c>
      <c r="H847">
        <v>32428.1</v>
      </c>
      <c r="I847">
        <v>399.892</v>
      </c>
      <c r="J847">
        <v>140712</v>
      </c>
      <c r="K847">
        <v>12.799799999999999</v>
      </c>
      <c r="L847">
        <v>84.010300000000001</v>
      </c>
      <c r="M847">
        <v>1435.42</v>
      </c>
      <c r="N847">
        <v>504.37799999999999</v>
      </c>
      <c r="O847">
        <v>15505100</v>
      </c>
      <c r="P847">
        <v>0.17374100000000001</v>
      </c>
      <c r="Q847">
        <v>0.80964800000000003</v>
      </c>
      <c r="R847">
        <v>8.3524799999999999</v>
      </c>
      <c r="S847">
        <v>33.265000000000001</v>
      </c>
      <c r="T847">
        <v>39.407499999999999</v>
      </c>
      <c r="U847">
        <v>17.630299999999998</v>
      </c>
      <c r="V847">
        <v>0.53513900000000003</v>
      </c>
      <c r="W847">
        <v>118.774</v>
      </c>
      <c r="X847">
        <v>2.6818599999999999</v>
      </c>
      <c r="Y847">
        <v>5.2249299999999996</v>
      </c>
      <c r="Z847">
        <v>6.5404099999999996</v>
      </c>
      <c r="AA847">
        <v>13.9892</v>
      </c>
      <c r="AB847">
        <v>25.200900000000001</v>
      </c>
      <c r="AC847">
        <v>46.3628</v>
      </c>
      <c r="AD847">
        <v>1.80047</v>
      </c>
      <c r="AE847">
        <v>15.032299999999999</v>
      </c>
      <c r="AF847">
        <v>0</v>
      </c>
      <c r="AG847">
        <v>88.566199999999995</v>
      </c>
      <c r="AH847">
        <v>1.27847</v>
      </c>
      <c r="AI847">
        <v>2.00176</v>
      </c>
      <c r="AJ847">
        <v>8.1535399999999996</v>
      </c>
      <c r="AK847">
        <v>0</v>
      </c>
      <c r="AL847">
        <v>0.41387000000000002</v>
      </c>
      <c r="AM847">
        <v>10.398999999999999</v>
      </c>
      <c r="AN847">
        <v>7.4503000000000004</v>
      </c>
      <c r="AO847">
        <v>9.5322600000000008</v>
      </c>
      <c r="AP847">
        <v>17.238600000000002</v>
      </c>
      <c r="AQ847">
        <v>32.342700000000001</v>
      </c>
      <c r="AR847">
        <v>23.037199999999999</v>
      </c>
      <c r="AS847">
        <v>1.8229100000000002E-2</v>
      </c>
      <c r="AT847">
        <v>9.9023800000000008</v>
      </c>
      <c r="AU847">
        <v>40.089100000000002</v>
      </c>
      <c r="AV847">
        <v>35.441000000000003</v>
      </c>
      <c r="AW847">
        <v>9.5923999999999996</v>
      </c>
      <c r="AX847">
        <v>3.2817699999999999</v>
      </c>
      <c r="AY847">
        <v>1.6933199999999999</v>
      </c>
      <c r="AZ847">
        <v>478.137</v>
      </c>
      <c r="BA847">
        <v>538.20000000000005</v>
      </c>
      <c r="BB847">
        <v>18010.900000000001</v>
      </c>
      <c r="BC847">
        <v>-1.1281500000000001E-3</v>
      </c>
      <c r="BD847">
        <v>0.82661200000000001</v>
      </c>
      <c r="BE847">
        <v>1.2214100000000001</v>
      </c>
      <c r="BF847">
        <v>5.15245</v>
      </c>
      <c r="BG847">
        <v>42.790999999999997</v>
      </c>
      <c r="BH847">
        <v>40.103000000000002</v>
      </c>
      <c r="BI847">
        <v>9.9054599999999997</v>
      </c>
      <c r="BJ847">
        <v>30.488299999999999</v>
      </c>
      <c r="BK847">
        <v>0</v>
      </c>
      <c r="BL847">
        <v>41.447800000000001</v>
      </c>
      <c r="BM847">
        <v>48.942799999999998</v>
      </c>
      <c r="BN847">
        <v>6.1764599999999996</v>
      </c>
      <c r="BO847">
        <v>1.52522</v>
      </c>
      <c r="BP847">
        <v>1.90768</v>
      </c>
      <c r="BQ847">
        <v>33.764600000000002</v>
      </c>
      <c r="BR847">
        <v>64843</v>
      </c>
    </row>
    <row r="848" spans="1:70" x14ac:dyDescent="0.25">
      <c r="A848">
        <v>33</v>
      </c>
      <c r="B848" s="7">
        <v>45966.568796296298</v>
      </c>
      <c r="C848" t="s">
        <v>122</v>
      </c>
      <c r="D848" s="6" t="s">
        <v>233</v>
      </c>
      <c r="E848" s="6" t="str">
        <f>VLOOKUP(F848,Germplasm!$A$1:$B$21,2,FALSE)</f>
        <v>Pernilla</v>
      </c>
      <c r="F848" t="s">
        <v>70</v>
      </c>
      <c r="G848" s="6" t="s">
        <v>113</v>
      </c>
      <c r="H848">
        <v>40208.400000000001</v>
      </c>
      <c r="I848">
        <v>444.66800000000001</v>
      </c>
      <c r="J848">
        <v>147931</v>
      </c>
      <c r="K848">
        <v>14.594900000000001</v>
      </c>
      <c r="L848">
        <v>64.408299999999997</v>
      </c>
      <c r="M848">
        <v>1455.34</v>
      </c>
      <c r="N848">
        <v>533.84199999999998</v>
      </c>
      <c r="O848">
        <v>21186500</v>
      </c>
      <c r="P848">
        <v>0.176894</v>
      </c>
      <c r="Q848">
        <v>0.91039099999999995</v>
      </c>
      <c r="R848">
        <v>8.6201100000000004</v>
      </c>
      <c r="S848">
        <v>32.5627</v>
      </c>
      <c r="T848">
        <v>37.639499999999998</v>
      </c>
      <c r="U848">
        <v>19.461500000000001</v>
      </c>
      <c r="V848">
        <v>0.80591999999999997</v>
      </c>
      <c r="W848">
        <v>111.72199999999999</v>
      </c>
      <c r="X848">
        <v>3.2025399999999999</v>
      </c>
      <c r="Y848">
        <v>7.5219199999999997</v>
      </c>
      <c r="Z848">
        <v>7.1786599999999998</v>
      </c>
      <c r="AA848">
        <v>15.3324</v>
      </c>
      <c r="AB848">
        <v>27.5928</v>
      </c>
      <c r="AC848">
        <v>39.171700000000001</v>
      </c>
      <c r="AD848">
        <v>1.86233</v>
      </c>
      <c r="AE848">
        <v>13.1015</v>
      </c>
      <c r="AF848">
        <v>0</v>
      </c>
      <c r="AG848">
        <v>89.949600000000004</v>
      </c>
      <c r="AH848">
        <v>1.7076100000000001</v>
      </c>
      <c r="AI848">
        <v>1.4961800000000001</v>
      </c>
      <c r="AJ848">
        <v>6.84659</v>
      </c>
      <c r="AK848">
        <v>0</v>
      </c>
      <c r="AL848">
        <v>0.41763299999999998</v>
      </c>
      <c r="AM848">
        <v>9.1250499999999999</v>
      </c>
      <c r="AN848">
        <v>8.2818199999999997</v>
      </c>
      <c r="AO848">
        <v>9.8638100000000009</v>
      </c>
      <c r="AP848">
        <v>16.686800000000002</v>
      </c>
      <c r="AQ848">
        <v>33.085000000000001</v>
      </c>
      <c r="AR848">
        <v>22.9575</v>
      </c>
      <c r="AS848">
        <v>5.4531900000000001E-2</v>
      </c>
      <c r="AT848">
        <v>6.94733</v>
      </c>
      <c r="AU848">
        <v>35.649500000000003</v>
      </c>
      <c r="AV848">
        <v>37.737699999999997</v>
      </c>
      <c r="AW848">
        <v>13.2852</v>
      </c>
      <c r="AX848">
        <v>4.0693999999999999</v>
      </c>
      <c r="AY848">
        <v>2.3108</v>
      </c>
      <c r="AZ848">
        <v>526.91700000000003</v>
      </c>
      <c r="BA848">
        <v>627.59900000000005</v>
      </c>
      <c r="BB848">
        <v>21590.400000000001</v>
      </c>
      <c r="BC848">
        <v>2.6928199999999999E-2</v>
      </c>
      <c r="BD848">
        <v>0.57707900000000001</v>
      </c>
      <c r="BE848">
        <v>0.84074400000000005</v>
      </c>
      <c r="BF848">
        <v>3.97736</v>
      </c>
      <c r="BG848">
        <v>37.199199999999998</v>
      </c>
      <c r="BH848">
        <v>44.678800000000003</v>
      </c>
      <c r="BI848">
        <v>12.726800000000001</v>
      </c>
      <c r="BJ848">
        <v>31.058399999999999</v>
      </c>
      <c r="BK848">
        <v>0</v>
      </c>
      <c r="BL848">
        <v>40.417900000000003</v>
      </c>
      <c r="BM848">
        <v>49.184800000000003</v>
      </c>
      <c r="BN848">
        <v>6.7408700000000001</v>
      </c>
      <c r="BO848">
        <v>1.6690499999999999</v>
      </c>
      <c r="BP848">
        <v>1.9874400000000001</v>
      </c>
      <c r="BQ848">
        <v>32.507100000000001</v>
      </c>
      <c r="BR848">
        <v>80405</v>
      </c>
    </row>
    <row r="849" spans="1:70" x14ac:dyDescent="0.25">
      <c r="A849">
        <v>33</v>
      </c>
      <c r="B849" s="7">
        <v>45973.548726851855</v>
      </c>
      <c r="C849" t="s">
        <v>122</v>
      </c>
      <c r="D849" s="6" t="s">
        <v>234</v>
      </c>
      <c r="E849" s="6" t="str">
        <f>VLOOKUP(F849,Germplasm!$A$1:$B$21,2,FALSE)</f>
        <v>Pernilla</v>
      </c>
      <c r="F849" t="s">
        <v>70</v>
      </c>
      <c r="G849" s="6" t="s">
        <v>113</v>
      </c>
      <c r="H849">
        <v>48099.8</v>
      </c>
      <c r="I849">
        <v>450.44400000000002</v>
      </c>
      <c r="J849">
        <v>201541</v>
      </c>
      <c r="K849">
        <v>12.5761</v>
      </c>
      <c r="L849">
        <v>73.886700000000005</v>
      </c>
      <c r="M849">
        <v>1676.1</v>
      </c>
      <c r="N849">
        <v>611.71100000000001</v>
      </c>
      <c r="O849">
        <v>26056300</v>
      </c>
      <c r="P849">
        <v>0.158054</v>
      </c>
      <c r="Q849">
        <v>1.30565</v>
      </c>
      <c r="R849">
        <v>11.2951</v>
      </c>
      <c r="S849">
        <v>34.2607</v>
      </c>
      <c r="T849">
        <v>36.523499999999999</v>
      </c>
      <c r="U849">
        <v>15.7522</v>
      </c>
      <c r="V849">
        <v>0.86282199999999998</v>
      </c>
      <c r="W849">
        <v>101.27800000000001</v>
      </c>
      <c r="X849">
        <v>5.0647399999999996</v>
      </c>
      <c r="Y849">
        <v>10.840400000000001</v>
      </c>
      <c r="Z849">
        <v>8.4117700000000006</v>
      </c>
      <c r="AA849">
        <v>17.994199999999999</v>
      </c>
      <c r="AB849">
        <v>25.795300000000001</v>
      </c>
      <c r="AC849">
        <v>31.893599999999999</v>
      </c>
      <c r="AD849">
        <v>1.8977200000000001</v>
      </c>
      <c r="AE849">
        <v>12.3925</v>
      </c>
      <c r="AF849">
        <v>0</v>
      </c>
      <c r="AG849">
        <v>91.3797</v>
      </c>
      <c r="AH849">
        <v>1.9827999999999999</v>
      </c>
      <c r="AI849">
        <v>1.4059299999999999</v>
      </c>
      <c r="AJ849">
        <v>5.2315399999999999</v>
      </c>
      <c r="AK849">
        <v>0</v>
      </c>
      <c r="AL849">
        <v>0.37104900000000002</v>
      </c>
      <c r="AM849">
        <v>8.7324800000000007</v>
      </c>
      <c r="AN849">
        <v>11.6188</v>
      </c>
      <c r="AO849">
        <v>15.370900000000001</v>
      </c>
      <c r="AP849">
        <v>19.632400000000001</v>
      </c>
      <c r="AQ849">
        <v>29.056999999999999</v>
      </c>
      <c r="AR849">
        <v>15.5884</v>
      </c>
      <c r="AS849">
        <v>9.5329800000000006E-2</v>
      </c>
      <c r="AT849">
        <v>5.1799099999999996</v>
      </c>
      <c r="AU849">
        <v>28.777000000000001</v>
      </c>
      <c r="AV849">
        <v>39.450499999999998</v>
      </c>
      <c r="AW849">
        <v>18.579999999999998</v>
      </c>
      <c r="AX849">
        <v>5.2742399999999998</v>
      </c>
      <c r="AY849">
        <v>2.7383899999999999</v>
      </c>
      <c r="AZ849">
        <v>541.71199999999999</v>
      </c>
      <c r="BA849">
        <v>598.79899999999998</v>
      </c>
      <c r="BB849">
        <v>25346.1</v>
      </c>
      <c r="BC849">
        <v>6.5386899999999998E-2</v>
      </c>
      <c r="BD849">
        <v>0.50637399999999999</v>
      </c>
      <c r="BE849">
        <v>0.77346199999999998</v>
      </c>
      <c r="BF849">
        <v>3.48604</v>
      </c>
      <c r="BG849">
        <v>29.19</v>
      </c>
      <c r="BH849">
        <v>46.4236</v>
      </c>
      <c r="BI849">
        <v>19.6205</v>
      </c>
      <c r="BJ849">
        <v>30.643699999999999</v>
      </c>
      <c r="BK849">
        <v>0</v>
      </c>
      <c r="BL849">
        <v>41.482999999999997</v>
      </c>
      <c r="BM849">
        <v>48.538499999999999</v>
      </c>
      <c r="BN849">
        <v>6.3207399999999998</v>
      </c>
      <c r="BO849">
        <v>1.6541600000000001</v>
      </c>
      <c r="BP849">
        <v>2.0036499999999999</v>
      </c>
      <c r="BQ849">
        <v>31.833300000000001</v>
      </c>
      <c r="BR849">
        <v>100716</v>
      </c>
    </row>
    <row r="850" spans="1:70" x14ac:dyDescent="0.25">
      <c r="A850">
        <v>33</v>
      </c>
      <c r="B850" s="7">
        <v>45988.527881944443</v>
      </c>
      <c r="C850" t="s">
        <v>122</v>
      </c>
      <c r="D850" s="6" t="s">
        <v>235</v>
      </c>
      <c r="E850" s="6" t="str">
        <f>VLOOKUP(F850,Germplasm!$A$1:$B$21,2,FALSE)</f>
        <v>Pernilla</v>
      </c>
      <c r="F850" t="s">
        <v>70</v>
      </c>
      <c r="G850" s="6" t="s">
        <v>113</v>
      </c>
      <c r="H850">
        <v>58226.7</v>
      </c>
      <c r="I850">
        <v>424.99799999999999</v>
      </c>
      <c r="J850">
        <v>167644</v>
      </c>
      <c r="K850">
        <v>22.471599999999999</v>
      </c>
      <c r="L850">
        <v>81.736800000000002</v>
      </c>
      <c r="M850">
        <v>1554.96</v>
      </c>
      <c r="N850">
        <v>542.83399999999995</v>
      </c>
      <c r="O850">
        <v>30159800</v>
      </c>
      <c r="P850">
        <v>0.147845</v>
      </c>
      <c r="Q850">
        <v>0.71606800000000004</v>
      </c>
      <c r="R850">
        <v>13.3606</v>
      </c>
      <c r="S850">
        <v>37.923900000000003</v>
      </c>
      <c r="T850">
        <v>32.4373</v>
      </c>
      <c r="U850">
        <v>14.956300000000001</v>
      </c>
      <c r="V850">
        <v>0.60585100000000003</v>
      </c>
      <c r="W850">
        <v>78.656199999999998</v>
      </c>
      <c r="X850">
        <v>6.6539599999999997</v>
      </c>
      <c r="Y850">
        <v>19.063500000000001</v>
      </c>
      <c r="Z850">
        <v>13.7758</v>
      </c>
      <c r="AA850">
        <v>28.4223</v>
      </c>
      <c r="AB850">
        <v>18.880500000000001</v>
      </c>
      <c r="AC850">
        <v>13.203900000000001</v>
      </c>
      <c r="AD850">
        <v>1.5456000000000001</v>
      </c>
      <c r="AE850">
        <v>15.7468</v>
      </c>
      <c r="AF850">
        <v>0</v>
      </c>
      <c r="AG850">
        <v>88.780699999999996</v>
      </c>
      <c r="AH850">
        <v>2.9744899999999999</v>
      </c>
      <c r="AI850">
        <v>1.50284</v>
      </c>
      <c r="AJ850">
        <v>6.7419900000000004</v>
      </c>
      <c r="AK850">
        <v>0</v>
      </c>
      <c r="AL850">
        <v>0.30008000000000001</v>
      </c>
      <c r="AM850">
        <v>11.3268</v>
      </c>
      <c r="AN850">
        <v>16.7836</v>
      </c>
      <c r="AO850">
        <v>20.488</v>
      </c>
      <c r="AP850">
        <v>21.020399999999999</v>
      </c>
      <c r="AQ850">
        <v>23.7315</v>
      </c>
      <c r="AR850">
        <v>6.6497999999999999</v>
      </c>
      <c r="AS850">
        <v>0.20544000000000001</v>
      </c>
      <c r="AT850">
        <v>1.44323</v>
      </c>
      <c r="AU850">
        <v>11.9312</v>
      </c>
      <c r="AV850">
        <v>37.087899999999998</v>
      </c>
      <c r="AW850">
        <v>34.93</v>
      </c>
      <c r="AX850">
        <v>11.503500000000001</v>
      </c>
      <c r="AY850">
        <v>3.10412</v>
      </c>
      <c r="AZ850">
        <v>517.97199999999998</v>
      </c>
      <c r="BA850">
        <v>594</v>
      </c>
      <c r="BB850">
        <v>37672.400000000001</v>
      </c>
      <c r="BC850">
        <v>0.15962499999999999</v>
      </c>
      <c r="BD850">
        <v>0.57465699999999997</v>
      </c>
      <c r="BE850">
        <v>0.46443899999999999</v>
      </c>
      <c r="BF850">
        <v>1.2123900000000001</v>
      </c>
      <c r="BG850">
        <v>11.122999999999999</v>
      </c>
      <c r="BH850">
        <v>50.530299999999997</v>
      </c>
      <c r="BI850">
        <v>36.095199999999998</v>
      </c>
      <c r="BJ850">
        <v>33.306199999999997</v>
      </c>
      <c r="BK850">
        <v>0</v>
      </c>
      <c r="BL850">
        <v>31.986699999999999</v>
      </c>
      <c r="BM850">
        <v>55.508099999999999</v>
      </c>
      <c r="BN850">
        <v>9.5937900000000003</v>
      </c>
      <c r="BO850">
        <v>1.63178</v>
      </c>
      <c r="BP850">
        <v>1.27963</v>
      </c>
      <c r="BQ850">
        <v>40.370699999999999</v>
      </c>
      <c r="BR850">
        <v>144260</v>
      </c>
    </row>
    <row r="851" spans="1:70" x14ac:dyDescent="0.25">
      <c r="A851">
        <v>33</v>
      </c>
      <c r="B851" s="7">
        <v>45994.534386574072</v>
      </c>
      <c r="C851" t="s">
        <v>122</v>
      </c>
      <c r="D851" s="6" t="s">
        <v>236</v>
      </c>
      <c r="E851" s="6" t="str">
        <f>VLOOKUP(F851,Germplasm!$A$1:$B$21,2,FALSE)</f>
        <v>Pernilla</v>
      </c>
      <c r="F851" t="s">
        <v>70</v>
      </c>
      <c r="G851" s="6" t="s">
        <v>113</v>
      </c>
      <c r="H851">
        <v>46164.6</v>
      </c>
      <c r="I851">
        <v>459.25</v>
      </c>
      <c r="J851">
        <v>182743</v>
      </c>
      <c r="K851">
        <v>14.7776</v>
      </c>
      <c r="L851">
        <v>85.505799999999994</v>
      </c>
      <c r="M851">
        <v>1598.82</v>
      </c>
      <c r="N851">
        <v>539.61900000000003</v>
      </c>
      <c r="O851">
        <v>25191300</v>
      </c>
      <c r="P851">
        <v>0.114619</v>
      </c>
      <c r="Q851">
        <v>0.99185100000000004</v>
      </c>
      <c r="R851">
        <v>17.706399999999999</v>
      </c>
      <c r="S851">
        <v>44.0745</v>
      </c>
      <c r="T851">
        <v>26.228899999999999</v>
      </c>
      <c r="U851">
        <v>10.579700000000001</v>
      </c>
      <c r="V851">
        <v>0.41858800000000002</v>
      </c>
      <c r="W851">
        <v>67.093800000000002</v>
      </c>
      <c r="X851">
        <v>8.91892</v>
      </c>
      <c r="Y851">
        <v>28.725000000000001</v>
      </c>
      <c r="Z851">
        <v>14.791700000000001</v>
      </c>
      <c r="AA851">
        <v>21.767499999999998</v>
      </c>
      <c r="AB851">
        <v>13.7361</v>
      </c>
      <c r="AC851">
        <v>12.060700000000001</v>
      </c>
      <c r="AD851">
        <v>1.70949</v>
      </c>
      <c r="AE851">
        <v>15.4109</v>
      </c>
      <c r="AF851">
        <v>0</v>
      </c>
      <c r="AG851">
        <v>89.699600000000004</v>
      </c>
      <c r="AH851">
        <v>3.78566</v>
      </c>
      <c r="AI851">
        <v>1.1088199999999999</v>
      </c>
      <c r="AJ851">
        <v>5.4058799999999998</v>
      </c>
      <c r="AK851">
        <v>0</v>
      </c>
      <c r="AL851">
        <v>0.25030200000000002</v>
      </c>
      <c r="AM851">
        <v>11.7659</v>
      </c>
      <c r="AN851">
        <v>26.227</v>
      </c>
      <c r="AO851">
        <v>23.102599999999999</v>
      </c>
      <c r="AP851">
        <v>16.5444</v>
      </c>
      <c r="AQ851">
        <v>17.953800000000001</v>
      </c>
      <c r="AR851">
        <v>4.4062900000000003</v>
      </c>
      <c r="AS851">
        <v>0.23111699999999999</v>
      </c>
      <c r="AT851">
        <v>1.3186</v>
      </c>
      <c r="AU851">
        <v>10.0374</v>
      </c>
      <c r="AV851">
        <v>32.520299999999999</v>
      </c>
      <c r="AW851">
        <v>37.537599999999998</v>
      </c>
      <c r="AX851">
        <v>15.3253</v>
      </c>
      <c r="AY851">
        <v>3.2607300000000001</v>
      </c>
      <c r="AZ851">
        <v>545.68499999999995</v>
      </c>
      <c r="BA851">
        <v>593.399</v>
      </c>
      <c r="BB851">
        <v>27004.9</v>
      </c>
      <c r="BC851">
        <v>0.20899100000000001</v>
      </c>
      <c r="BD851">
        <v>0.40215400000000001</v>
      </c>
      <c r="BE851">
        <v>0.48915799999999998</v>
      </c>
      <c r="BF851">
        <v>1.3089299999999999</v>
      </c>
      <c r="BG851">
        <v>9.1547999999999998</v>
      </c>
      <c r="BH851">
        <v>39.689500000000002</v>
      </c>
      <c r="BI851">
        <v>48.955500000000001</v>
      </c>
      <c r="BJ851">
        <v>33.623800000000003</v>
      </c>
      <c r="BK851">
        <v>0</v>
      </c>
      <c r="BL851">
        <v>31.118600000000001</v>
      </c>
      <c r="BM851">
        <v>56.264800000000001</v>
      </c>
      <c r="BN851">
        <v>9.4883199999999999</v>
      </c>
      <c r="BO851">
        <v>1.45974</v>
      </c>
      <c r="BP851">
        <v>1.66855</v>
      </c>
      <c r="BQ851">
        <v>35.840899999999998</v>
      </c>
      <c r="BR851">
        <v>103443</v>
      </c>
    </row>
    <row r="852" spans="1:70" x14ac:dyDescent="0.25">
      <c r="A852">
        <v>33</v>
      </c>
      <c r="B852" s="7">
        <v>46002.580439814818</v>
      </c>
      <c r="C852" t="s">
        <v>122</v>
      </c>
      <c r="D852" s="6" t="s">
        <v>237</v>
      </c>
      <c r="E852" s="6" t="str">
        <f>VLOOKUP(F852,Germplasm!$A$1:$B$21,2,FALSE)</f>
        <v>Pernilla</v>
      </c>
      <c r="F852" t="s">
        <v>70</v>
      </c>
      <c r="G852" s="6" t="s">
        <v>113</v>
      </c>
      <c r="H852">
        <v>42547.6</v>
      </c>
      <c r="I852">
        <v>461.83800000000002</v>
      </c>
      <c r="J852">
        <v>174328</v>
      </c>
      <c r="K852">
        <v>13.6556</v>
      </c>
      <c r="L852">
        <v>86.549499999999995</v>
      </c>
      <c r="M852">
        <v>1557.93</v>
      </c>
      <c r="N852">
        <v>523.60799999999995</v>
      </c>
      <c r="O852">
        <v>23139500</v>
      </c>
      <c r="P852">
        <v>5.6214300000000002E-2</v>
      </c>
      <c r="Q852">
        <v>1.2566200000000001</v>
      </c>
      <c r="R852">
        <v>28.625800000000002</v>
      </c>
      <c r="S852">
        <v>51.4452</v>
      </c>
      <c r="T852">
        <v>14.269500000000001</v>
      </c>
      <c r="U852">
        <v>4.2572799999999997</v>
      </c>
      <c r="V852">
        <v>0.14569499999999999</v>
      </c>
      <c r="W852">
        <v>48.376399999999997</v>
      </c>
      <c r="X852">
        <v>15.339700000000001</v>
      </c>
      <c r="Y852">
        <v>41.806800000000003</v>
      </c>
      <c r="Z852">
        <v>14.266299999999999</v>
      </c>
      <c r="AA852">
        <v>14.031700000000001</v>
      </c>
      <c r="AB852">
        <v>4.5175999999999998</v>
      </c>
      <c r="AC852">
        <v>10.0379</v>
      </c>
      <c r="AD852">
        <v>1.78729</v>
      </c>
      <c r="AE852">
        <v>17.799600000000002</v>
      </c>
      <c r="AF852">
        <v>0</v>
      </c>
      <c r="AG852">
        <v>87.162800000000004</v>
      </c>
      <c r="AH852">
        <v>5.9231199999999999</v>
      </c>
      <c r="AI852">
        <v>1.3026800000000001</v>
      </c>
      <c r="AJ852">
        <v>5.6113799999999996</v>
      </c>
      <c r="AK852">
        <v>0</v>
      </c>
      <c r="AL852">
        <v>0.15424599999999999</v>
      </c>
      <c r="AM852">
        <v>16.213899999999999</v>
      </c>
      <c r="AN852">
        <v>40.929400000000001</v>
      </c>
      <c r="AO852">
        <v>24.061</v>
      </c>
      <c r="AP852">
        <v>11.9298</v>
      </c>
      <c r="AQ852">
        <v>5.6617300000000004</v>
      </c>
      <c r="AR852">
        <v>1.2041200000000001</v>
      </c>
      <c r="AS852">
        <v>0.26621600000000001</v>
      </c>
      <c r="AT852">
        <v>1.10449</v>
      </c>
      <c r="AU852">
        <v>6.7930099999999998</v>
      </c>
      <c r="AV852">
        <v>25.5169</v>
      </c>
      <c r="AW852">
        <v>44.83</v>
      </c>
      <c r="AX852">
        <v>18.355399999999999</v>
      </c>
      <c r="AY852">
        <v>3.4002500000000002</v>
      </c>
      <c r="AZ852">
        <v>543.851</v>
      </c>
      <c r="BA852">
        <v>575.99900000000002</v>
      </c>
      <c r="BB852">
        <v>23805.599999999999</v>
      </c>
      <c r="BC852">
        <v>0.27965699999999999</v>
      </c>
      <c r="BD852">
        <v>0.479935</v>
      </c>
      <c r="BE852">
        <v>0.47886400000000001</v>
      </c>
      <c r="BF852">
        <v>1.0702100000000001</v>
      </c>
      <c r="BG852">
        <v>5.8674200000000001</v>
      </c>
      <c r="BH852">
        <v>24.569900000000001</v>
      </c>
      <c r="BI852">
        <v>67.533699999999996</v>
      </c>
      <c r="BJ852">
        <v>32.944299999999998</v>
      </c>
      <c r="BK852">
        <v>0</v>
      </c>
      <c r="BL852">
        <v>33.454000000000001</v>
      </c>
      <c r="BM852">
        <v>54.741500000000002</v>
      </c>
      <c r="BN852">
        <v>8.7845200000000006</v>
      </c>
      <c r="BO852">
        <v>1.4880100000000001</v>
      </c>
      <c r="BP852">
        <v>1.53193</v>
      </c>
      <c r="BQ852">
        <v>34.055500000000002</v>
      </c>
      <c r="BR852">
        <v>93346</v>
      </c>
    </row>
    <row r="853" spans="1:70" x14ac:dyDescent="0.25">
      <c r="A853">
        <v>33</v>
      </c>
      <c r="B853" s="7">
        <v>46013.593865740739</v>
      </c>
      <c r="C853" t="s">
        <v>122</v>
      </c>
      <c r="D853" s="6" t="s">
        <v>238</v>
      </c>
      <c r="E853" s="6" t="str">
        <f>VLOOKUP(F853,Germplasm!$A$1:$B$21,2,FALSE)</f>
        <v>Pernilla</v>
      </c>
      <c r="F853" t="s">
        <v>70</v>
      </c>
      <c r="G853" s="6" t="s">
        <v>113</v>
      </c>
      <c r="H853">
        <v>40161.599999999999</v>
      </c>
      <c r="I853">
        <v>443.64699999999999</v>
      </c>
      <c r="J853">
        <v>140739</v>
      </c>
      <c r="K853">
        <v>15.592599999999999</v>
      </c>
      <c r="L853">
        <v>70.257000000000005</v>
      </c>
      <c r="M853">
        <v>1432.11</v>
      </c>
      <c r="N853">
        <v>507.31799999999998</v>
      </c>
      <c r="O853">
        <v>21038500</v>
      </c>
      <c r="P853">
        <v>9.2073799999999994E-3</v>
      </c>
      <c r="Q853">
        <v>1.3460399999999999</v>
      </c>
      <c r="R853">
        <v>37.293100000000003</v>
      </c>
      <c r="S853">
        <v>58.688499999999998</v>
      </c>
      <c r="T853">
        <v>2.2217799999999999</v>
      </c>
      <c r="U853">
        <v>0.40891</v>
      </c>
      <c r="V853">
        <v>4.17019E-2</v>
      </c>
      <c r="W853">
        <v>37.277099999999997</v>
      </c>
      <c r="X853">
        <v>20.5197</v>
      </c>
      <c r="Y853">
        <v>53.372599999999998</v>
      </c>
      <c r="Z853">
        <v>10.876099999999999</v>
      </c>
      <c r="AA853">
        <v>4.03118</v>
      </c>
      <c r="AB853">
        <v>1.8476300000000001</v>
      </c>
      <c r="AC853">
        <v>9.3528099999999998</v>
      </c>
      <c r="AD853">
        <v>1.8301099999999999</v>
      </c>
      <c r="AE853">
        <v>21.283999999999999</v>
      </c>
      <c r="AF853">
        <v>0</v>
      </c>
      <c r="AG853">
        <v>79.793099999999995</v>
      </c>
      <c r="AH853">
        <v>12.262700000000001</v>
      </c>
      <c r="AI853">
        <v>1.3958600000000001</v>
      </c>
      <c r="AJ853">
        <v>6.5483599999999997</v>
      </c>
      <c r="AK853">
        <v>0</v>
      </c>
      <c r="AL853">
        <v>8.8442099999999996E-2</v>
      </c>
      <c r="AM853">
        <v>21.094200000000001</v>
      </c>
      <c r="AN853">
        <v>54.374600000000001</v>
      </c>
      <c r="AO853">
        <v>19.4574</v>
      </c>
      <c r="AP853">
        <v>3.5446599999999999</v>
      </c>
      <c r="AQ853">
        <v>1.03328</v>
      </c>
      <c r="AR853">
        <v>0.49578899999999998</v>
      </c>
      <c r="AS853">
        <v>0.25524999999999998</v>
      </c>
      <c r="AT853">
        <v>1.06108</v>
      </c>
      <c r="AU853">
        <v>5.78498</v>
      </c>
      <c r="AV853">
        <v>28.525300000000001</v>
      </c>
      <c r="AW853">
        <v>47.781100000000002</v>
      </c>
      <c r="AX853">
        <v>13.2461</v>
      </c>
      <c r="AY853">
        <v>3.6014200000000001</v>
      </c>
      <c r="AZ853">
        <v>523.84699999999998</v>
      </c>
      <c r="BA853">
        <v>559.20000000000005</v>
      </c>
      <c r="BB853">
        <v>21944.9</v>
      </c>
      <c r="BC853">
        <v>0.30246299999999998</v>
      </c>
      <c r="BD853">
        <v>0.53169900000000003</v>
      </c>
      <c r="BE853">
        <v>0.55950100000000003</v>
      </c>
      <c r="BF853">
        <v>1.1607000000000001</v>
      </c>
      <c r="BG853">
        <v>4.5941599999999996</v>
      </c>
      <c r="BH853">
        <v>17.302800000000001</v>
      </c>
      <c r="BI853">
        <v>75.851100000000002</v>
      </c>
      <c r="BJ853">
        <v>29.8264</v>
      </c>
      <c r="BK853">
        <v>0</v>
      </c>
      <c r="BL853">
        <v>42.509300000000003</v>
      </c>
      <c r="BM853">
        <v>48.689300000000003</v>
      </c>
      <c r="BN853">
        <v>5.5440399999999999</v>
      </c>
      <c r="BO853">
        <v>1.67039</v>
      </c>
      <c r="BP853">
        <v>1.5869899999999999</v>
      </c>
      <c r="BQ853">
        <v>33.151299999999999</v>
      </c>
      <c r="BR853">
        <v>86327</v>
      </c>
    </row>
    <row r="854" spans="1:70" x14ac:dyDescent="0.25">
      <c r="A854">
        <v>33</v>
      </c>
      <c r="B854" s="7">
        <v>46024.542060185187</v>
      </c>
      <c r="C854" t="s">
        <v>122</v>
      </c>
      <c r="D854" s="6" t="s">
        <v>239</v>
      </c>
      <c r="E854" s="6" t="str">
        <f>VLOOKUP(F854,Germplasm!$A$1:$B$21,2,FALSE)</f>
        <v>Pernilla</v>
      </c>
      <c r="F854" t="s">
        <v>70</v>
      </c>
      <c r="G854" s="6" t="s">
        <v>113</v>
      </c>
      <c r="H854">
        <v>42863.9</v>
      </c>
      <c r="I854">
        <v>398.04599999999999</v>
      </c>
      <c r="J854">
        <v>153446</v>
      </c>
      <c r="K854">
        <v>15.5421</v>
      </c>
      <c r="L854">
        <v>52.923200000000001</v>
      </c>
      <c r="M854">
        <v>1577.99</v>
      </c>
      <c r="N854">
        <v>622.15800000000002</v>
      </c>
      <c r="O854">
        <v>19817100</v>
      </c>
      <c r="P854">
        <v>7.13877E-3</v>
      </c>
      <c r="Q854">
        <v>1.16343</v>
      </c>
      <c r="R854">
        <v>37.6922</v>
      </c>
      <c r="S854">
        <v>59.632599999999996</v>
      </c>
      <c r="T854">
        <v>1.26407</v>
      </c>
      <c r="U854">
        <v>0.218973</v>
      </c>
      <c r="V854">
        <v>2.8754100000000001E-2</v>
      </c>
      <c r="W854">
        <v>37.308100000000003</v>
      </c>
      <c r="X854">
        <v>20.249500000000001</v>
      </c>
      <c r="Y854">
        <v>53.450499999999998</v>
      </c>
      <c r="Z854">
        <v>9.8206199999999999</v>
      </c>
      <c r="AA854">
        <v>4.1394799999999998</v>
      </c>
      <c r="AB854">
        <v>1.9707600000000001</v>
      </c>
      <c r="AC854">
        <v>10.369199999999999</v>
      </c>
      <c r="AD854">
        <v>1.79732</v>
      </c>
      <c r="AE854">
        <v>23.238299999999999</v>
      </c>
      <c r="AF854">
        <v>0</v>
      </c>
      <c r="AG854">
        <v>73.727599999999995</v>
      </c>
      <c r="AH854">
        <v>18.303100000000001</v>
      </c>
      <c r="AI854">
        <v>1.8391500000000001</v>
      </c>
      <c r="AJ854">
        <v>6.1301500000000004</v>
      </c>
      <c r="AK854">
        <v>0</v>
      </c>
      <c r="AL854">
        <v>7.4783000000000002E-2</v>
      </c>
      <c r="AM854">
        <v>23.6403</v>
      </c>
      <c r="AN854">
        <v>56.109099999999998</v>
      </c>
      <c r="AO854">
        <v>16.145399999999999</v>
      </c>
      <c r="AP854">
        <v>2.6674899999999999</v>
      </c>
      <c r="AQ854">
        <v>1.0395700000000001</v>
      </c>
      <c r="AR854">
        <v>0.39813300000000001</v>
      </c>
      <c r="AS854">
        <v>0.233544</v>
      </c>
      <c r="AT854">
        <v>1.17892</v>
      </c>
      <c r="AU854">
        <v>6.8113999999999999</v>
      </c>
      <c r="AV854">
        <v>33.752800000000001</v>
      </c>
      <c r="AW854">
        <v>44.912700000000001</v>
      </c>
      <c r="AX854">
        <v>10.322699999999999</v>
      </c>
      <c r="AY854">
        <v>3.0213899999999998</v>
      </c>
      <c r="AZ854">
        <v>462.32600000000002</v>
      </c>
      <c r="BA854">
        <v>534.6</v>
      </c>
      <c r="BB854">
        <v>23848.799999999999</v>
      </c>
      <c r="BC854">
        <v>0.28414</v>
      </c>
      <c r="BD854">
        <v>0.59941199999999994</v>
      </c>
      <c r="BE854">
        <v>0.717746</v>
      </c>
      <c r="BF854">
        <v>1.35365</v>
      </c>
      <c r="BG854">
        <v>5.3194999999999997</v>
      </c>
      <c r="BH854">
        <v>17.996700000000001</v>
      </c>
      <c r="BI854">
        <v>74.013000000000005</v>
      </c>
      <c r="BJ854">
        <v>27.78</v>
      </c>
      <c r="BK854">
        <v>0</v>
      </c>
      <c r="BL854">
        <v>49.243499999999997</v>
      </c>
      <c r="BM854">
        <v>43.614400000000003</v>
      </c>
      <c r="BN854">
        <v>4.0830799999999998</v>
      </c>
      <c r="BO854">
        <v>1.65004</v>
      </c>
      <c r="BP854">
        <v>1.4089499999999999</v>
      </c>
      <c r="BQ854">
        <v>33.840200000000003</v>
      </c>
      <c r="BR854">
        <v>90422</v>
      </c>
    </row>
    <row r="855" spans="1:70" x14ac:dyDescent="0.25">
      <c r="A855">
        <v>53</v>
      </c>
      <c r="B855" s="7">
        <v>45952.582812499997</v>
      </c>
      <c r="C855" t="s">
        <v>203</v>
      </c>
      <c r="D855" s="6" t="s">
        <v>420</v>
      </c>
      <c r="E855" s="6" t="str">
        <f>VLOOKUP(F855,Germplasm!$A$1:$B$21,2,FALSE)</f>
        <v>Rodhette</v>
      </c>
      <c r="F855" t="s">
        <v>80</v>
      </c>
      <c r="G855" s="6" t="s">
        <v>113</v>
      </c>
      <c r="H855">
        <v>31473.8</v>
      </c>
      <c r="I855">
        <v>235.12799999999999</v>
      </c>
      <c r="J855">
        <v>105084</v>
      </c>
      <c r="K855">
        <v>17.136399999999998</v>
      </c>
      <c r="L855">
        <v>69.672799999999995</v>
      </c>
      <c r="M855">
        <v>1245.92</v>
      </c>
      <c r="N855">
        <v>424.928</v>
      </c>
      <c r="O855">
        <v>9010530</v>
      </c>
      <c r="P855">
        <v>0.25616</v>
      </c>
      <c r="Q855">
        <v>0.65720400000000001</v>
      </c>
      <c r="R855">
        <v>3.4797899999999999</v>
      </c>
      <c r="S855">
        <v>15.059200000000001</v>
      </c>
      <c r="T855">
        <v>41.466799999999999</v>
      </c>
      <c r="U855">
        <v>38.8962</v>
      </c>
      <c r="V855">
        <v>0.44082700000000002</v>
      </c>
      <c r="W855">
        <v>115.952</v>
      </c>
      <c r="X855">
        <v>1.0286</v>
      </c>
      <c r="Y855">
        <v>2.0394299999999999</v>
      </c>
      <c r="Z855">
        <v>3.63158</v>
      </c>
      <c r="AA855">
        <v>17.3231</v>
      </c>
      <c r="AB855">
        <v>40.662700000000001</v>
      </c>
      <c r="AC855">
        <v>35.314599999999999</v>
      </c>
      <c r="AD855">
        <v>1.7478100000000001</v>
      </c>
      <c r="AE855">
        <v>6.6657799999999998</v>
      </c>
      <c r="AF855">
        <v>0</v>
      </c>
      <c r="AG855">
        <v>99.972499999999997</v>
      </c>
      <c r="AH855">
        <v>2.7450800000000001E-2</v>
      </c>
      <c r="AI855">
        <v>0</v>
      </c>
      <c r="AJ855">
        <v>0</v>
      </c>
      <c r="AK855">
        <v>0</v>
      </c>
      <c r="AL855">
        <v>0.55266000000000004</v>
      </c>
      <c r="AM855">
        <v>0.45535999999999999</v>
      </c>
      <c r="AN855">
        <v>1.6115200000000001</v>
      </c>
      <c r="AO855">
        <v>4.0756300000000003</v>
      </c>
      <c r="AP855">
        <v>11.9476</v>
      </c>
      <c r="AQ855">
        <v>39.818199999999997</v>
      </c>
      <c r="AR855">
        <v>42.091799999999999</v>
      </c>
      <c r="AS855">
        <v>4.4216400000000003E-2</v>
      </c>
      <c r="AT855">
        <v>8.0576100000000004</v>
      </c>
      <c r="AU855">
        <v>33.304299999999998</v>
      </c>
      <c r="AV855">
        <v>41.248800000000003</v>
      </c>
      <c r="AW855">
        <v>13.258699999999999</v>
      </c>
      <c r="AX855">
        <v>2.7224699999999999</v>
      </c>
      <c r="AY855">
        <v>1.4080600000000001</v>
      </c>
      <c r="AZ855">
        <v>286.286</v>
      </c>
      <c r="BA855">
        <v>289.83499999999998</v>
      </c>
      <c r="BB855">
        <v>18007.599999999999</v>
      </c>
      <c r="BC855">
        <v>1.7364399999999999E-2</v>
      </c>
      <c r="BD855">
        <v>3.2294999999999997E-2</v>
      </c>
      <c r="BE855">
        <v>0.38269599999999998</v>
      </c>
      <c r="BF855">
        <v>2.7563800000000001</v>
      </c>
      <c r="BG855">
        <v>38.188899999999997</v>
      </c>
      <c r="BH855">
        <v>53.868099999999998</v>
      </c>
      <c r="BI855">
        <v>4.7715899999999998</v>
      </c>
      <c r="BJ855">
        <v>34.477899999999998</v>
      </c>
      <c r="BK855">
        <v>0</v>
      </c>
      <c r="BL855">
        <v>25.5244</v>
      </c>
      <c r="BM855">
        <v>62.279400000000003</v>
      </c>
      <c r="BN855">
        <v>10.8657</v>
      </c>
      <c r="BO855">
        <v>0.90264699999999998</v>
      </c>
      <c r="BP855">
        <v>0.42790899999999998</v>
      </c>
      <c r="BQ855">
        <v>34.927</v>
      </c>
      <c r="BR855">
        <v>61929</v>
      </c>
    </row>
    <row r="856" spans="1:70" x14ac:dyDescent="0.25">
      <c r="A856">
        <v>53</v>
      </c>
      <c r="B856" s="7">
        <v>45959.556030092594</v>
      </c>
      <c r="C856" t="s">
        <v>203</v>
      </c>
      <c r="D856" s="6" t="s">
        <v>421</v>
      </c>
      <c r="E856" s="6" t="str">
        <f>VLOOKUP(F856,Germplasm!$A$1:$B$21,2,FALSE)</f>
        <v>Rodhette</v>
      </c>
      <c r="F856" t="s">
        <v>80</v>
      </c>
      <c r="G856" s="6" t="s">
        <v>113</v>
      </c>
      <c r="H856">
        <v>55714</v>
      </c>
      <c r="I856">
        <v>300.57900000000001</v>
      </c>
      <c r="J856">
        <v>189800</v>
      </c>
      <c r="K856">
        <v>16.852</v>
      </c>
      <c r="L856">
        <v>79.790400000000005</v>
      </c>
      <c r="M856">
        <v>1646.4</v>
      </c>
      <c r="N856">
        <v>575.05499999999995</v>
      </c>
      <c r="O856">
        <v>21867400</v>
      </c>
      <c r="P856">
        <v>0.23469599999999999</v>
      </c>
      <c r="Q856">
        <v>0.61190100000000003</v>
      </c>
      <c r="R856">
        <v>3.3170500000000001</v>
      </c>
      <c r="S856">
        <v>19.158100000000001</v>
      </c>
      <c r="T856">
        <v>45.979599999999998</v>
      </c>
      <c r="U856">
        <v>30.381900000000002</v>
      </c>
      <c r="V856">
        <v>0.55150999999999994</v>
      </c>
      <c r="W856">
        <v>122.211</v>
      </c>
      <c r="X856">
        <v>0.85968</v>
      </c>
      <c r="Y856">
        <v>1.7619899999999999</v>
      </c>
      <c r="Z856">
        <v>2.8694500000000001</v>
      </c>
      <c r="AA856">
        <v>12.9876</v>
      </c>
      <c r="AB856">
        <v>36.342799999999997</v>
      </c>
      <c r="AC856">
        <v>45.1785</v>
      </c>
      <c r="AD856">
        <v>1.74187</v>
      </c>
      <c r="AE856">
        <v>6.6485000000000003</v>
      </c>
      <c r="AF856">
        <v>0</v>
      </c>
      <c r="AG856">
        <v>99.704300000000003</v>
      </c>
      <c r="AH856">
        <v>0.28508</v>
      </c>
      <c r="AI856">
        <v>8.8809900000000001E-3</v>
      </c>
      <c r="AJ856">
        <v>1.7761999999999999E-3</v>
      </c>
      <c r="AK856">
        <v>0</v>
      </c>
      <c r="AL856">
        <v>0.53259400000000001</v>
      </c>
      <c r="AM856">
        <v>0.48756699999999997</v>
      </c>
      <c r="AN856">
        <v>2.4085299999999998</v>
      </c>
      <c r="AO856">
        <v>4.93872</v>
      </c>
      <c r="AP856">
        <v>15.449400000000001</v>
      </c>
      <c r="AQ856">
        <v>39.919199999999996</v>
      </c>
      <c r="AR856">
        <v>36.796599999999998</v>
      </c>
      <c r="AS856">
        <v>9.4187000000000003E-3</v>
      </c>
      <c r="AT856">
        <v>8.9778000000000002</v>
      </c>
      <c r="AU856">
        <v>42.614600000000003</v>
      </c>
      <c r="AV856">
        <v>36.246899999999997</v>
      </c>
      <c r="AW856">
        <v>9.0213099999999997</v>
      </c>
      <c r="AX856">
        <v>1.9023099999999999</v>
      </c>
      <c r="AY856">
        <v>1.23712</v>
      </c>
      <c r="AZ856">
        <v>392.49400000000003</v>
      </c>
      <c r="BA856">
        <v>508.19900000000001</v>
      </c>
      <c r="BB856">
        <v>31985.1</v>
      </c>
      <c r="BC856">
        <v>-4.6131999999999996E-3</v>
      </c>
      <c r="BD856">
        <v>9.1474200000000006E-2</v>
      </c>
      <c r="BE856">
        <v>0.58880999999999994</v>
      </c>
      <c r="BF856">
        <v>3.6918299999999999</v>
      </c>
      <c r="BG856">
        <v>47.220199999999998</v>
      </c>
      <c r="BH856">
        <v>44.191800000000001</v>
      </c>
      <c r="BI856">
        <v>4.2158100000000003</v>
      </c>
      <c r="BJ856">
        <v>31.777699999999999</v>
      </c>
      <c r="BK856">
        <v>0</v>
      </c>
      <c r="BL856">
        <v>32.950299999999999</v>
      </c>
      <c r="BM856">
        <v>58.475099999999998</v>
      </c>
      <c r="BN856">
        <v>7.0568400000000002</v>
      </c>
      <c r="BO856">
        <v>0.72912999999999994</v>
      </c>
      <c r="BP856">
        <v>0.788632</v>
      </c>
      <c r="BQ856">
        <v>35.080300000000001</v>
      </c>
      <c r="BR856">
        <v>112600</v>
      </c>
    </row>
    <row r="857" spans="1:70" x14ac:dyDescent="0.25">
      <c r="A857">
        <v>53</v>
      </c>
      <c r="B857" s="7">
        <v>45966.524942129632</v>
      </c>
      <c r="C857" t="s">
        <v>203</v>
      </c>
      <c r="D857" s="6" t="s">
        <v>422</v>
      </c>
      <c r="E857" s="6" t="str">
        <f>VLOOKUP(F857,Germplasm!$A$1:$B$21,2,FALSE)</f>
        <v>Rodhette</v>
      </c>
      <c r="F857" t="s">
        <v>80</v>
      </c>
      <c r="G857" s="6" t="s">
        <v>113</v>
      </c>
      <c r="H857">
        <v>57718.6</v>
      </c>
      <c r="I857">
        <v>441.84399999999999</v>
      </c>
      <c r="J857">
        <v>161601</v>
      </c>
      <c r="K857">
        <v>21.587700000000002</v>
      </c>
      <c r="L857">
        <v>62.438200000000002</v>
      </c>
      <c r="M857">
        <v>1590.91</v>
      </c>
      <c r="N857">
        <v>591.52</v>
      </c>
      <c r="O857">
        <v>30536900</v>
      </c>
      <c r="P857">
        <v>0.246749</v>
      </c>
      <c r="Q857">
        <v>0.63069799999999998</v>
      </c>
      <c r="R857">
        <v>2.7052999999999998</v>
      </c>
      <c r="S857">
        <v>16.617000000000001</v>
      </c>
      <c r="T857">
        <v>46.204900000000002</v>
      </c>
      <c r="U857">
        <v>33.031300000000002</v>
      </c>
      <c r="V857">
        <v>0.810782</v>
      </c>
      <c r="W857">
        <v>120.575</v>
      </c>
      <c r="X857">
        <v>0.87296399999999996</v>
      </c>
      <c r="Y857">
        <v>1.4640899999999999</v>
      </c>
      <c r="Z857">
        <v>2.9661400000000002</v>
      </c>
      <c r="AA857">
        <v>13.4595</v>
      </c>
      <c r="AB857">
        <v>38.3337</v>
      </c>
      <c r="AC857">
        <v>42.903599999999997</v>
      </c>
      <c r="AD857">
        <v>1.65449</v>
      </c>
      <c r="AE857">
        <v>6.1890799999999997</v>
      </c>
      <c r="AF857">
        <v>0</v>
      </c>
      <c r="AG857">
        <v>99.919200000000004</v>
      </c>
      <c r="AH857">
        <v>8.0755199999999999E-2</v>
      </c>
      <c r="AI857">
        <v>0</v>
      </c>
      <c r="AJ857">
        <v>0</v>
      </c>
      <c r="AK857">
        <v>0</v>
      </c>
      <c r="AL857">
        <v>0.55466000000000004</v>
      </c>
      <c r="AM857">
        <v>0.37793399999999999</v>
      </c>
      <c r="AN857">
        <v>1.91713</v>
      </c>
      <c r="AO857">
        <v>4.2347999999999999</v>
      </c>
      <c r="AP857">
        <v>11.735300000000001</v>
      </c>
      <c r="AQ857">
        <v>38.164099999999998</v>
      </c>
      <c r="AR857">
        <v>43.570700000000002</v>
      </c>
      <c r="AS857">
        <v>2.14378E-2</v>
      </c>
      <c r="AT857">
        <v>7.4577400000000003</v>
      </c>
      <c r="AU857">
        <v>42.277799999999999</v>
      </c>
      <c r="AV857">
        <v>36.859900000000003</v>
      </c>
      <c r="AW857">
        <v>9.5678800000000006</v>
      </c>
      <c r="AX857">
        <v>2.1157900000000001</v>
      </c>
      <c r="AY857">
        <v>1.72089</v>
      </c>
      <c r="AZ857">
        <v>529.06500000000005</v>
      </c>
      <c r="BA857">
        <v>592.79899999999998</v>
      </c>
      <c r="BB857">
        <v>34886</v>
      </c>
      <c r="BC857">
        <v>2.4946399999999998E-3</v>
      </c>
      <c r="BD857">
        <v>3.4724699999999997E-2</v>
      </c>
      <c r="BE857">
        <v>0.29071900000000001</v>
      </c>
      <c r="BF857">
        <v>2.5567099999999998</v>
      </c>
      <c r="BG857">
        <v>46.850900000000003</v>
      </c>
      <c r="BH857">
        <v>46.204099999999997</v>
      </c>
      <c r="BI857">
        <v>4.0628000000000002</v>
      </c>
      <c r="BJ857">
        <v>32.861800000000002</v>
      </c>
      <c r="BK857">
        <v>0</v>
      </c>
      <c r="BL857">
        <v>30.427800000000001</v>
      </c>
      <c r="BM857">
        <v>59.545699999999997</v>
      </c>
      <c r="BN857">
        <v>8.0076900000000002</v>
      </c>
      <c r="BO857">
        <v>1.08535</v>
      </c>
      <c r="BP857">
        <v>0.93352999999999997</v>
      </c>
      <c r="BQ857">
        <v>37.235700000000001</v>
      </c>
      <c r="BR857">
        <v>123831</v>
      </c>
    </row>
    <row r="858" spans="1:70" x14ac:dyDescent="0.25">
      <c r="A858">
        <v>53</v>
      </c>
      <c r="B858" s="7">
        <v>45973.579606481479</v>
      </c>
      <c r="C858" t="s">
        <v>203</v>
      </c>
      <c r="D858" s="6" t="s">
        <v>423</v>
      </c>
      <c r="E858" s="6" t="str">
        <f>VLOOKUP(F858,Germplasm!$A$1:$B$21,2,FALSE)</f>
        <v>Rodhette</v>
      </c>
      <c r="F858" t="s">
        <v>80</v>
      </c>
      <c r="G858" s="6" t="s">
        <v>113</v>
      </c>
      <c r="H858">
        <v>26016.6</v>
      </c>
      <c r="I858">
        <v>424.09699999999998</v>
      </c>
      <c r="J858">
        <v>172254</v>
      </c>
      <c r="K858">
        <v>9.1166400000000003</v>
      </c>
      <c r="L858">
        <v>68.081000000000003</v>
      </c>
      <c r="M858">
        <v>1584.25</v>
      </c>
      <c r="N858">
        <v>570.07100000000003</v>
      </c>
      <c r="O858">
        <v>13399000</v>
      </c>
      <c r="P858">
        <v>0.21834799999999999</v>
      </c>
      <c r="Q858">
        <v>0.87764299999999995</v>
      </c>
      <c r="R858">
        <v>4.7594599999999998</v>
      </c>
      <c r="S858">
        <v>22.219899999999999</v>
      </c>
      <c r="T858">
        <v>45.314100000000003</v>
      </c>
      <c r="U858">
        <v>26.096599999999999</v>
      </c>
      <c r="V858">
        <v>0.73222500000000001</v>
      </c>
      <c r="W858">
        <v>120.178</v>
      </c>
      <c r="X858">
        <v>1.45076</v>
      </c>
      <c r="Y858">
        <v>3.0093100000000002</v>
      </c>
      <c r="Z858">
        <v>4.1846300000000003</v>
      </c>
      <c r="AA858">
        <v>14.644500000000001</v>
      </c>
      <c r="AB858">
        <v>31.766200000000001</v>
      </c>
      <c r="AC858">
        <v>44.944600000000001</v>
      </c>
      <c r="AD858">
        <v>1.6567000000000001</v>
      </c>
      <c r="AE858">
        <v>6.6071999999999997</v>
      </c>
      <c r="AF858">
        <v>0</v>
      </c>
      <c r="AG858">
        <v>99.5672</v>
      </c>
      <c r="AH858">
        <v>0.42256899999999997</v>
      </c>
      <c r="AI858">
        <v>6.8432199999999997E-3</v>
      </c>
      <c r="AJ858">
        <v>3.4216099999999998E-3</v>
      </c>
      <c r="AK858">
        <v>0</v>
      </c>
      <c r="AL858">
        <v>0.49566900000000003</v>
      </c>
      <c r="AM858">
        <v>0.85369200000000001</v>
      </c>
      <c r="AN858">
        <v>4.7047100000000004</v>
      </c>
      <c r="AO858">
        <v>9.0826700000000002</v>
      </c>
      <c r="AP858">
        <v>16.666699999999999</v>
      </c>
      <c r="AQ858">
        <v>38.356299999999997</v>
      </c>
      <c r="AR858">
        <v>30.335999999999999</v>
      </c>
      <c r="AS858">
        <v>2.4605399999999999E-2</v>
      </c>
      <c r="AT858">
        <v>9.3033599999999996</v>
      </c>
      <c r="AU858">
        <v>40.532400000000003</v>
      </c>
      <c r="AV858">
        <v>34.705399999999997</v>
      </c>
      <c r="AW858">
        <v>10.6378</v>
      </c>
      <c r="AX858">
        <v>2.76295</v>
      </c>
      <c r="AY858">
        <v>2.0581</v>
      </c>
      <c r="AZ858">
        <v>515.01599999999996</v>
      </c>
      <c r="BA858">
        <v>609</v>
      </c>
      <c r="BB858">
        <v>15703.8</v>
      </c>
      <c r="BC858">
        <v>1.0388700000000001E-2</v>
      </c>
      <c r="BD858">
        <v>5.9878199999999999E-2</v>
      </c>
      <c r="BE858">
        <v>0.45336300000000002</v>
      </c>
      <c r="BF858">
        <v>4.06487</v>
      </c>
      <c r="BG858">
        <v>45.257599999999996</v>
      </c>
      <c r="BH858">
        <v>41.907899999999998</v>
      </c>
      <c r="BI858">
        <v>8.2563499999999994</v>
      </c>
      <c r="BJ858">
        <v>31.578399999999998</v>
      </c>
      <c r="BK858">
        <v>0</v>
      </c>
      <c r="BL858">
        <v>35.261400000000002</v>
      </c>
      <c r="BM858">
        <v>55.229900000000001</v>
      </c>
      <c r="BN858">
        <v>7.4231800000000003</v>
      </c>
      <c r="BO858">
        <v>1.1821699999999999</v>
      </c>
      <c r="BP858">
        <v>0.90330500000000002</v>
      </c>
      <c r="BQ858">
        <v>37.152999999999999</v>
      </c>
      <c r="BR858">
        <v>58452</v>
      </c>
    </row>
    <row r="859" spans="1:70" x14ac:dyDescent="0.25">
      <c r="A859">
        <v>53</v>
      </c>
      <c r="B859" s="7">
        <v>45988.59747685185</v>
      </c>
      <c r="C859" t="s">
        <v>203</v>
      </c>
      <c r="D859" s="6" t="s">
        <v>424</v>
      </c>
      <c r="E859" s="6" t="str">
        <f>VLOOKUP(F859,Germplasm!$A$1:$B$21,2,FALSE)</f>
        <v>Rodhette</v>
      </c>
      <c r="F859" t="s">
        <v>80</v>
      </c>
      <c r="G859" s="6" t="s">
        <v>113</v>
      </c>
      <c r="H859">
        <v>38632.699999999997</v>
      </c>
      <c r="I859">
        <v>452.19200000000001</v>
      </c>
      <c r="J859">
        <v>168173</v>
      </c>
      <c r="K859">
        <v>12.245799999999999</v>
      </c>
      <c r="L859">
        <v>67.842100000000002</v>
      </c>
      <c r="M859">
        <v>1539.28</v>
      </c>
      <c r="N859">
        <v>581.71100000000001</v>
      </c>
      <c r="O859">
        <v>21889500</v>
      </c>
      <c r="P859">
        <v>0.18886600000000001</v>
      </c>
      <c r="Q859">
        <v>0.88831700000000002</v>
      </c>
      <c r="R859">
        <v>6.9901400000000002</v>
      </c>
      <c r="S859">
        <v>29.207899999999999</v>
      </c>
      <c r="T859">
        <v>42.868299999999998</v>
      </c>
      <c r="U859">
        <v>19.428999999999998</v>
      </c>
      <c r="V859">
        <v>0.61630799999999997</v>
      </c>
      <c r="W859">
        <v>106.68600000000001</v>
      </c>
      <c r="X859">
        <v>3.4172600000000002</v>
      </c>
      <c r="Y859">
        <v>6.34565</v>
      </c>
      <c r="Z859">
        <v>7.3123800000000001</v>
      </c>
      <c r="AA859">
        <v>21.36</v>
      </c>
      <c r="AB859">
        <v>29.757999999999999</v>
      </c>
      <c r="AC859">
        <v>31.806699999999999</v>
      </c>
      <c r="AD859">
        <v>1.8758999999999999</v>
      </c>
      <c r="AE859">
        <v>8.0349400000000006</v>
      </c>
      <c r="AF859">
        <v>0</v>
      </c>
      <c r="AG859">
        <v>99.349400000000003</v>
      </c>
      <c r="AH859">
        <v>0.64081399999999999</v>
      </c>
      <c r="AI859">
        <v>9.8021199999999992E-3</v>
      </c>
      <c r="AJ859">
        <v>0</v>
      </c>
      <c r="AK859">
        <v>0</v>
      </c>
      <c r="AL859">
        <v>0.40414099999999997</v>
      </c>
      <c r="AM859">
        <v>2.5068899999999998</v>
      </c>
      <c r="AN859">
        <v>11.137700000000001</v>
      </c>
      <c r="AO859">
        <v>15.0793</v>
      </c>
      <c r="AP859">
        <v>23.167300000000001</v>
      </c>
      <c r="AQ859">
        <v>32.708399999999997</v>
      </c>
      <c r="AR859">
        <v>15.400399999999999</v>
      </c>
      <c r="AS859">
        <v>9.3208799999999994E-2</v>
      </c>
      <c r="AT859">
        <v>3.8387600000000002</v>
      </c>
      <c r="AU859">
        <v>31.044499999999999</v>
      </c>
      <c r="AV859">
        <v>39.615299999999998</v>
      </c>
      <c r="AW859">
        <v>18.480699999999999</v>
      </c>
      <c r="AX859">
        <v>4.8422499999999999</v>
      </c>
      <c r="AY859">
        <v>2.1785199999999998</v>
      </c>
      <c r="AZ859">
        <v>566.60599999999999</v>
      </c>
      <c r="BA859">
        <v>627.6</v>
      </c>
      <c r="BB859">
        <v>20594.2</v>
      </c>
      <c r="BC859">
        <v>7.0638599999999996E-2</v>
      </c>
      <c r="BD859">
        <v>7.1065400000000001E-2</v>
      </c>
      <c r="BE859">
        <v>0.44109500000000001</v>
      </c>
      <c r="BF859">
        <v>2.3083999999999998</v>
      </c>
      <c r="BG859">
        <v>32.0627</v>
      </c>
      <c r="BH859">
        <v>47.703200000000002</v>
      </c>
      <c r="BI859">
        <v>17.413499999999999</v>
      </c>
      <c r="BJ859">
        <v>30.020600000000002</v>
      </c>
      <c r="BK859">
        <v>0</v>
      </c>
      <c r="BL859">
        <v>40.668999999999997</v>
      </c>
      <c r="BM859">
        <v>50.419699999999999</v>
      </c>
      <c r="BN859">
        <v>6.9582800000000002</v>
      </c>
      <c r="BO859">
        <v>1.16645</v>
      </c>
      <c r="BP859">
        <v>0.78661999999999999</v>
      </c>
      <c r="BQ859">
        <v>32.2423</v>
      </c>
      <c r="BR859">
        <v>81615</v>
      </c>
    </row>
    <row r="860" spans="1:70" x14ac:dyDescent="0.25">
      <c r="A860">
        <v>53</v>
      </c>
      <c r="B860" s="7">
        <v>45994.54310185185</v>
      </c>
      <c r="C860" t="s">
        <v>203</v>
      </c>
      <c r="D860" s="6" t="s">
        <v>425</v>
      </c>
      <c r="E860" s="6" t="str">
        <f>VLOOKUP(F860,Germplasm!$A$1:$B$21,2,FALSE)</f>
        <v>Rodhette</v>
      </c>
      <c r="F860" t="s">
        <v>80</v>
      </c>
      <c r="G860" s="6" t="s">
        <v>113</v>
      </c>
      <c r="H860">
        <v>33107</v>
      </c>
      <c r="I860">
        <v>390.11799999999999</v>
      </c>
      <c r="J860">
        <v>184452</v>
      </c>
      <c r="K860">
        <v>9.43886</v>
      </c>
      <c r="L860">
        <v>88.778999999999996</v>
      </c>
      <c r="M860">
        <v>1634.31</v>
      </c>
      <c r="N860">
        <v>546.86099999999999</v>
      </c>
      <c r="O860">
        <v>16005100</v>
      </c>
      <c r="P860">
        <v>0.175901</v>
      </c>
      <c r="Q860">
        <v>0.71405700000000005</v>
      </c>
      <c r="R860">
        <v>9.3481900000000007</v>
      </c>
      <c r="S860">
        <v>32.222700000000003</v>
      </c>
      <c r="T860">
        <v>40.302799999999998</v>
      </c>
      <c r="U860">
        <v>16.651599999999998</v>
      </c>
      <c r="V860">
        <v>0.76059399999999999</v>
      </c>
      <c r="W860">
        <v>92.716499999999996</v>
      </c>
      <c r="X860">
        <v>5.1016599999999999</v>
      </c>
      <c r="Y860">
        <v>12.4749</v>
      </c>
      <c r="Z860">
        <v>11.109299999999999</v>
      </c>
      <c r="AA860">
        <v>23.546399999999998</v>
      </c>
      <c r="AB860">
        <v>26.148199999999999</v>
      </c>
      <c r="AC860">
        <v>21.619499999999999</v>
      </c>
      <c r="AD860">
        <v>1.9015899999999999</v>
      </c>
      <c r="AE860">
        <v>9.9982299999999995</v>
      </c>
      <c r="AF860">
        <v>0</v>
      </c>
      <c r="AG860">
        <v>97.603300000000004</v>
      </c>
      <c r="AH860">
        <v>2.3821300000000001</v>
      </c>
      <c r="AI860">
        <v>1.4542899999999999E-2</v>
      </c>
      <c r="AJ860">
        <v>0</v>
      </c>
      <c r="AK860">
        <v>0</v>
      </c>
      <c r="AL860">
        <v>0.34559099999999998</v>
      </c>
      <c r="AM860">
        <v>4.6973599999999998</v>
      </c>
      <c r="AN860">
        <v>18.135000000000002</v>
      </c>
      <c r="AO860">
        <v>17.026800000000001</v>
      </c>
      <c r="AP860">
        <v>24.059799999999999</v>
      </c>
      <c r="AQ860">
        <v>25.166499999999999</v>
      </c>
      <c r="AR860">
        <v>10.9145</v>
      </c>
      <c r="AS860">
        <v>0.156</v>
      </c>
      <c r="AT860">
        <v>1.9269400000000001</v>
      </c>
      <c r="AU860">
        <v>21.863800000000001</v>
      </c>
      <c r="AV860">
        <v>38.282800000000002</v>
      </c>
      <c r="AW860">
        <v>26.011500000000002</v>
      </c>
      <c r="AX860">
        <v>8.9133499999999994</v>
      </c>
      <c r="AY860">
        <v>3.0016600000000002</v>
      </c>
      <c r="AZ860">
        <v>483.43599999999998</v>
      </c>
      <c r="BA860">
        <v>529.79899999999998</v>
      </c>
      <c r="BB860">
        <v>17410.099999999999</v>
      </c>
      <c r="BC860">
        <v>0.137403</v>
      </c>
      <c r="BD860">
        <v>3.7811600000000001E-2</v>
      </c>
      <c r="BE860">
        <v>0.25304700000000002</v>
      </c>
      <c r="BF860">
        <v>1.3743099999999999</v>
      </c>
      <c r="BG860">
        <v>22.125599999999999</v>
      </c>
      <c r="BH860">
        <v>46.0152</v>
      </c>
      <c r="BI860">
        <v>30.193999999999999</v>
      </c>
      <c r="BJ860">
        <v>31.443300000000001</v>
      </c>
      <c r="BK860">
        <v>0</v>
      </c>
      <c r="BL860">
        <v>37.398600000000002</v>
      </c>
      <c r="BM860">
        <v>51.692799999999998</v>
      </c>
      <c r="BN860">
        <v>8.6065000000000005</v>
      </c>
      <c r="BO860">
        <v>1.68262</v>
      </c>
      <c r="BP860">
        <v>0.61952799999999997</v>
      </c>
      <c r="BQ860">
        <v>31.75</v>
      </c>
      <c r="BR860">
        <v>68762</v>
      </c>
    </row>
    <row r="861" spans="1:70" x14ac:dyDescent="0.25">
      <c r="A861">
        <v>53</v>
      </c>
      <c r="B861" s="7">
        <v>46002.549247685187</v>
      </c>
      <c r="C861" t="s">
        <v>203</v>
      </c>
      <c r="D861" s="6" t="s">
        <v>426</v>
      </c>
      <c r="E861" s="6" t="str">
        <f>VLOOKUP(F861,Germplasm!$A$1:$B$21,2,FALSE)</f>
        <v>Rodhette</v>
      </c>
      <c r="F861" t="s">
        <v>80</v>
      </c>
      <c r="G861" s="6" t="s">
        <v>113</v>
      </c>
      <c r="H861">
        <v>0</v>
      </c>
      <c r="J861">
        <v>0</v>
      </c>
      <c r="M861">
        <v>0</v>
      </c>
      <c r="N861">
        <v>0</v>
      </c>
      <c r="O861">
        <v>0</v>
      </c>
      <c r="AZ861">
        <v>0</v>
      </c>
      <c r="BA861">
        <v>0</v>
      </c>
      <c r="BB861">
        <v>0</v>
      </c>
      <c r="BR861">
        <v>0</v>
      </c>
    </row>
    <row r="862" spans="1:70" x14ac:dyDescent="0.25">
      <c r="A862">
        <v>53</v>
      </c>
      <c r="B862" s="7">
        <v>46002.551516203705</v>
      </c>
      <c r="C862" t="s">
        <v>203</v>
      </c>
      <c r="D862" s="6" t="s">
        <v>427</v>
      </c>
      <c r="E862" s="6" t="str">
        <f>VLOOKUP(F862,Germplasm!$A$1:$B$21,2,FALSE)</f>
        <v>Rodhette</v>
      </c>
      <c r="F862" t="s">
        <v>80</v>
      </c>
      <c r="G862" s="6" t="s">
        <v>113</v>
      </c>
      <c r="H862">
        <v>26252.2</v>
      </c>
      <c r="I862">
        <v>441.04500000000002</v>
      </c>
      <c r="J862">
        <v>103227</v>
      </c>
      <c r="K862">
        <v>13.311199999999999</v>
      </c>
      <c r="L862">
        <v>93.691400000000002</v>
      </c>
      <c r="M862">
        <v>1244.6400000000001</v>
      </c>
      <c r="N862">
        <v>442.62400000000002</v>
      </c>
      <c r="O862">
        <v>12630700</v>
      </c>
      <c r="P862">
        <v>0.120467</v>
      </c>
      <c r="Q862">
        <v>1.1569100000000001</v>
      </c>
      <c r="R862">
        <v>15.8713</v>
      </c>
      <c r="S862">
        <v>43.309800000000003</v>
      </c>
      <c r="T862">
        <v>29.9633</v>
      </c>
      <c r="U862">
        <v>9.35717</v>
      </c>
      <c r="V862">
        <v>0.34152900000000003</v>
      </c>
      <c r="W862">
        <v>61.347999999999999</v>
      </c>
      <c r="X862">
        <v>9.90076</v>
      </c>
      <c r="Y862">
        <v>29.430499999999999</v>
      </c>
      <c r="Z862">
        <v>22.204699999999999</v>
      </c>
      <c r="AA862">
        <v>23.853400000000001</v>
      </c>
      <c r="AB862">
        <v>8.5596800000000002</v>
      </c>
      <c r="AC862">
        <v>6.0509599999999999</v>
      </c>
      <c r="AD862">
        <v>1.9105399999999999</v>
      </c>
      <c r="AE862">
        <v>13.7433</v>
      </c>
      <c r="AF862">
        <v>0</v>
      </c>
      <c r="AG862">
        <v>91.472499999999997</v>
      </c>
      <c r="AH862">
        <v>8.5185499999999994</v>
      </c>
      <c r="AI862">
        <v>8.9405400000000003E-3</v>
      </c>
      <c r="AJ862">
        <v>0</v>
      </c>
      <c r="AK862">
        <v>0</v>
      </c>
      <c r="AL862">
        <v>0.19572700000000001</v>
      </c>
      <c r="AM862">
        <v>9.1926699999999997</v>
      </c>
      <c r="AN862">
        <v>39.095199999999998</v>
      </c>
      <c r="AO862">
        <v>23.250800000000002</v>
      </c>
      <c r="AP862">
        <v>18.571300000000001</v>
      </c>
      <c r="AQ862">
        <v>7.8748300000000002</v>
      </c>
      <c r="AR862">
        <v>2.0152000000000001</v>
      </c>
      <c r="AS862">
        <v>0.28971599999999997</v>
      </c>
      <c r="AT862">
        <v>0.62583800000000001</v>
      </c>
      <c r="AU862">
        <v>4.4684799999999996</v>
      </c>
      <c r="AV862">
        <v>25.142600000000002</v>
      </c>
      <c r="AW862">
        <v>44.353999999999999</v>
      </c>
      <c r="AX862">
        <v>20.763500000000001</v>
      </c>
      <c r="AY862">
        <v>4.6455099999999998</v>
      </c>
      <c r="AZ862">
        <v>481.13</v>
      </c>
      <c r="BA862">
        <v>535.79899999999998</v>
      </c>
      <c r="BB862">
        <v>13740.7</v>
      </c>
      <c r="BC862">
        <v>0.30147400000000002</v>
      </c>
      <c r="BD862">
        <v>6.6159999999999997E-2</v>
      </c>
      <c r="BE862">
        <v>0.25033499999999997</v>
      </c>
      <c r="BF862">
        <v>0.59901700000000002</v>
      </c>
      <c r="BG862">
        <v>4.1770199999999997</v>
      </c>
      <c r="BH862">
        <v>26.802</v>
      </c>
      <c r="BI862">
        <v>68.105500000000006</v>
      </c>
      <c r="BJ862">
        <v>35.383400000000002</v>
      </c>
      <c r="BK862">
        <v>0</v>
      </c>
      <c r="BL862">
        <v>28.0501</v>
      </c>
      <c r="BM862">
        <v>56.894100000000002</v>
      </c>
      <c r="BN862">
        <v>12.2181</v>
      </c>
      <c r="BO862">
        <v>1.9758599999999999</v>
      </c>
      <c r="BP862">
        <v>0.861869</v>
      </c>
      <c r="BQ862">
        <v>31.5746</v>
      </c>
      <c r="BR862">
        <v>55925</v>
      </c>
    </row>
    <row r="863" spans="1:70" x14ac:dyDescent="0.25">
      <c r="A863">
        <v>53</v>
      </c>
      <c r="B863" s="7">
        <v>46013.57503472222</v>
      </c>
      <c r="C863" t="s">
        <v>203</v>
      </c>
      <c r="D863" s="6" t="s">
        <v>428</v>
      </c>
      <c r="E863" s="6" t="str">
        <f>VLOOKUP(F863,Germplasm!$A$1:$B$21,2,FALSE)</f>
        <v>Rodhette</v>
      </c>
      <c r="F863" t="s">
        <v>80</v>
      </c>
      <c r="G863" s="6" t="s">
        <v>113</v>
      </c>
      <c r="H863">
        <v>18314.5</v>
      </c>
      <c r="I863">
        <v>444.08499999999998</v>
      </c>
      <c r="J863">
        <v>129612</v>
      </c>
      <c r="K863">
        <v>7.1767099999999999</v>
      </c>
      <c r="L863">
        <v>65.825500000000005</v>
      </c>
      <c r="M863">
        <v>1387.31</v>
      </c>
      <c r="N863">
        <v>536.476</v>
      </c>
      <c r="O863">
        <v>8440920</v>
      </c>
      <c r="P863">
        <v>2.77115E-2</v>
      </c>
      <c r="Q863">
        <v>1.47563</v>
      </c>
      <c r="R863">
        <v>30.5898</v>
      </c>
      <c r="S863">
        <v>60.747199999999999</v>
      </c>
      <c r="T863">
        <v>6.4217700000000004</v>
      </c>
      <c r="U863">
        <v>0.69796599999999998</v>
      </c>
      <c r="V863">
        <v>6.7623000000000003E-2</v>
      </c>
      <c r="W863">
        <v>40.268300000000004</v>
      </c>
      <c r="X863">
        <v>17.7776</v>
      </c>
      <c r="Y863">
        <v>51.7654</v>
      </c>
      <c r="Z863">
        <v>17.166599999999999</v>
      </c>
      <c r="AA863">
        <v>4.9775400000000003</v>
      </c>
      <c r="AB863">
        <v>1.5939700000000001</v>
      </c>
      <c r="AC863">
        <v>6.7188299999999996</v>
      </c>
      <c r="AD863">
        <v>1.9689000000000001</v>
      </c>
      <c r="AE863">
        <v>17.472300000000001</v>
      </c>
      <c r="AF863">
        <v>0</v>
      </c>
      <c r="AG863">
        <v>82.541200000000003</v>
      </c>
      <c r="AH863">
        <v>17.258400000000002</v>
      </c>
      <c r="AI863">
        <v>0.20045399999999999</v>
      </c>
      <c r="AJ863">
        <v>0</v>
      </c>
      <c r="AK863">
        <v>0</v>
      </c>
      <c r="AL863">
        <v>9.5570299999999997E-2</v>
      </c>
      <c r="AM863">
        <v>17.258400000000002</v>
      </c>
      <c r="AN863">
        <v>57.402299999999997</v>
      </c>
      <c r="AO863">
        <v>18.432099999999998</v>
      </c>
      <c r="AP863">
        <v>4.8447100000000001</v>
      </c>
      <c r="AQ863">
        <v>1.5190999999999999</v>
      </c>
      <c r="AR863">
        <v>0.54339999999999999</v>
      </c>
      <c r="AS863">
        <v>0.26234400000000002</v>
      </c>
      <c r="AT863">
        <v>0.71487199999999995</v>
      </c>
      <c r="AU863">
        <v>3.8424399999999999</v>
      </c>
      <c r="AV863">
        <v>28.930599999999998</v>
      </c>
      <c r="AW863">
        <v>52.2605</v>
      </c>
      <c r="AX863">
        <v>10.923500000000001</v>
      </c>
      <c r="AY863">
        <v>3.32802</v>
      </c>
      <c r="AZ863">
        <v>460.88799999999998</v>
      </c>
      <c r="BA863">
        <v>507.59899999999999</v>
      </c>
      <c r="BB863">
        <v>9301.89</v>
      </c>
      <c r="BC863">
        <v>0.32581100000000002</v>
      </c>
      <c r="BD863">
        <v>0.115925</v>
      </c>
      <c r="BE863">
        <v>0.41056900000000002</v>
      </c>
      <c r="BF863">
        <v>0.87668500000000005</v>
      </c>
      <c r="BG863">
        <v>3.1541299999999999</v>
      </c>
      <c r="BH863">
        <v>12.913600000000001</v>
      </c>
      <c r="BI863">
        <v>82.5291</v>
      </c>
      <c r="BJ863">
        <v>28.4194</v>
      </c>
      <c r="BK863">
        <v>0</v>
      </c>
      <c r="BL863">
        <v>45.8001</v>
      </c>
      <c r="BM863">
        <v>47.633200000000002</v>
      </c>
      <c r="BN863">
        <v>4.5887099999999998</v>
      </c>
      <c r="BO863">
        <v>1.1882299999999999</v>
      </c>
      <c r="BP863">
        <v>0.78974100000000003</v>
      </c>
      <c r="BQ863">
        <v>30.516100000000002</v>
      </c>
      <c r="BR863">
        <v>41406</v>
      </c>
    </row>
    <row r="864" spans="1:70" x14ac:dyDescent="0.25">
      <c r="A864">
        <v>53</v>
      </c>
      <c r="B864" s="7">
        <v>46013.57534722222</v>
      </c>
      <c r="C864" t="s">
        <v>203</v>
      </c>
      <c r="D864" s="6" t="s">
        <v>429</v>
      </c>
      <c r="E864" s="6" t="str">
        <f>VLOOKUP(F864,Germplasm!$A$1:$B$21,2,FALSE)</f>
        <v>Rodhette</v>
      </c>
      <c r="F864" t="s">
        <v>80</v>
      </c>
      <c r="G864" s="6" t="s">
        <v>113</v>
      </c>
      <c r="H864">
        <v>0</v>
      </c>
      <c r="J864">
        <v>0</v>
      </c>
      <c r="M864">
        <v>0</v>
      </c>
      <c r="N864">
        <v>0</v>
      </c>
      <c r="O864">
        <v>0</v>
      </c>
      <c r="AZ864">
        <v>0</v>
      </c>
      <c r="BA864">
        <v>0</v>
      </c>
      <c r="BB864">
        <v>0</v>
      </c>
      <c r="BR864">
        <v>0</v>
      </c>
    </row>
    <row r="865" spans="1:70" x14ac:dyDescent="0.25">
      <c r="A865">
        <v>53</v>
      </c>
      <c r="B865" s="7">
        <v>46013.575879629629</v>
      </c>
      <c r="C865" t="s">
        <v>203</v>
      </c>
      <c r="D865" s="6" t="s">
        <v>430</v>
      </c>
      <c r="E865" s="6" t="str">
        <f>VLOOKUP(F865,Germplasm!$A$1:$B$21,2,FALSE)</f>
        <v>Rodhette</v>
      </c>
      <c r="F865" t="s">
        <v>80</v>
      </c>
      <c r="G865" s="6" t="s">
        <v>113</v>
      </c>
      <c r="H865">
        <v>16844</v>
      </c>
      <c r="I865">
        <v>449.42700000000002</v>
      </c>
      <c r="J865">
        <v>57403.8</v>
      </c>
      <c r="K865">
        <v>14.572800000000001</v>
      </c>
      <c r="L865">
        <v>66.992099999999994</v>
      </c>
      <c r="M865">
        <v>922.601</v>
      </c>
      <c r="N865">
        <v>334.48599999999999</v>
      </c>
      <c r="O865">
        <v>7779710</v>
      </c>
      <c r="P865">
        <v>2.0458E-2</v>
      </c>
      <c r="Q865">
        <v>1.58643</v>
      </c>
      <c r="R865">
        <v>33.023899999999998</v>
      </c>
      <c r="S865">
        <v>60.276400000000002</v>
      </c>
      <c r="T865">
        <v>4.33711</v>
      </c>
      <c r="U865">
        <v>0.66866000000000003</v>
      </c>
      <c r="V865">
        <v>0.10750999999999999</v>
      </c>
      <c r="W865">
        <v>37.996600000000001</v>
      </c>
      <c r="X865">
        <v>19.6874</v>
      </c>
      <c r="Y865">
        <v>53.807400000000001</v>
      </c>
      <c r="Z865">
        <v>15.9849</v>
      </c>
      <c r="AA865">
        <v>3.71827</v>
      </c>
      <c r="AB865">
        <v>1.0541199999999999</v>
      </c>
      <c r="AC865">
        <v>5.7478499999999997</v>
      </c>
      <c r="AD865">
        <v>2.0135399999999999</v>
      </c>
      <c r="AE865">
        <v>17.3081</v>
      </c>
      <c r="AF865">
        <v>0</v>
      </c>
      <c r="AG865">
        <v>82.890199999999993</v>
      </c>
      <c r="AH865">
        <v>16.892199999999999</v>
      </c>
      <c r="AI865">
        <v>0.217642</v>
      </c>
      <c r="AJ865">
        <v>0</v>
      </c>
      <c r="AK865">
        <v>0</v>
      </c>
      <c r="AL865">
        <v>8.5129099999999999E-2</v>
      </c>
      <c r="AM865">
        <v>18.601800000000001</v>
      </c>
      <c r="AN865">
        <v>60.276400000000002</v>
      </c>
      <c r="AO865">
        <v>15.402799999999999</v>
      </c>
      <c r="AP865">
        <v>3.9254199999999999</v>
      </c>
      <c r="AQ865">
        <v>1.3242100000000001</v>
      </c>
      <c r="AR865">
        <v>0.46937299999999998</v>
      </c>
      <c r="AS865">
        <v>0.266073</v>
      </c>
      <c r="AT865">
        <v>0.52181699999999998</v>
      </c>
      <c r="AU865">
        <v>2.9027699999999999</v>
      </c>
      <c r="AV865">
        <v>29.119499999999999</v>
      </c>
      <c r="AW865">
        <v>53.844099999999997</v>
      </c>
      <c r="AX865">
        <v>10.1767</v>
      </c>
      <c r="AY865">
        <v>3.4350700000000001</v>
      </c>
      <c r="AZ865">
        <v>461.86900000000003</v>
      </c>
      <c r="BA865">
        <v>507.59899999999999</v>
      </c>
      <c r="BB865">
        <v>8365.36</v>
      </c>
      <c r="BC865">
        <v>0.33515</v>
      </c>
      <c r="BD865">
        <v>0.17044300000000001</v>
      </c>
      <c r="BE865">
        <v>0.26221899999999998</v>
      </c>
      <c r="BF865">
        <v>0.53754999999999997</v>
      </c>
      <c r="BG865">
        <v>2.4517500000000001</v>
      </c>
      <c r="BH865">
        <v>11.865399999999999</v>
      </c>
      <c r="BI865">
        <v>84.712599999999995</v>
      </c>
      <c r="BJ865">
        <v>28.2774</v>
      </c>
      <c r="BK865">
        <v>0</v>
      </c>
      <c r="BL865">
        <v>46.239800000000002</v>
      </c>
      <c r="BM865">
        <v>47.296500000000002</v>
      </c>
      <c r="BN865">
        <v>4.3948</v>
      </c>
      <c r="BO865">
        <v>1.2245600000000001</v>
      </c>
      <c r="BP865">
        <v>0.84434699999999996</v>
      </c>
      <c r="BQ865">
        <v>29.763100000000001</v>
      </c>
      <c r="BR865">
        <v>38136</v>
      </c>
    </row>
    <row r="866" spans="1:70" x14ac:dyDescent="0.25">
      <c r="A866">
        <v>53</v>
      </c>
      <c r="B866" s="7">
        <v>46024.551469907405</v>
      </c>
      <c r="C866" t="s">
        <v>203</v>
      </c>
      <c r="D866" s="6" t="s">
        <v>431</v>
      </c>
      <c r="E866" s="6" t="str">
        <f>VLOOKUP(F866,Germplasm!$A$1:$B$21,2,FALSE)</f>
        <v>Rodhette</v>
      </c>
      <c r="F866" t="s">
        <v>80</v>
      </c>
      <c r="G866" s="6" t="s">
        <v>113</v>
      </c>
      <c r="H866">
        <v>14902.1</v>
      </c>
      <c r="I866">
        <v>445.97</v>
      </c>
      <c r="J866">
        <v>45417.3</v>
      </c>
      <c r="K866">
        <v>16.283300000000001</v>
      </c>
      <c r="L866">
        <v>63.088000000000001</v>
      </c>
      <c r="M866">
        <v>850.49800000000005</v>
      </c>
      <c r="N866">
        <v>321.03100000000001</v>
      </c>
      <c r="O866">
        <v>6828190</v>
      </c>
      <c r="P866">
        <v>4.0955000000000002E-3</v>
      </c>
      <c r="Q866">
        <v>1.8279700000000001</v>
      </c>
      <c r="R866">
        <v>39.138399999999997</v>
      </c>
      <c r="S866">
        <v>56.993299999999998</v>
      </c>
      <c r="T866">
        <v>1.59162</v>
      </c>
      <c r="U866">
        <v>0.33507900000000002</v>
      </c>
      <c r="V866">
        <v>0.113687</v>
      </c>
      <c r="W866">
        <v>35.198</v>
      </c>
      <c r="X866">
        <v>21.932700000000001</v>
      </c>
      <c r="Y866">
        <v>53.633499999999998</v>
      </c>
      <c r="Z866">
        <v>10.306699999999999</v>
      </c>
      <c r="AA866">
        <v>3.1413600000000002</v>
      </c>
      <c r="AB866">
        <v>1.2206399999999999</v>
      </c>
      <c r="AC866">
        <v>9.7651500000000002</v>
      </c>
      <c r="AD866">
        <v>2.01505</v>
      </c>
      <c r="AE866">
        <v>19.1602</v>
      </c>
      <c r="AF866">
        <v>0</v>
      </c>
      <c r="AG866">
        <v>74.755399999999995</v>
      </c>
      <c r="AH866">
        <v>24.837700000000002</v>
      </c>
      <c r="AI866">
        <v>0.40688099999999999</v>
      </c>
      <c r="AJ866">
        <v>0</v>
      </c>
      <c r="AK866">
        <v>0</v>
      </c>
      <c r="AL866">
        <v>5.4515399999999999E-2</v>
      </c>
      <c r="AM866">
        <v>28.718</v>
      </c>
      <c r="AN866">
        <v>56.326099999999997</v>
      </c>
      <c r="AO866">
        <v>10.130100000000001</v>
      </c>
      <c r="AP866">
        <v>3.3657400000000002</v>
      </c>
      <c r="AQ866">
        <v>1.06507</v>
      </c>
      <c r="AR866">
        <v>0.39491399999999999</v>
      </c>
      <c r="AS866">
        <v>0.22513</v>
      </c>
      <c r="AT866">
        <v>1.1997</v>
      </c>
      <c r="AU866">
        <v>5.4390400000000003</v>
      </c>
      <c r="AV866">
        <v>39.578200000000002</v>
      </c>
      <c r="AW866">
        <v>43.997</v>
      </c>
      <c r="AX866">
        <v>5.9835500000000001</v>
      </c>
      <c r="AY866">
        <v>3.80254</v>
      </c>
      <c r="AZ866">
        <v>458.202</v>
      </c>
      <c r="BA866">
        <v>495.899</v>
      </c>
      <c r="BB866">
        <v>7395.42</v>
      </c>
      <c r="BC866">
        <v>0.30026599999999998</v>
      </c>
      <c r="BD866">
        <v>0.40987299999999999</v>
      </c>
      <c r="BE866">
        <v>0.84966299999999995</v>
      </c>
      <c r="BF866">
        <v>1.26851</v>
      </c>
      <c r="BG866">
        <v>4.1077000000000004</v>
      </c>
      <c r="BH866">
        <v>16.018000000000001</v>
      </c>
      <c r="BI866">
        <v>77.346299999999999</v>
      </c>
      <c r="BJ866">
        <v>24.9526</v>
      </c>
      <c r="BK866">
        <v>0</v>
      </c>
      <c r="BL866">
        <v>60.050899999999999</v>
      </c>
      <c r="BM866">
        <v>34.109200000000001</v>
      </c>
      <c r="BN866">
        <v>3.31488</v>
      </c>
      <c r="BO866">
        <v>1.5078499999999999</v>
      </c>
      <c r="BP866">
        <v>1.0172000000000001</v>
      </c>
      <c r="BQ866">
        <v>29.7393</v>
      </c>
      <c r="BR866">
        <v>33425</v>
      </c>
    </row>
    <row r="867" spans="1:70" x14ac:dyDescent="0.25">
      <c r="A867">
        <v>53</v>
      </c>
      <c r="B867" s="7">
        <v>45952.582812499997</v>
      </c>
      <c r="C867" t="s">
        <v>204</v>
      </c>
      <c r="D867" s="6" t="s">
        <v>420</v>
      </c>
      <c r="E867" s="6" t="str">
        <f>VLOOKUP(F867,Germplasm!$A$1:$B$21,2,FALSE)</f>
        <v>Thermus</v>
      </c>
      <c r="F867" t="s">
        <v>75</v>
      </c>
      <c r="G867" s="6" t="s">
        <v>113</v>
      </c>
      <c r="H867">
        <v>23252.1</v>
      </c>
      <c r="I867">
        <v>283.48899999999998</v>
      </c>
      <c r="J867">
        <v>94284.5</v>
      </c>
      <c r="K867">
        <v>13.7987</v>
      </c>
      <c r="L867">
        <v>70.184600000000003</v>
      </c>
      <c r="M867">
        <v>1202.19</v>
      </c>
      <c r="N867">
        <v>426.44600000000003</v>
      </c>
      <c r="O867">
        <v>7079170</v>
      </c>
      <c r="P867">
        <v>0.225692</v>
      </c>
      <c r="Q867">
        <v>0.54850600000000005</v>
      </c>
      <c r="R867">
        <v>3.9651100000000001</v>
      </c>
      <c r="S867">
        <v>19.0898</v>
      </c>
      <c r="T867">
        <v>48.773000000000003</v>
      </c>
      <c r="U867">
        <v>27.491399999999999</v>
      </c>
      <c r="V867">
        <v>0.13217000000000001</v>
      </c>
      <c r="W867">
        <v>114.435</v>
      </c>
      <c r="X867">
        <v>0.94721999999999995</v>
      </c>
      <c r="Y867">
        <v>2.35704</v>
      </c>
      <c r="Z867">
        <v>4.74932</v>
      </c>
      <c r="AA867">
        <v>19.166899999999998</v>
      </c>
      <c r="AB867">
        <v>38.540799999999997</v>
      </c>
      <c r="AC867">
        <v>34.238700000000001</v>
      </c>
      <c r="AD867">
        <v>1.7872399999999999</v>
      </c>
      <c r="AE867">
        <v>7.7278799999999999</v>
      </c>
      <c r="AF867">
        <v>0</v>
      </c>
      <c r="AG867">
        <v>99.953699999999998</v>
      </c>
      <c r="AH867">
        <v>3.3042599999999998E-2</v>
      </c>
      <c r="AI867">
        <v>1.3217E-2</v>
      </c>
      <c r="AJ867">
        <v>0</v>
      </c>
      <c r="AK867">
        <v>0</v>
      </c>
      <c r="AL867">
        <v>0.489867</v>
      </c>
      <c r="AM867">
        <v>0.51766699999999999</v>
      </c>
      <c r="AN867">
        <v>2.6610299999999998</v>
      </c>
      <c r="AO867">
        <v>6.7715199999999998</v>
      </c>
      <c r="AP867">
        <v>20.680199999999999</v>
      </c>
      <c r="AQ867">
        <v>49.4801</v>
      </c>
      <c r="AR867">
        <v>19.889399999999998</v>
      </c>
      <c r="AS867">
        <v>5.0728099999999998E-2</v>
      </c>
      <c r="AT867">
        <v>5.4784600000000001</v>
      </c>
      <c r="AU867">
        <v>34.298200000000001</v>
      </c>
      <c r="AV867">
        <v>43.426699999999997</v>
      </c>
      <c r="AW867">
        <v>13.2721</v>
      </c>
      <c r="AX867">
        <v>2.2931499999999998</v>
      </c>
      <c r="AY867">
        <v>1.23139</v>
      </c>
      <c r="AZ867">
        <v>304.45299999999997</v>
      </c>
      <c r="BA867">
        <v>339</v>
      </c>
      <c r="BB867">
        <v>13010</v>
      </c>
      <c r="BC867">
        <v>2.3337799999999999E-2</v>
      </c>
      <c r="BD867">
        <v>5.5070899999999999E-2</v>
      </c>
      <c r="BE867">
        <v>0.37668499999999999</v>
      </c>
      <c r="BF867">
        <v>3.0487299999999999</v>
      </c>
      <c r="BG867">
        <v>36.296199999999999</v>
      </c>
      <c r="BH867">
        <v>54.066400000000002</v>
      </c>
      <c r="BI867">
        <v>6.15693</v>
      </c>
      <c r="BJ867">
        <v>30.988199999999999</v>
      </c>
      <c r="BK867">
        <v>0</v>
      </c>
      <c r="BL867">
        <v>33.793700000000001</v>
      </c>
      <c r="BM867">
        <v>58.734200000000001</v>
      </c>
      <c r="BN867">
        <v>6.52921</v>
      </c>
      <c r="BO867">
        <v>0.69169099999999994</v>
      </c>
      <c r="BP867">
        <v>0.25112299999999999</v>
      </c>
      <c r="BQ867">
        <v>34.0349</v>
      </c>
      <c r="BR867">
        <v>45396</v>
      </c>
    </row>
    <row r="868" spans="1:70" x14ac:dyDescent="0.25">
      <c r="A868">
        <v>53</v>
      </c>
      <c r="B868" s="7">
        <v>45959.556030092594</v>
      </c>
      <c r="C868" t="s">
        <v>204</v>
      </c>
      <c r="D868" s="6" t="s">
        <v>421</v>
      </c>
      <c r="E868" s="6" t="str">
        <f>VLOOKUP(F868,Germplasm!$A$1:$B$21,2,FALSE)</f>
        <v>Thermus</v>
      </c>
      <c r="F868" t="s">
        <v>75</v>
      </c>
      <c r="G868" s="6" t="s">
        <v>113</v>
      </c>
      <c r="H868">
        <v>47505.3</v>
      </c>
      <c r="I868">
        <v>397.39100000000002</v>
      </c>
      <c r="J868">
        <v>216671</v>
      </c>
      <c r="K868">
        <v>12.267099999999999</v>
      </c>
      <c r="L868">
        <v>67.554400000000001</v>
      </c>
      <c r="M868">
        <v>1803.72</v>
      </c>
      <c r="N868">
        <v>684.90099999999995</v>
      </c>
      <c r="O868">
        <v>22579900</v>
      </c>
      <c r="P868">
        <v>0.21027899999999999</v>
      </c>
      <c r="Q868">
        <v>0.90319700000000003</v>
      </c>
      <c r="R868">
        <v>4.3937099999999996</v>
      </c>
      <c r="S868">
        <v>23.426600000000001</v>
      </c>
      <c r="T868">
        <v>48.0092</v>
      </c>
      <c r="U868">
        <v>22.608699999999999</v>
      </c>
      <c r="V868">
        <v>0.65864500000000004</v>
      </c>
      <c r="W868">
        <v>121.71899999999999</v>
      </c>
      <c r="X868">
        <v>1.2761899999999999</v>
      </c>
      <c r="Y868">
        <v>2.1547299999999998</v>
      </c>
      <c r="Z868">
        <v>3.36104</v>
      </c>
      <c r="AA868">
        <v>13.517099999999999</v>
      </c>
      <c r="AB868">
        <v>33.608400000000003</v>
      </c>
      <c r="AC868">
        <v>46.082599999999999</v>
      </c>
      <c r="AD868">
        <v>1.78731</v>
      </c>
      <c r="AE868">
        <v>6.7802199999999999</v>
      </c>
      <c r="AF868">
        <v>0</v>
      </c>
      <c r="AG868">
        <v>99.818100000000001</v>
      </c>
      <c r="AH868">
        <v>0.171597</v>
      </c>
      <c r="AI868">
        <v>1.0275299999999999E-2</v>
      </c>
      <c r="AJ868">
        <v>0</v>
      </c>
      <c r="AK868">
        <v>0</v>
      </c>
      <c r="AL868">
        <v>0.49915999999999999</v>
      </c>
      <c r="AM868">
        <v>0.84154499999999999</v>
      </c>
      <c r="AN868">
        <v>3.4494099999999999</v>
      </c>
      <c r="AO868">
        <v>6.7426399999999997</v>
      </c>
      <c r="AP868">
        <v>18.927099999999999</v>
      </c>
      <c r="AQ868">
        <v>43.582599999999999</v>
      </c>
      <c r="AR868">
        <v>26.456800000000001</v>
      </c>
      <c r="AS868">
        <v>1.45583E-2</v>
      </c>
      <c r="AT868">
        <v>7.6735699999999998</v>
      </c>
      <c r="AU868">
        <v>43.689399999999999</v>
      </c>
      <c r="AV868">
        <v>36.775199999999998</v>
      </c>
      <c r="AW868">
        <v>8.2130299999999998</v>
      </c>
      <c r="AX868">
        <v>1.8865400000000001</v>
      </c>
      <c r="AY868">
        <v>1.7622100000000001</v>
      </c>
      <c r="AZ868">
        <v>475.31299999999999</v>
      </c>
      <c r="BA868">
        <v>535.79899999999998</v>
      </c>
      <c r="BB868">
        <v>26579.200000000001</v>
      </c>
      <c r="BC868">
        <v>-9.0616100000000005E-4</v>
      </c>
      <c r="BD868">
        <v>6.5761799999999995E-2</v>
      </c>
      <c r="BE868">
        <v>0.45313999999999999</v>
      </c>
      <c r="BF868">
        <v>3.6323099999999999</v>
      </c>
      <c r="BG868">
        <v>47.210799999999999</v>
      </c>
      <c r="BH868">
        <v>43.801400000000001</v>
      </c>
      <c r="BI868">
        <v>4.83657</v>
      </c>
      <c r="BJ868">
        <v>29.7728</v>
      </c>
      <c r="BK868">
        <v>0</v>
      </c>
      <c r="BL868">
        <v>41.223399999999998</v>
      </c>
      <c r="BM868">
        <v>50.911900000000003</v>
      </c>
      <c r="BN868">
        <v>5.8692399999999996</v>
      </c>
      <c r="BO868">
        <v>1.04911</v>
      </c>
      <c r="BP868">
        <v>0.946353</v>
      </c>
      <c r="BQ868">
        <v>34.058900000000001</v>
      </c>
      <c r="BR868">
        <v>97321</v>
      </c>
    </row>
    <row r="869" spans="1:70" x14ac:dyDescent="0.25">
      <c r="A869">
        <v>53</v>
      </c>
      <c r="B869" s="7">
        <v>45966.524942129632</v>
      </c>
      <c r="C869" t="s">
        <v>204</v>
      </c>
      <c r="D869" s="6" t="s">
        <v>422</v>
      </c>
      <c r="E869" s="6" t="str">
        <f>VLOOKUP(F869,Germplasm!$A$1:$B$21,2,FALSE)</f>
        <v>Thermus</v>
      </c>
      <c r="F869" t="s">
        <v>75</v>
      </c>
      <c r="G869" s="6" t="s">
        <v>113</v>
      </c>
      <c r="H869">
        <v>76711</v>
      </c>
      <c r="I869">
        <v>495.65499999999997</v>
      </c>
      <c r="J869">
        <v>227718</v>
      </c>
      <c r="K869">
        <v>19.517199999999999</v>
      </c>
      <c r="L869">
        <v>68.421300000000002</v>
      </c>
      <c r="M869">
        <v>1816.98</v>
      </c>
      <c r="N869">
        <v>659.21500000000003</v>
      </c>
      <c r="O869">
        <v>45594200</v>
      </c>
      <c r="P869">
        <v>0.23959</v>
      </c>
      <c r="Q869">
        <v>0.57916199999999995</v>
      </c>
      <c r="R869">
        <v>3.9317600000000001</v>
      </c>
      <c r="S869">
        <v>18.8537</v>
      </c>
      <c r="T869">
        <v>42.943399999999997</v>
      </c>
      <c r="U869">
        <v>33.0989</v>
      </c>
      <c r="V869">
        <v>0.59309599999999996</v>
      </c>
      <c r="W869">
        <v>116.938</v>
      </c>
      <c r="X869">
        <v>1.2528300000000001</v>
      </c>
      <c r="Y869">
        <v>2.23062</v>
      </c>
      <c r="Z869">
        <v>3.42469</v>
      </c>
      <c r="AA869">
        <v>14.8104</v>
      </c>
      <c r="AB869">
        <v>41.007800000000003</v>
      </c>
      <c r="AC869">
        <v>37.273600000000002</v>
      </c>
      <c r="AD869">
        <v>1.72601</v>
      </c>
      <c r="AE869">
        <v>6.4511700000000003</v>
      </c>
      <c r="AF869">
        <v>0</v>
      </c>
      <c r="AG869">
        <v>99.834000000000003</v>
      </c>
      <c r="AH869">
        <v>0.16357099999999999</v>
      </c>
      <c r="AI869">
        <v>2.4232699999999999E-3</v>
      </c>
      <c r="AJ869">
        <v>0</v>
      </c>
      <c r="AK869">
        <v>0</v>
      </c>
      <c r="AL869">
        <v>0.52238700000000005</v>
      </c>
      <c r="AM869">
        <v>0.66882299999999995</v>
      </c>
      <c r="AN869">
        <v>2.93519</v>
      </c>
      <c r="AO869">
        <v>6.1333000000000002</v>
      </c>
      <c r="AP869">
        <v>15.1515</v>
      </c>
      <c r="AQ869">
        <v>40.003999999999998</v>
      </c>
      <c r="AR869">
        <v>35.107199999999999</v>
      </c>
      <c r="AS869">
        <v>4.00364E-2</v>
      </c>
      <c r="AT869">
        <v>5.4329799999999997</v>
      </c>
      <c r="AU869">
        <v>38.106000000000002</v>
      </c>
      <c r="AV869">
        <v>41.8202</v>
      </c>
      <c r="AW869">
        <v>10.9823</v>
      </c>
      <c r="AX869">
        <v>2.2906</v>
      </c>
      <c r="AY869">
        <v>1.3679399999999999</v>
      </c>
      <c r="AZ869">
        <v>594.36300000000006</v>
      </c>
      <c r="BA869">
        <v>675.59900000000005</v>
      </c>
      <c r="BB869">
        <v>44444.1</v>
      </c>
      <c r="BC869">
        <v>1.4608100000000001E-2</v>
      </c>
      <c r="BD869">
        <v>3.5743299999999999E-2</v>
      </c>
      <c r="BE869">
        <v>0.325324</v>
      </c>
      <c r="BF869">
        <v>2.4590200000000002</v>
      </c>
      <c r="BG869">
        <v>40.717700000000001</v>
      </c>
      <c r="BH869">
        <v>51.533900000000003</v>
      </c>
      <c r="BI869">
        <v>4.9283299999999999</v>
      </c>
      <c r="BJ869">
        <v>31.964500000000001</v>
      </c>
      <c r="BK869">
        <v>0</v>
      </c>
      <c r="BL869">
        <v>32.671199999999999</v>
      </c>
      <c r="BM869">
        <v>57.7684</v>
      </c>
      <c r="BN869">
        <v>8.1076700000000006</v>
      </c>
      <c r="BO869">
        <v>0.91054500000000005</v>
      </c>
      <c r="BP869">
        <v>0.54220699999999999</v>
      </c>
      <c r="BQ869">
        <v>35.458100000000002</v>
      </c>
      <c r="BR869">
        <v>165066</v>
      </c>
    </row>
    <row r="870" spans="1:70" x14ac:dyDescent="0.25">
      <c r="A870">
        <v>53</v>
      </c>
      <c r="B870" s="7">
        <v>45973.579606481479</v>
      </c>
      <c r="C870" t="s">
        <v>204</v>
      </c>
      <c r="D870" s="6" t="s">
        <v>423</v>
      </c>
      <c r="E870" s="6" t="str">
        <f>VLOOKUP(F870,Germplasm!$A$1:$B$21,2,FALSE)</f>
        <v>Thermus</v>
      </c>
      <c r="F870" t="s">
        <v>75</v>
      </c>
      <c r="G870" s="6" t="s">
        <v>113</v>
      </c>
      <c r="H870">
        <v>50393.8</v>
      </c>
      <c r="I870">
        <v>562.60699999999997</v>
      </c>
      <c r="J870">
        <v>216365</v>
      </c>
      <c r="K870">
        <v>14.977499999999999</v>
      </c>
      <c r="L870">
        <v>65.427199999999999</v>
      </c>
      <c r="M870">
        <v>1784.19</v>
      </c>
      <c r="N870">
        <v>656.04</v>
      </c>
      <c r="O870">
        <v>32797300</v>
      </c>
      <c r="P870">
        <v>0.24110200000000001</v>
      </c>
      <c r="Q870">
        <v>0.87215299999999996</v>
      </c>
      <c r="R870">
        <v>4.0343299999999997</v>
      </c>
      <c r="S870">
        <v>17.118300000000001</v>
      </c>
      <c r="T870">
        <v>44.6051</v>
      </c>
      <c r="U870">
        <v>32.365299999999998</v>
      </c>
      <c r="V870">
        <v>1.0048699999999999</v>
      </c>
      <c r="W870">
        <v>110.794</v>
      </c>
      <c r="X870">
        <v>1.2892699999999999</v>
      </c>
      <c r="Y870">
        <v>2.8950900000000002</v>
      </c>
      <c r="Z870">
        <v>5.1570799999999997</v>
      </c>
      <c r="AA870">
        <v>20.843499999999999</v>
      </c>
      <c r="AB870">
        <v>39.668900000000001</v>
      </c>
      <c r="AC870">
        <v>30.1462</v>
      </c>
      <c r="AD870">
        <v>1.55507</v>
      </c>
      <c r="AE870">
        <v>6.52759</v>
      </c>
      <c r="AF870">
        <v>0</v>
      </c>
      <c r="AG870">
        <v>99.914299999999997</v>
      </c>
      <c r="AH870">
        <v>7.9136799999999993E-2</v>
      </c>
      <c r="AI870">
        <v>5.7703900000000002E-3</v>
      </c>
      <c r="AJ870">
        <v>8.2434100000000003E-4</v>
      </c>
      <c r="AK870">
        <v>0</v>
      </c>
      <c r="AL870">
        <v>0.50598799999999999</v>
      </c>
      <c r="AM870">
        <v>0.69162199999999996</v>
      </c>
      <c r="AN870">
        <v>3.4605800000000002</v>
      </c>
      <c r="AO870">
        <v>6.43316</v>
      </c>
      <c r="AP870">
        <v>17.653300000000002</v>
      </c>
      <c r="AQ870">
        <v>43.587000000000003</v>
      </c>
      <c r="AR870">
        <v>28.174299999999999</v>
      </c>
      <c r="AS870">
        <v>7.6369800000000002E-2</v>
      </c>
      <c r="AT870">
        <v>4.9963300000000004</v>
      </c>
      <c r="AU870">
        <v>30.136299999999999</v>
      </c>
      <c r="AV870">
        <v>43.750300000000003</v>
      </c>
      <c r="AW870">
        <v>15.107699999999999</v>
      </c>
      <c r="AX870">
        <v>3.8645100000000001</v>
      </c>
      <c r="AY870">
        <v>2.1449400000000001</v>
      </c>
      <c r="AZ870">
        <v>650.82000000000005</v>
      </c>
      <c r="BA870">
        <v>707.4</v>
      </c>
      <c r="BB870">
        <v>32406.1</v>
      </c>
      <c r="BC870">
        <v>3.94621E-2</v>
      </c>
      <c r="BD870">
        <v>4.4514400000000003E-2</v>
      </c>
      <c r="BE870">
        <v>0.34375</v>
      </c>
      <c r="BF870">
        <v>2.11361</v>
      </c>
      <c r="BG870">
        <v>32.627400000000002</v>
      </c>
      <c r="BH870">
        <v>56.957900000000002</v>
      </c>
      <c r="BI870">
        <v>7.9128499999999997</v>
      </c>
      <c r="BJ870">
        <v>33.663200000000003</v>
      </c>
      <c r="BK870">
        <v>0</v>
      </c>
      <c r="BL870">
        <v>29.8172</v>
      </c>
      <c r="BM870">
        <v>58.158900000000003</v>
      </c>
      <c r="BN870">
        <v>9.6151199999999992</v>
      </c>
      <c r="BO870">
        <v>1.51349</v>
      </c>
      <c r="BP870">
        <v>0.89523399999999997</v>
      </c>
      <c r="BQ870">
        <v>40.073700000000002</v>
      </c>
      <c r="BR870">
        <v>121309</v>
      </c>
    </row>
    <row r="871" spans="1:70" x14ac:dyDescent="0.25">
      <c r="A871">
        <v>53</v>
      </c>
      <c r="B871" s="7">
        <v>45988.59747685185</v>
      </c>
      <c r="C871" t="s">
        <v>204</v>
      </c>
      <c r="D871" s="6" t="s">
        <v>424</v>
      </c>
      <c r="E871" s="6" t="str">
        <f>VLOOKUP(F871,Germplasm!$A$1:$B$21,2,FALSE)</f>
        <v>Thermus</v>
      </c>
      <c r="F871" t="s">
        <v>75</v>
      </c>
      <c r="G871" s="6" t="s">
        <v>113</v>
      </c>
      <c r="H871">
        <v>72305.899999999994</v>
      </c>
      <c r="I871">
        <v>560.26800000000003</v>
      </c>
      <c r="J871">
        <v>230331</v>
      </c>
      <c r="K871">
        <v>17.108899999999998</v>
      </c>
      <c r="L871">
        <v>73.883399999999995</v>
      </c>
      <c r="M871">
        <v>1809.38</v>
      </c>
      <c r="N871">
        <v>657.67600000000004</v>
      </c>
      <c r="O871">
        <v>52523500</v>
      </c>
      <c r="P871">
        <v>0.179538</v>
      </c>
      <c r="Q871">
        <v>0.80634600000000001</v>
      </c>
      <c r="R871">
        <v>8.5716000000000001</v>
      </c>
      <c r="S871">
        <v>28.846699999999998</v>
      </c>
      <c r="T871">
        <v>44.331400000000002</v>
      </c>
      <c r="U871">
        <v>17.043099999999999</v>
      </c>
      <c r="V871">
        <v>0.40088400000000002</v>
      </c>
      <c r="W871">
        <v>85.434100000000001</v>
      </c>
      <c r="X871">
        <v>4.3286300000000004</v>
      </c>
      <c r="Y871">
        <v>12.8329</v>
      </c>
      <c r="Z871">
        <v>12.0677</v>
      </c>
      <c r="AA871">
        <v>35.9056</v>
      </c>
      <c r="AB871">
        <v>23.471699999999998</v>
      </c>
      <c r="AC871">
        <v>11.3935</v>
      </c>
      <c r="AD871">
        <v>1.83484</v>
      </c>
      <c r="AE871">
        <v>9.2716399999999997</v>
      </c>
      <c r="AF871">
        <v>0</v>
      </c>
      <c r="AG871">
        <v>98.166300000000007</v>
      </c>
      <c r="AH871">
        <v>1.8298099999999999</v>
      </c>
      <c r="AI871">
        <v>3.9238299999999997E-3</v>
      </c>
      <c r="AJ871">
        <v>0</v>
      </c>
      <c r="AK871">
        <v>0</v>
      </c>
      <c r="AL871">
        <v>0.34429599999999999</v>
      </c>
      <c r="AM871">
        <v>3.25874</v>
      </c>
      <c r="AN871">
        <v>15.200200000000001</v>
      </c>
      <c r="AO871">
        <v>18.412600000000001</v>
      </c>
      <c r="AP871">
        <v>30.919699999999999</v>
      </c>
      <c r="AQ871">
        <v>26.850100000000001</v>
      </c>
      <c r="AR871">
        <v>5.3586400000000003</v>
      </c>
      <c r="AS871">
        <v>0.19595499999999999</v>
      </c>
      <c r="AT871">
        <v>1.04962</v>
      </c>
      <c r="AU871">
        <v>11.0966</v>
      </c>
      <c r="AV871">
        <v>40.693300000000001</v>
      </c>
      <c r="AW871">
        <v>35.373899999999999</v>
      </c>
      <c r="AX871">
        <v>9.6310300000000009</v>
      </c>
      <c r="AY871">
        <v>2.1554899999999999</v>
      </c>
      <c r="AZ871">
        <v>726.40599999999995</v>
      </c>
      <c r="BA871">
        <v>774</v>
      </c>
      <c r="BB871">
        <v>39407.1</v>
      </c>
      <c r="BC871">
        <v>0.163023</v>
      </c>
      <c r="BD871">
        <v>2.6812800000000001E-2</v>
      </c>
      <c r="BE871">
        <v>0.162185</v>
      </c>
      <c r="BF871">
        <v>0.83054300000000003</v>
      </c>
      <c r="BG871">
        <v>11.125999999999999</v>
      </c>
      <c r="BH871">
        <v>54.9983</v>
      </c>
      <c r="BI871">
        <v>32.856200000000001</v>
      </c>
      <c r="BJ871">
        <v>32.8553</v>
      </c>
      <c r="BK871">
        <v>0</v>
      </c>
      <c r="BL871">
        <v>30.7517</v>
      </c>
      <c r="BM871">
        <v>59.256300000000003</v>
      </c>
      <c r="BN871">
        <v>8.3256999999999994</v>
      </c>
      <c r="BO871">
        <v>0.94956600000000002</v>
      </c>
      <c r="BP871">
        <v>0.71675199999999994</v>
      </c>
      <c r="BQ871">
        <v>33.069899999999997</v>
      </c>
      <c r="BR871">
        <v>152912</v>
      </c>
    </row>
    <row r="872" spans="1:70" x14ac:dyDescent="0.25">
      <c r="A872">
        <v>53</v>
      </c>
      <c r="B872" s="7">
        <v>45994.54310185185</v>
      </c>
      <c r="C872" t="s">
        <v>204</v>
      </c>
      <c r="D872" s="6" t="s">
        <v>425</v>
      </c>
      <c r="E872" s="6" t="str">
        <f>VLOOKUP(F872,Germplasm!$A$1:$B$21,2,FALSE)</f>
        <v>Thermus</v>
      </c>
      <c r="F872" t="s">
        <v>75</v>
      </c>
      <c r="G872" s="6" t="s">
        <v>113</v>
      </c>
      <c r="H872">
        <v>53086.3</v>
      </c>
      <c r="I872">
        <v>644.53499999999997</v>
      </c>
      <c r="J872">
        <v>209174</v>
      </c>
      <c r="K872">
        <v>14.349500000000001</v>
      </c>
      <c r="L872">
        <v>89.516000000000005</v>
      </c>
      <c r="M872">
        <v>1834.77</v>
      </c>
      <c r="N872">
        <v>610.01</v>
      </c>
      <c r="O872">
        <v>38618700</v>
      </c>
      <c r="P872">
        <v>0.13280800000000001</v>
      </c>
      <c r="Q872">
        <v>0.75273199999999996</v>
      </c>
      <c r="R872">
        <v>14.420299999999999</v>
      </c>
      <c r="S872">
        <v>40.220700000000001</v>
      </c>
      <c r="T872">
        <v>34.953299999999999</v>
      </c>
      <c r="U872">
        <v>9.2962000000000007</v>
      </c>
      <c r="V872">
        <v>0.35677700000000001</v>
      </c>
      <c r="W872">
        <v>67.516400000000004</v>
      </c>
      <c r="X872">
        <v>7.6398599999999997</v>
      </c>
      <c r="Y872">
        <v>26.470700000000001</v>
      </c>
      <c r="Z872">
        <v>17.863800000000001</v>
      </c>
      <c r="AA872">
        <v>28.500499999999999</v>
      </c>
      <c r="AB872">
        <v>12.204599999999999</v>
      </c>
      <c r="AC872">
        <v>7.3205900000000002</v>
      </c>
      <c r="AD872">
        <v>1.76864</v>
      </c>
      <c r="AE872">
        <v>11.0364</v>
      </c>
      <c r="AF872">
        <v>0</v>
      </c>
      <c r="AG872">
        <v>96.138800000000003</v>
      </c>
      <c r="AH872">
        <v>3.8545199999999999</v>
      </c>
      <c r="AI872">
        <v>6.6687200000000004E-3</v>
      </c>
      <c r="AJ872">
        <v>0</v>
      </c>
      <c r="AK872">
        <v>0</v>
      </c>
      <c r="AL872">
        <v>0.25855099999999998</v>
      </c>
      <c r="AM872">
        <v>5.6267300000000002</v>
      </c>
      <c r="AN872">
        <v>28.4788</v>
      </c>
      <c r="AO872">
        <v>24.394200000000001</v>
      </c>
      <c r="AP872">
        <v>24.0974</v>
      </c>
      <c r="AQ872">
        <v>13.9368</v>
      </c>
      <c r="AR872">
        <v>3.4660700000000002</v>
      </c>
      <c r="AS872">
        <v>0.25584299999999999</v>
      </c>
      <c r="AT872">
        <v>0.59518300000000002</v>
      </c>
      <c r="AU872">
        <v>6.0827099999999996</v>
      </c>
      <c r="AV872">
        <v>30.7987</v>
      </c>
      <c r="AW872">
        <v>43.049900000000001</v>
      </c>
      <c r="AX872">
        <v>16.661799999999999</v>
      </c>
      <c r="AY872">
        <v>2.8117000000000001</v>
      </c>
      <c r="AZ872">
        <v>727.471</v>
      </c>
      <c r="BA872">
        <v>779.399</v>
      </c>
      <c r="BB872">
        <v>30015.4</v>
      </c>
      <c r="BC872">
        <v>0.24828600000000001</v>
      </c>
      <c r="BD872">
        <v>1.50046E-2</v>
      </c>
      <c r="BE872">
        <v>0.14421100000000001</v>
      </c>
      <c r="BF872">
        <v>0.606854</v>
      </c>
      <c r="BG872">
        <v>5.9118199999999996</v>
      </c>
      <c r="BH872">
        <v>39.505499999999998</v>
      </c>
      <c r="BI872">
        <v>53.816600000000001</v>
      </c>
      <c r="BJ872">
        <v>33.679600000000001</v>
      </c>
      <c r="BK872">
        <v>0</v>
      </c>
      <c r="BL872">
        <v>28.109500000000001</v>
      </c>
      <c r="BM872">
        <v>60.681199999999997</v>
      </c>
      <c r="BN872">
        <v>9.6604799999999997</v>
      </c>
      <c r="BO872">
        <v>1.05366</v>
      </c>
      <c r="BP872">
        <v>0.49515300000000001</v>
      </c>
      <c r="BQ872">
        <v>34.4724</v>
      </c>
      <c r="BR872">
        <v>119963</v>
      </c>
    </row>
    <row r="873" spans="1:70" x14ac:dyDescent="0.25">
      <c r="A873">
        <v>53</v>
      </c>
      <c r="B873" s="7">
        <v>46002.549247685187</v>
      </c>
      <c r="C873" t="s">
        <v>204</v>
      </c>
      <c r="D873" s="6" t="s">
        <v>426</v>
      </c>
      <c r="E873" s="6" t="str">
        <f>VLOOKUP(F873,Germplasm!$A$1:$B$21,2,FALSE)</f>
        <v>Thermus</v>
      </c>
      <c r="F873" t="s">
        <v>75</v>
      </c>
      <c r="G873" s="6" t="s">
        <v>113</v>
      </c>
      <c r="H873">
        <v>0</v>
      </c>
      <c r="J873">
        <v>0</v>
      </c>
      <c r="M873">
        <v>0</v>
      </c>
      <c r="N873">
        <v>0</v>
      </c>
      <c r="O873">
        <v>0</v>
      </c>
      <c r="AZ873">
        <v>0</v>
      </c>
      <c r="BA873">
        <v>0</v>
      </c>
      <c r="BB873">
        <v>0</v>
      </c>
      <c r="BR873">
        <v>0</v>
      </c>
    </row>
    <row r="874" spans="1:70" x14ac:dyDescent="0.25">
      <c r="A874">
        <v>53</v>
      </c>
      <c r="B874" s="7">
        <v>46002.551516203705</v>
      </c>
      <c r="C874" t="s">
        <v>204</v>
      </c>
      <c r="D874" s="6" t="s">
        <v>427</v>
      </c>
      <c r="E874" s="6" t="str">
        <f>VLOOKUP(F874,Germplasm!$A$1:$B$21,2,FALSE)</f>
        <v>Thermus</v>
      </c>
      <c r="F874" t="s">
        <v>75</v>
      </c>
      <c r="G874" s="6" t="s">
        <v>113</v>
      </c>
      <c r="H874">
        <v>51015.8</v>
      </c>
      <c r="I874">
        <v>592.04</v>
      </c>
      <c r="J874">
        <v>169803</v>
      </c>
      <c r="K874">
        <v>16.049499999999998</v>
      </c>
      <c r="L874">
        <v>57.463500000000003</v>
      </c>
      <c r="M874">
        <v>1580.94</v>
      </c>
      <c r="N874">
        <v>634.37900000000002</v>
      </c>
      <c r="O874">
        <v>37124900</v>
      </c>
      <c r="P874">
        <v>8.1592200000000004E-2</v>
      </c>
      <c r="Q874">
        <v>1.1000099999999999</v>
      </c>
      <c r="R874">
        <v>23.074100000000001</v>
      </c>
      <c r="S874">
        <v>50.422699999999999</v>
      </c>
      <c r="T874">
        <v>19.492599999999999</v>
      </c>
      <c r="U874">
        <v>5.6180700000000003</v>
      </c>
      <c r="V874">
        <v>0.29249399999999998</v>
      </c>
      <c r="W874">
        <v>54.889200000000002</v>
      </c>
      <c r="X874">
        <v>12.277200000000001</v>
      </c>
      <c r="Y874">
        <v>38.751600000000003</v>
      </c>
      <c r="Z874">
        <v>14.7545</v>
      </c>
      <c r="AA874">
        <v>17.9938</v>
      </c>
      <c r="AB874">
        <v>8.4494500000000006</v>
      </c>
      <c r="AC874">
        <v>7.7734199999999998</v>
      </c>
      <c r="AD874">
        <v>1.8719699999999999</v>
      </c>
      <c r="AE874">
        <v>11.771000000000001</v>
      </c>
      <c r="AF874">
        <v>0</v>
      </c>
      <c r="AG874">
        <v>93.557500000000005</v>
      </c>
      <c r="AH874">
        <v>6.3969300000000002</v>
      </c>
      <c r="AI874">
        <v>4.1303199999999998E-2</v>
      </c>
      <c r="AJ874">
        <v>4.2146099999999997E-3</v>
      </c>
      <c r="AK874">
        <v>0</v>
      </c>
      <c r="AL874">
        <v>0.20557900000000001</v>
      </c>
      <c r="AM874">
        <v>7.7102000000000004</v>
      </c>
      <c r="AN874">
        <v>38.286299999999997</v>
      </c>
      <c r="AO874">
        <v>27.459900000000001</v>
      </c>
      <c r="AP874">
        <v>15.644600000000001</v>
      </c>
      <c r="AQ874">
        <v>6.6725700000000003</v>
      </c>
      <c r="AR874">
        <v>4.2264099999999996</v>
      </c>
      <c r="AS874">
        <v>0.263934</v>
      </c>
      <c r="AT874">
        <v>0.71479700000000002</v>
      </c>
      <c r="AU874">
        <v>5.6323999999999996</v>
      </c>
      <c r="AV874">
        <v>29.0825</v>
      </c>
      <c r="AW874">
        <v>44.575400000000002</v>
      </c>
      <c r="AX874">
        <v>16.5474</v>
      </c>
      <c r="AY874">
        <v>3.4475500000000001</v>
      </c>
      <c r="AZ874">
        <v>727.71500000000003</v>
      </c>
      <c r="BA874">
        <v>766.19899999999996</v>
      </c>
      <c r="BB874">
        <v>27252.5</v>
      </c>
      <c r="BC874">
        <v>0.27567199999999997</v>
      </c>
      <c r="BD874">
        <v>6.1533299999999999E-2</v>
      </c>
      <c r="BE874">
        <v>0.187972</v>
      </c>
      <c r="BF874">
        <v>0.70215399999999994</v>
      </c>
      <c r="BG874">
        <v>5.3955399999999996</v>
      </c>
      <c r="BH874">
        <v>31.136700000000001</v>
      </c>
      <c r="BI874">
        <v>62.516100000000002</v>
      </c>
      <c r="BJ874">
        <v>31.9939</v>
      </c>
      <c r="BK874">
        <v>0</v>
      </c>
      <c r="BL874">
        <v>34.2943</v>
      </c>
      <c r="BM874">
        <v>55.4803</v>
      </c>
      <c r="BN874">
        <v>8.1502099999999995</v>
      </c>
      <c r="BO874">
        <v>1.37818</v>
      </c>
      <c r="BP874">
        <v>0.69709600000000005</v>
      </c>
      <c r="BQ874">
        <v>32.325800000000001</v>
      </c>
      <c r="BR874">
        <v>118635</v>
      </c>
    </row>
    <row r="875" spans="1:70" x14ac:dyDescent="0.25">
      <c r="A875">
        <v>53</v>
      </c>
      <c r="B875" s="7">
        <v>46013.57503472222</v>
      </c>
      <c r="C875" t="s">
        <v>204</v>
      </c>
      <c r="D875" s="6" t="s">
        <v>428</v>
      </c>
      <c r="E875" s="6" t="str">
        <f>VLOOKUP(F875,Germplasm!$A$1:$B$21,2,FALSE)</f>
        <v>Thermus</v>
      </c>
      <c r="F875" t="s">
        <v>75</v>
      </c>
      <c r="G875" s="6" t="s">
        <v>113</v>
      </c>
      <c r="H875">
        <v>40657.199999999997</v>
      </c>
      <c r="I875">
        <v>582.41800000000001</v>
      </c>
      <c r="J875">
        <v>149585</v>
      </c>
      <c r="K875">
        <v>13.966799999999999</v>
      </c>
      <c r="L875">
        <v>58.023899999999998</v>
      </c>
      <c r="M875">
        <v>1503.1</v>
      </c>
      <c r="N875">
        <v>582.34799999999996</v>
      </c>
      <c r="O875">
        <v>28922400</v>
      </c>
      <c r="P875">
        <v>5.0108800000000002E-2</v>
      </c>
      <c r="Q875">
        <v>1.0448299999999999</v>
      </c>
      <c r="R875">
        <v>26.607500000000002</v>
      </c>
      <c r="S875">
        <v>59.375599999999999</v>
      </c>
      <c r="T875">
        <v>10.2087</v>
      </c>
      <c r="U875">
        <v>2.6068199999999999</v>
      </c>
      <c r="V875">
        <v>0.15662000000000001</v>
      </c>
      <c r="W875">
        <v>46.055399999999999</v>
      </c>
      <c r="X875">
        <v>13.4031</v>
      </c>
      <c r="Y875">
        <v>49.773499999999999</v>
      </c>
      <c r="Z875">
        <v>14.982900000000001</v>
      </c>
      <c r="AA875">
        <v>10.669</v>
      </c>
      <c r="AB875">
        <v>4.3874500000000003</v>
      </c>
      <c r="AC875">
        <v>6.7840400000000001</v>
      </c>
      <c r="AD875">
        <v>1.94604</v>
      </c>
      <c r="AE875">
        <v>13.1883</v>
      </c>
      <c r="AF875">
        <v>0</v>
      </c>
      <c r="AG875">
        <v>91.295500000000004</v>
      </c>
      <c r="AH875">
        <v>8.6960599999999992</v>
      </c>
      <c r="AI875">
        <v>7.3579700000000001E-3</v>
      </c>
      <c r="AJ875">
        <v>1.0511400000000001E-3</v>
      </c>
      <c r="AK875">
        <v>0</v>
      </c>
      <c r="AL875">
        <v>0.154087</v>
      </c>
      <c r="AM875">
        <v>10.7605</v>
      </c>
      <c r="AN875">
        <v>47.925600000000003</v>
      </c>
      <c r="AO875">
        <v>25.453299999999999</v>
      </c>
      <c r="AP875">
        <v>9.9174900000000008</v>
      </c>
      <c r="AQ875">
        <v>4.0048399999999997</v>
      </c>
      <c r="AR875">
        <v>1.9382999999999999</v>
      </c>
      <c r="AS875">
        <v>0.26477699999999998</v>
      </c>
      <c r="AT875">
        <v>0.69164899999999996</v>
      </c>
      <c r="AU875">
        <v>4.4189800000000004</v>
      </c>
      <c r="AV875">
        <v>26.398299999999999</v>
      </c>
      <c r="AW875">
        <v>52.121699999999997</v>
      </c>
      <c r="AX875">
        <v>13.7668</v>
      </c>
      <c r="AY875">
        <v>2.6026199999999999</v>
      </c>
      <c r="AZ875">
        <v>711.37300000000005</v>
      </c>
      <c r="BA875">
        <v>754.79899999999998</v>
      </c>
      <c r="BB875">
        <v>20892.3</v>
      </c>
      <c r="BC875">
        <v>0.303066</v>
      </c>
      <c r="BD875">
        <v>0.11562500000000001</v>
      </c>
      <c r="BE875">
        <v>0.22073899999999999</v>
      </c>
      <c r="BF875">
        <v>0.65590999999999999</v>
      </c>
      <c r="BG875">
        <v>4.1151999999999997</v>
      </c>
      <c r="BH875">
        <v>21.840499999999999</v>
      </c>
      <c r="BI875">
        <v>73.052000000000007</v>
      </c>
      <c r="BJ875">
        <v>29.994399999999999</v>
      </c>
      <c r="BK875">
        <v>0</v>
      </c>
      <c r="BL875">
        <v>38.308700000000002</v>
      </c>
      <c r="BM875">
        <v>54.558300000000003</v>
      </c>
      <c r="BN875">
        <v>5.6803499999999998</v>
      </c>
      <c r="BO875">
        <v>0.938666</v>
      </c>
      <c r="BP875">
        <v>0.51400599999999996</v>
      </c>
      <c r="BQ875">
        <v>30.948399999999999</v>
      </c>
      <c r="BR875">
        <v>95135</v>
      </c>
    </row>
    <row r="876" spans="1:70" x14ac:dyDescent="0.25">
      <c r="A876">
        <v>53</v>
      </c>
      <c r="B876" s="7">
        <v>46013.57534722222</v>
      </c>
      <c r="C876" t="s">
        <v>204</v>
      </c>
      <c r="D876" s="6" t="s">
        <v>429</v>
      </c>
      <c r="E876" s="6" t="str">
        <f>VLOOKUP(F876,Germplasm!$A$1:$B$21,2,FALSE)</f>
        <v>Thermus</v>
      </c>
      <c r="F876" t="s">
        <v>75</v>
      </c>
      <c r="G876" s="6" t="s">
        <v>113</v>
      </c>
      <c r="H876">
        <v>0</v>
      </c>
      <c r="J876">
        <v>0</v>
      </c>
      <c r="M876">
        <v>0</v>
      </c>
      <c r="N876">
        <v>0</v>
      </c>
      <c r="O876">
        <v>0</v>
      </c>
      <c r="AZ876">
        <v>0</v>
      </c>
      <c r="BA876">
        <v>0</v>
      </c>
      <c r="BB876">
        <v>0</v>
      </c>
      <c r="BR876">
        <v>0</v>
      </c>
    </row>
    <row r="877" spans="1:70" x14ac:dyDescent="0.25">
      <c r="A877">
        <v>53</v>
      </c>
      <c r="B877" s="7">
        <v>46013.575879629629</v>
      </c>
      <c r="C877" t="s">
        <v>204</v>
      </c>
      <c r="D877" s="6" t="s">
        <v>430</v>
      </c>
      <c r="E877" s="6" t="str">
        <f>VLOOKUP(F877,Germplasm!$A$1:$B$21,2,FALSE)</f>
        <v>Thermus</v>
      </c>
      <c r="F877" t="s">
        <v>75</v>
      </c>
      <c r="G877" s="6" t="s">
        <v>113</v>
      </c>
      <c r="H877">
        <v>43439.4</v>
      </c>
      <c r="I877">
        <v>559.53800000000001</v>
      </c>
      <c r="J877">
        <v>156759</v>
      </c>
      <c r="K877">
        <v>14.4915</v>
      </c>
      <c r="L877">
        <v>85.360900000000001</v>
      </c>
      <c r="M877">
        <v>1535.79</v>
      </c>
      <c r="N877">
        <v>527.37699999999995</v>
      </c>
      <c r="O877">
        <v>30629600</v>
      </c>
      <c r="P877">
        <v>5.3519499999999998E-2</v>
      </c>
      <c r="Q877">
        <v>1.02823</v>
      </c>
      <c r="R877">
        <v>25.574000000000002</v>
      </c>
      <c r="S877">
        <v>59.396999999999998</v>
      </c>
      <c r="T877">
        <v>11.1836</v>
      </c>
      <c r="U877">
        <v>2.5759099999999999</v>
      </c>
      <c r="V877">
        <v>0.241309</v>
      </c>
      <c r="W877">
        <v>46.804400000000001</v>
      </c>
      <c r="X877">
        <v>12.7545</v>
      </c>
      <c r="Y877">
        <v>48.690199999999997</v>
      </c>
      <c r="Z877">
        <v>16.571899999999999</v>
      </c>
      <c r="AA877">
        <v>11.0944</v>
      </c>
      <c r="AB877">
        <v>4.2311500000000004</v>
      </c>
      <c r="AC877">
        <v>6.6578200000000001</v>
      </c>
      <c r="AD877">
        <v>1.91222</v>
      </c>
      <c r="AE877">
        <v>13.324999999999999</v>
      </c>
      <c r="AF877">
        <v>0</v>
      </c>
      <c r="AG877">
        <v>90.995999999999995</v>
      </c>
      <c r="AH877">
        <v>8.9953199999999995</v>
      </c>
      <c r="AI877">
        <v>8.7220300000000004E-3</v>
      </c>
      <c r="AJ877">
        <v>0</v>
      </c>
      <c r="AK877">
        <v>0</v>
      </c>
      <c r="AL877">
        <v>0.159329</v>
      </c>
      <c r="AM877">
        <v>10.533300000000001</v>
      </c>
      <c r="AN877">
        <v>45.963200000000001</v>
      </c>
      <c r="AO877">
        <v>27.135200000000001</v>
      </c>
      <c r="AP877">
        <v>10.457700000000001</v>
      </c>
      <c r="AQ877">
        <v>3.87452</v>
      </c>
      <c r="AR877">
        <v>2.0361099999999999</v>
      </c>
      <c r="AS877">
        <v>0.26897399999999999</v>
      </c>
      <c r="AT877">
        <v>0.52622899999999995</v>
      </c>
      <c r="AU877">
        <v>4.4899100000000001</v>
      </c>
      <c r="AV877">
        <v>25.808499999999999</v>
      </c>
      <c r="AW877">
        <v>51.838900000000002</v>
      </c>
      <c r="AX877">
        <v>14.7218</v>
      </c>
      <c r="AY877">
        <v>2.6146699999999998</v>
      </c>
      <c r="AZ877">
        <v>705.11</v>
      </c>
      <c r="BA877">
        <v>754.79899999999998</v>
      </c>
      <c r="BB877">
        <v>22716.799999999999</v>
      </c>
      <c r="BC877">
        <v>0.30106899999999998</v>
      </c>
      <c r="BD877">
        <v>9.4004099999999993E-2</v>
      </c>
      <c r="BE877">
        <v>0.166688</v>
      </c>
      <c r="BF877">
        <v>0.66384299999999996</v>
      </c>
      <c r="BG877">
        <v>4.09063</v>
      </c>
      <c r="BH877">
        <v>21.974699999999999</v>
      </c>
      <c r="BI877">
        <v>73.010199999999998</v>
      </c>
      <c r="BJ877">
        <v>30.245999999999999</v>
      </c>
      <c r="BK877">
        <v>0</v>
      </c>
      <c r="BL877">
        <v>37.566699999999997</v>
      </c>
      <c r="BM877">
        <v>55.150399999999998</v>
      </c>
      <c r="BN877">
        <v>5.6722299999999999</v>
      </c>
      <c r="BO877">
        <v>0.99818799999999996</v>
      </c>
      <c r="BP877">
        <v>0.61248000000000002</v>
      </c>
      <c r="BQ877">
        <v>31.5608</v>
      </c>
      <c r="BR877">
        <v>103187</v>
      </c>
    </row>
    <row r="878" spans="1:70" x14ac:dyDescent="0.25">
      <c r="A878">
        <v>53</v>
      </c>
      <c r="B878" s="7">
        <v>46024.551469907405</v>
      </c>
      <c r="C878" t="s">
        <v>204</v>
      </c>
      <c r="D878" s="6" t="s">
        <v>431</v>
      </c>
      <c r="E878" s="6" t="str">
        <f>VLOOKUP(F878,Germplasm!$A$1:$B$21,2,FALSE)</f>
        <v>Thermus</v>
      </c>
      <c r="F878" t="s">
        <v>75</v>
      </c>
      <c r="G878" s="6" t="s">
        <v>113</v>
      </c>
      <c r="H878">
        <v>49869</v>
      </c>
      <c r="I878">
        <v>478.66</v>
      </c>
      <c r="J878">
        <v>150308</v>
      </c>
      <c r="K878">
        <v>17.529699999999998</v>
      </c>
      <c r="L878">
        <v>87.017700000000005</v>
      </c>
      <c r="M878">
        <v>1449.53</v>
      </c>
      <c r="N878">
        <v>504.745</v>
      </c>
      <c r="O878">
        <v>32836000</v>
      </c>
      <c r="P878">
        <v>1.5576599999999999E-2</v>
      </c>
      <c r="Q878">
        <v>1.0826899999999999</v>
      </c>
      <c r="R878">
        <v>33.251300000000001</v>
      </c>
      <c r="S878">
        <v>63.484699999999997</v>
      </c>
      <c r="T878">
        <v>1.8955900000000001</v>
      </c>
      <c r="U878">
        <v>0.27508100000000002</v>
      </c>
      <c r="V878">
        <v>1.05801E-2</v>
      </c>
      <c r="W878">
        <v>36.071100000000001</v>
      </c>
      <c r="X878">
        <v>16.548100000000002</v>
      </c>
      <c r="Y878">
        <v>62.787300000000002</v>
      </c>
      <c r="Z878">
        <v>10.0907</v>
      </c>
      <c r="AA878">
        <v>2.7005599999999998</v>
      </c>
      <c r="AB878">
        <v>1.08446</v>
      </c>
      <c r="AC878">
        <v>6.7888700000000002</v>
      </c>
      <c r="AD878">
        <v>1.89266</v>
      </c>
      <c r="AE878">
        <v>16.315899999999999</v>
      </c>
      <c r="AF878">
        <v>0</v>
      </c>
      <c r="AG878">
        <v>83.263199999999998</v>
      </c>
      <c r="AH878">
        <v>16.217500000000001</v>
      </c>
      <c r="AI878">
        <v>0.46023199999999997</v>
      </c>
      <c r="AJ878">
        <v>5.9072E-2</v>
      </c>
      <c r="AK878">
        <v>0</v>
      </c>
      <c r="AL878">
        <v>7.1901800000000002E-2</v>
      </c>
      <c r="AM878">
        <v>22.866099999999999</v>
      </c>
      <c r="AN878">
        <v>57.4726</v>
      </c>
      <c r="AO878">
        <v>15.0642</v>
      </c>
      <c r="AP878">
        <v>3.3538800000000002</v>
      </c>
      <c r="AQ878">
        <v>1.01128</v>
      </c>
      <c r="AR878">
        <v>0.231879</v>
      </c>
      <c r="AS878">
        <v>0.27245000000000003</v>
      </c>
      <c r="AT878">
        <v>0.61717</v>
      </c>
      <c r="AU878">
        <v>3.6298400000000002</v>
      </c>
      <c r="AV878">
        <v>23.518599999999999</v>
      </c>
      <c r="AW878">
        <v>55.556699999999999</v>
      </c>
      <c r="AX878">
        <v>14.598699999999999</v>
      </c>
      <c r="AY878">
        <v>2.0789800000000001</v>
      </c>
      <c r="AZ878">
        <v>658.44500000000005</v>
      </c>
      <c r="BA878">
        <v>702.59900000000005</v>
      </c>
      <c r="BB878">
        <v>26348.6</v>
      </c>
      <c r="BC878">
        <v>0.359574</v>
      </c>
      <c r="BD878">
        <v>0.133132</v>
      </c>
      <c r="BE878">
        <v>0.34032499999999999</v>
      </c>
      <c r="BF878">
        <v>0.75823700000000005</v>
      </c>
      <c r="BG878">
        <v>3.0153099999999999</v>
      </c>
      <c r="BH878">
        <v>11.2157</v>
      </c>
      <c r="BI878">
        <v>84.537300000000002</v>
      </c>
      <c r="BJ878">
        <v>28.911000000000001</v>
      </c>
      <c r="BK878">
        <v>0</v>
      </c>
      <c r="BL878">
        <v>40.848700000000001</v>
      </c>
      <c r="BM878">
        <v>53.339300000000001</v>
      </c>
      <c r="BN878">
        <v>4.8518400000000002</v>
      </c>
      <c r="BO878">
        <v>0.61099800000000004</v>
      </c>
      <c r="BP878">
        <v>0.34914200000000001</v>
      </c>
      <c r="BQ878">
        <v>31.929300000000001</v>
      </c>
      <c r="BR878">
        <v>113421</v>
      </c>
    </row>
    <row r="879" spans="1:70" x14ac:dyDescent="0.25">
      <c r="A879">
        <v>53</v>
      </c>
      <c r="B879" s="7">
        <v>45952.582812499997</v>
      </c>
      <c r="C879" t="s">
        <v>202</v>
      </c>
      <c r="D879" s="6" t="s">
        <v>420</v>
      </c>
      <c r="E879" s="6" t="str">
        <f>VLOOKUP(F879,Germplasm!$A$1:$B$21,2,FALSE)</f>
        <v>Brage</v>
      </c>
      <c r="F879" t="s">
        <v>81</v>
      </c>
      <c r="G879" s="6" t="s">
        <v>113</v>
      </c>
      <c r="H879">
        <v>26088.1</v>
      </c>
      <c r="I879">
        <v>169.02099999999999</v>
      </c>
      <c r="J879">
        <v>61892</v>
      </c>
      <c r="K879">
        <v>23.121500000000001</v>
      </c>
      <c r="L879">
        <v>38.902999999999999</v>
      </c>
      <c r="M879">
        <v>1077.08</v>
      </c>
      <c r="N879">
        <v>426.91399999999999</v>
      </c>
      <c r="O879">
        <v>5053640</v>
      </c>
      <c r="P879">
        <v>0.25983400000000001</v>
      </c>
      <c r="Q879">
        <v>0.44928699999999999</v>
      </c>
      <c r="R879">
        <v>2.55545</v>
      </c>
      <c r="S879">
        <v>13.4237</v>
      </c>
      <c r="T879">
        <v>44.507899999999999</v>
      </c>
      <c r="U879">
        <v>38.819699999999997</v>
      </c>
      <c r="V879">
        <v>0.24395700000000001</v>
      </c>
      <c r="W879">
        <v>112.002</v>
      </c>
      <c r="X879">
        <v>0.75220100000000001</v>
      </c>
      <c r="Y879">
        <v>1.7341299999999999</v>
      </c>
      <c r="Z879">
        <v>3.7549000000000001</v>
      </c>
      <c r="AA879">
        <v>21.543399999999998</v>
      </c>
      <c r="AB879">
        <v>44.444899999999997</v>
      </c>
      <c r="AC879">
        <v>27.770399999999999</v>
      </c>
      <c r="AD879">
        <v>1.8230299999999999</v>
      </c>
      <c r="AE879">
        <v>7.5474300000000003</v>
      </c>
      <c r="AF879">
        <v>0</v>
      </c>
      <c r="AG879">
        <v>99.936999999999998</v>
      </c>
      <c r="AH879">
        <v>5.4890300000000003E-2</v>
      </c>
      <c r="AI879">
        <v>8.1318999999999992E-3</v>
      </c>
      <c r="AJ879">
        <v>0</v>
      </c>
      <c r="AK879">
        <v>0</v>
      </c>
      <c r="AL879">
        <v>0.52149000000000001</v>
      </c>
      <c r="AM879">
        <v>0.25818799999999997</v>
      </c>
      <c r="AN879">
        <v>1.5755600000000001</v>
      </c>
      <c r="AO879">
        <v>5.2450799999999997</v>
      </c>
      <c r="AP879">
        <v>16.347200000000001</v>
      </c>
      <c r="AQ879">
        <v>47.417099999999998</v>
      </c>
      <c r="AR879">
        <v>29.1569</v>
      </c>
      <c r="AS879">
        <v>6.99708E-2</v>
      </c>
      <c r="AT879">
        <v>4.8567799999999997</v>
      </c>
      <c r="AU879">
        <v>28.892600000000002</v>
      </c>
      <c r="AV879">
        <v>46.540900000000001</v>
      </c>
      <c r="AW879">
        <v>16.0015</v>
      </c>
      <c r="AX879">
        <v>2.6204999999999998</v>
      </c>
      <c r="AY879">
        <v>1.0876399999999999</v>
      </c>
      <c r="AZ879">
        <v>193.714</v>
      </c>
      <c r="BA879">
        <v>207.73400000000001</v>
      </c>
      <c r="BB879">
        <v>14310.3</v>
      </c>
      <c r="BC879">
        <v>3.31288E-2</v>
      </c>
      <c r="BD879">
        <v>2.4395699999999999E-2</v>
      </c>
      <c r="BE879">
        <v>0.28461599999999998</v>
      </c>
      <c r="BF879">
        <v>2.0817700000000001</v>
      </c>
      <c r="BG879">
        <v>31.358599999999999</v>
      </c>
      <c r="BH879">
        <v>60.889600000000002</v>
      </c>
      <c r="BI879">
        <v>5.3609499999999999</v>
      </c>
      <c r="BJ879">
        <v>34.180500000000002</v>
      </c>
      <c r="BK879">
        <v>0</v>
      </c>
      <c r="BL879">
        <v>24.407900000000001</v>
      </c>
      <c r="BM879">
        <v>65.079599999999999</v>
      </c>
      <c r="BN879">
        <v>9.55701</v>
      </c>
      <c r="BO879">
        <v>0.70950800000000003</v>
      </c>
      <c r="BP879">
        <v>0.24598999999999999</v>
      </c>
      <c r="BQ879">
        <v>33.283000000000001</v>
      </c>
      <c r="BR879">
        <v>49189</v>
      </c>
    </row>
    <row r="880" spans="1:70" x14ac:dyDescent="0.25">
      <c r="A880">
        <v>53</v>
      </c>
      <c r="B880" s="7">
        <v>45959.556030092594</v>
      </c>
      <c r="C880" t="s">
        <v>202</v>
      </c>
      <c r="D880" s="6" t="s">
        <v>421</v>
      </c>
      <c r="E880" s="6" t="str">
        <f>VLOOKUP(F880,Germplasm!$A$1:$B$21,2,FALSE)</f>
        <v>Brage</v>
      </c>
      <c r="F880" t="s">
        <v>81</v>
      </c>
      <c r="G880" s="6" t="s">
        <v>113</v>
      </c>
      <c r="H880">
        <v>54911.8</v>
      </c>
      <c r="I880">
        <v>254.041</v>
      </c>
      <c r="J880">
        <v>132283</v>
      </c>
      <c r="K880">
        <v>24.248699999999999</v>
      </c>
      <c r="L880">
        <v>69.975499999999997</v>
      </c>
      <c r="M880">
        <v>1410.73</v>
      </c>
      <c r="N880">
        <v>509.39400000000001</v>
      </c>
      <c r="O880">
        <v>17175000</v>
      </c>
      <c r="P880">
        <v>0.26777299999999998</v>
      </c>
      <c r="Q880">
        <v>0.53900899999999996</v>
      </c>
      <c r="R880">
        <v>2.4493100000000001</v>
      </c>
      <c r="S880">
        <v>13.212400000000001</v>
      </c>
      <c r="T880">
        <v>41.930599999999998</v>
      </c>
      <c r="U880">
        <v>41.1539</v>
      </c>
      <c r="V880">
        <v>0.71479199999999998</v>
      </c>
      <c r="W880">
        <v>116.209</v>
      </c>
      <c r="X880">
        <v>0.59999499999999995</v>
      </c>
      <c r="Y880">
        <v>1.1408</v>
      </c>
      <c r="Z880">
        <v>2.8017699999999999</v>
      </c>
      <c r="AA880">
        <v>17.427600000000002</v>
      </c>
      <c r="AB880">
        <v>44.823799999999999</v>
      </c>
      <c r="AC880">
        <v>33.206000000000003</v>
      </c>
      <c r="AD880">
        <v>1.7118899999999999</v>
      </c>
      <c r="AE880">
        <v>6.8957699999999997</v>
      </c>
      <c r="AF880">
        <v>0</v>
      </c>
      <c r="AG880">
        <v>99.973100000000002</v>
      </c>
      <c r="AH880">
        <v>2.6905599999999998E-2</v>
      </c>
      <c r="AI880">
        <v>0</v>
      </c>
      <c r="AJ880">
        <v>0</v>
      </c>
      <c r="AK880">
        <v>0</v>
      </c>
      <c r="AL880">
        <v>0.55235000000000001</v>
      </c>
      <c r="AM880">
        <v>0.238563</v>
      </c>
      <c r="AN880">
        <v>1.28071</v>
      </c>
      <c r="AO880">
        <v>3.3605100000000001</v>
      </c>
      <c r="AP880">
        <v>12.6349</v>
      </c>
      <c r="AQ880">
        <v>42.813099999999999</v>
      </c>
      <c r="AR880">
        <v>39.6723</v>
      </c>
      <c r="AS880">
        <v>4.8807900000000001E-2</v>
      </c>
      <c r="AT880">
        <v>6.3559999999999999</v>
      </c>
      <c r="AU880">
        <v>33.708199999999998</v>
      </c>
      <c r="AV880">
        <v>43.241799999999998</v>
      </c>
      <c r="AW880">
        <v>12.882400000000001</v>
      </c>
      <c r="AX880">
        <v>2.3775599999999999</v>
      </c>
      <c r="AY880">
        <v>1.43407</v>
      </c>
      <c r="AZ880">
        <v>312.77499999999998</v>
      </c>
      <c r="BA880">
        <v>351.59899999999999</v>
      </c>
      <c r="BB880">
        <v>32076.799999999999</v>
      </c>
      <c r="BC880">
        <v>1.6033800000000001E-2</v>
      </c>
      <c r="BD880">
        <v>4.2152099999999998E-2</v>
      </c>
      <c r="BE880">
        <v>0.37219400000000002</v>
      </c>
      <c r="BF880">
        <v>2.3372000000000002</v>
      </c>
      <c r="BG880">
        <v>37.3127</v>
      </c>
      <c r="BH880">
        <v>56.499000000000002</v>
      </c>
      <c r="BI880">
        <v>3.4367399999999999</v>
      </c>
      <c r="BJ880">
        <v>34.817</v>
      </c>
      <c r="BK880">
        <v>0</v>
      </c>
      <c r="BL880">
        <v>24.5047</v>
      </c>
      <c r="BM880">
        <v>63.341099999999997</v>
      </c>
      <c r="BN880">
        <v>10.475199999999999</v>
      </c>
      <c r="BO880">
        <v>1.0439400000000001</v>
      </c>
      <c r="BP880">
        <v>0.63497199999999998</v>
      </c>
      <c r="BQ880">
        <v>35.787500000000001</v>
      </c>
      <c r="BR880">
        <v>111501</v>
      </c>
    </row>
    <row r="881" spans="1:70" x14ac:dyDescent="0.25">
      <c r="A881">
        <v>53</v>
      </c>
      <c r="B881" s="7">
        <v>45966.524942129632</v>
      </c>
      <c r="C881" t="s">
        <v>202</v>
      </c>
      <c r="D881" s="6" t="s">
        <v>422</v>
      </c>
      <c r="E881" s="6" t="str">
        <f>VLOOKUP(F881,Germplasm!$A$1:$B$21,2,FALSE)</f>
        <v>Brage</v>
      </c>
      <c r="F881" t="s">
        <v>81</v>
      </c>
      <c r="G881" s="6" t="s">
        <v>113</v>
      </c>
      <c r="H881">
        <v>58739.7</v>
      </c>
      <c r="I881">
        <v>414.71899999999999</v>
      </c>
      <c r="J881">
        <v>133756</v>
      </c>
      <c r="K881">
        <v>25.489799999999999</v>
      </c>
      <c r="L881">
        <v>73.556200000000004</v>
      </c>
      <c r="M881">
        <v>1433.34</v>
      </c>
      <c r="N881">
        <v>503.64299999999997</v>
      </c>
      <c r="O881">
        <v>28231200</v>
      </c>
      <c r="P881">
        <v>0.279308</v>
      </c>
      <c r="Q881">
        <v>0.33642300000000003</v>
      </c>
      <c r="R881">
        <v>2.0217999999999998</v>
      </c>
      <c r="S881">
        <v>11.624499999999999</v>
      </c>
      <c r="T881">
        <v>40.445799999999998</v>
      </c>
      <c r="U881">
        <v>44.815300000000001</v>
      </c>
      <c r="V881">
        <v>0.75613399999999997</v>
      </c>
      <c r="W881">
        <v>114.70099999999999</v>
      </c>
      <c r="X881">
        <v>0.62385199999999996</v>
      </c>
      <c r="Y881">
        <v>1.13992</v>
      </c>
      <c r="Z881">
        <v>2.6758700000000002</v>
      </c>
      <c r="AA881">
        <v>18.790700000000001</v>
      </c>
      <c r="AB881">
        <v>46.5717</v>
      </c>
      <c r="AC881">
        <v>30.198</v>
      </c>
      <c r="AD881">
        <v>1.7228699999999999</v>
      </c>
      <c r="AE881">
        <v>6.7540899999999997</v>
      </c>
      <c r="AF881">
        <v>0</v>
      </c>
      <c r="AG881">
        <v>99.897099999999995</v>
      </c>
      <c r="AH881">
        <v>9.9620299999999995E-2</v>
      </c>
      <c r="AI881">
        <v>3.2662400000000001E-3</v>
      </c>
      <c r="AJ881">
        <v>0</v>
      </c>
      <c r="AK881">
        <v>0</v>
      </c>
      <c r="AL881">
        <v>0.55457500000000004</v>
      </c>
      <c r="AM881">
        <v>0.28334599999999999</v>
      </c>
      <c r="AN881">
        <v>1.4804200000000001</v>
      </c>
      <c r="AO881">
        <v>3.2997200000000002</v>
      </c>
      <c r="AP881">
        <v>12.437799999999999</v>
      </c>
      <c r="AQ881">
        <v>40.747999999999998</v>
      </c>
      <c r="AR881">
        <v>41.750700000000002</v>
      </c>
      <c r="AS881">
        <v>6.4204399999999995E-2</v>
      </c>
      <c r="AT881">
        <v>5.3647999999999998</v>
      </c>
      <c r="AU881">
        <v>31.4939</v>
      </c>
      <c r="AV881">
        <v>43.773299999999999</v>
      </c>
      <c r="AW881">
        <v>15.0966</v>
      </c>
      <c r="AX881">
        <v>2.7803900000000001</v>
      </c>
      <c r="AY881">
        <v>1.4910399999999999</v>
      </c>
      <c r="AZ881">
        <v>480.61500000000001</v>
      </c>
      <c r="BA881">
        <v>519.59900000000005</v>
      </c>
      <c r="BB881">
        <v>34094</v>
      </c>
      <c r="BC881">
        <v>2.5114399999999999E-2</v>
      </c>
      <c r="BD881">
        <v>3.1029299999999999E-2</v>
      </c>
      <c r="BE881">
        <v>0.22781999999999999</v>
      </c>
      <c r="BF881">
        <v>1.8878900000000001</v>
      </c>
      <c r="BG881">
        <v>34.711100000000002</v>
      </c>
      <c r="BH881">
        <v>58.944200000000002</v>
      </c>
      <c r="BI881">
        <v>4.1979300000000004</v>
      </c>
      <c r="BJ881">
        <v>35.847000000000001</v>
      </c>
      <c r="BK881">
        <v>0</v>
      </c>
      <c r="BL881">
        <v>22.109200000000001</v>
      </c>
      <c r="BM881">
        <v>64.171000000000006</v>
      </c>
      <c r="BN881">
        <v>12.0761</v>
      </c>
      <c r="BO881">
        <v>1.1162399999999999</v>
      </c>
      <c r="BP881">
        <v>0.52749800000000002</v>
      </c>
      <c r="BQ881">
        <v>35.526699999999998</v>
      </c>
      <c r="BR881">
        <v>122465</v>
      </c>
    </row>
    <row r="882" spans="1:70" x14ac:dyDescent="0.25">
      <c r="A882">
        <v>53</v>
      </c>
      <c r="B882" s="7">
        <v>45973.579606481479</v>
      </c>
      <c r="C882" t="s">
        <v>202</v>
      </c>
      <c r="D882" s="6" t="s">
        <v>423</v>
      </c>
      <c r="E882" s="6" t="str">
        <f>VLOOKUP(F882,Germplasm!$A$1:$B$21,2,FALSE)</f>
        <v>Brage</v>
      </c>
      <c r="F882" t="s">
        <v>81</v>
      </c>
      <c r="G882" s="6" t="s">
        <v>113</v>
      </c>
      <c r="H882">
        <v>44139</v>
      </c>
      <c r="I882">
        <v>444.70800000000003</v>
      </c>
      <c r="J882">
        <v>175348</v>
      </c>
      <c r="K882">
        <v>16.164400000000001</v>
      </c>
      <c r="L882">
        <v>72.113900000000001</v>
      </c>
      <c r="M882">
        <v>1596.99</v>
      </c>
      <c r="N882">
        <v>581.19200000000001</v>
      </c>
      <c r="O882">
        <v>24364800</v>
      </c>
      <c r="P882">
        <v>0.25534499999999999</v>
      </c>
      <c r="Q882">
        <v>0.59228700000000001</v>
      </c>
      <c r="R882">
        <v>2.9696500000000001</v>
      </c>
      <c r="S882">
        <v>15.2629</v>
      </c>
      <c r="T882">
        <v>44.395899999999997</v>
      </c>
      <c r="U882">
        <v>35.871899999999997</v>
      </c>
      <c r="V882">
        <v>0.90742100000000003</v>
      </c>
      <c r="W882">
        <v>116.693</v>
      </c>
      <c r="X882">
        <v>1.0193099999999999</v>
      </c>
      <c r="Y882">
        <v>2.19259</v>
      </c>
      <c r="Z882">
        <v>3.8339500000000002</v>
      </c>
      <c r="AA882">
        <v>16.359200000000001</v>
      </c>
      <c r="AB882">
        <v>38.854799999999997</v>
      </c>
      <c r="AC882">
        <v>37.740099999999998</v>
      </c>
      <c r="AD882">
        <v>1.5572699999999999</v>
      </c>
      <c r="AE882">
        <v>6.3063900000000004</v>
      </c>
      <c r="AF882">
        <v>0</v>
      </c>
      <c r="AG882">
        <v>99.893199999999993</v>
      </c>
      <c r="AH882">
        <v>0.103676</v>
      </c>
      <c r="AI882">
        <v>3.0794799999999999E-3</v>
      </c>
      <c r="AJ882">
        <v>0</v>
      </c>
      <c r="AK882">
        <v>0</v>
      </c>
      <c r="AL882">
        <v>0.53239499999999995</v>
      </c>
      <c r="AM882">
        <v>0.43215399999999998</v>
      </c>
      <c r="AN882">
        <v>2.13408</v>
      </c>
      <c r="AO882">
        <v>5.1776299999999997</v>
      </c>
      <c r="AP882">
        <v>15.243399999999999</v>
      </c>
      <c r="AQ882">
        <v>40.620399999999997</v>
      </c>
      <c r="AR882">
        <v>36.392299999999999</v>
      </c>
      <c r="AS882">
        <v>4.8009700000000002E-2</v>
      </c>
      <c r="AT882">
        <v>6.6208799999999997</v>
      </c>
      <c r="AU882">
        <v>37.518300000000004</v>
      </c>
      <c r="AV882">
        <v>37.458799999999997</v>
      </c>
      <c r="AW882">
        <v>13.032400000000001</v>
      </c>
      <c r="AX882">
        <v>3.4110399999999998</v>
      </c>
      <c r="AY882">
        <v>1.95855</v>
      </c>
      <c r="AZ882">
        <v>552.00199999999995</v>
      </c>
      <c r="BA882">
        <v>586.79999999999995</v>
      </c>
      <c r="BB882">
        <v>28343.9</v>
      </c>
      <c r="BC882">
        <v>1.8847599999999999E-2</v>
      </c>
      <c r="BD882">
        <v>0.101623</v>
      </c>
      <c r="BE882">
        <v>0.51837900000000003</v>
      </c>
      <c r="BF882">
        <v>2.43587</v>
      </c>
      <c r="BG882">
        <v>41.081299999999999</v>
      </c>
      <c r="BH882">
        <v>49.082799999999999</v>
      </c>
      <c r="BI882">
        <v>6.7799899999999997</v>
      </c>
      <c r="BJ882">
        <v>34.446300000000001</v>
      </c>
      <c r="BK882">
        <v>0</v>
      </c>
      <c r="BL882">
        <v>26.915700000000001</v>
      </c>
      <c r="BM882">
        <v>60.2911</v>
      </c>
      <c r="BN882">
        <v>10.6694</v>
      </c>
      <c r="BO882">
        <v>1.3991100000000001</v>
      </c>
      <c r="BP882">
        <v>0.72470500000000004</v>
      </c>
      <c r="BQ882">
        <v>40.002699999999997</v>
      </c>
      <c r="BR882">
        <v>97419</v>
      </c>
    </row>
    <row r="883" spans="1:70" x14ac:dyDescent="0.25">
      <c r="A883">
        <v>53</v>
      </c>
      <c r="B883" s="7">
        <v>45988.59747685185</v>
      </c>
      <c r="C883" t="s">
        <v>202</v>
      </c>
      <c r="D883" s="6" t="s">
        <v>424</v>
      </c>
      <c r="E883" s="6" t="str">
        <f>VLOOKUP(F883,Germplasm!$A$1:$B$21,2,FALSE)</f>
        <v>Brage</v>
      </c>
      <c r="F883" t="s">
        <v>81</v>
      </c>
      <c r="G883" s="6" t="s">
        <v>113</v>
      </c>
      <c r="H883">
        <v>59152.3</v>
      </c>
      <c r="I883">
        <v>494.99599999999998</v>
      </c>
      <c r="J883">
        <v>124690</v>
      </c>
      <c r="K883">
        <v>26.535299999999999</v>
      </c>
      <c r="L883">
        <v>73.810500000000005</v>
      </c>
      <c r="M883">
        <v>1324.36</v>
      </c>
      <c r="N883">
        <v>475.49700000000001</v>
      </c>
      <c r="O883">
        <v>33769800</v>
      </c>
      <c r="P883">
        <v>0.17097200000000001</v>
      </c>
      <c r="Q883">
        <v>0.87613200000000002</v>
      </c>
      <c r="R883">
        <v>13.0021</v>
      </c>
      <c r="S883">
        <v>25.681799999999999</v>
      </c>
      <c r="T883">
        <v>42.756900000000002</v>
      </c>
      <c r="U883">
        <v>17.263500000000001</v>
      </c>
      <c r="V883">
        <v>0.41955599999999998</v>
      </c>
      <c r="W883">
        <v>88.070300000000003</v>
      </c>
      <c r="X883">
        <v>8.6099499999999995</v>
      </c>
      <c r="Y883">
        <v>11.0245</v>
      </c>
      <c r="Z883">
        <v>9.6440400000000004</v>
      </c>
      <c r="AA883">
        <v>27.9877</v>
      </c>
      <c r="AB883">
        <v>26.7636</v>
      </c>
      <c r="AC883">
        <v>15.9703</v>
      </c>
      <c r="AD883">
        <v>1.78779</v>
      </c>
      <c r="AE883">
        <v>8.54209</v>
      </c>
      <c r="AF883">
        <v>0</v>
      </c>
      <c r="AG883">
        <v>98.253500000000003</v>
      </c>
      <c r="AH883">
        <v>1.7234700000000001</v>
      </c>
      <c r="AI883">
        <v>2.22118E-2</v>
      </c>
      <c r="AJ883">
        <v>8.22659E-4</v>
      </c>
      <c r="AK883">
        <v>0</v>
      </c>
      <c r="AL883">
        <v>0.38497599999999998</v>
      </c>
      <c r="AM883">
        <v>2.4515199999999999</v>
      </c>
      <c r="AN883">
        <v>13.9498</v>
      </c>
      <c r="AO883">
        <v>14.898400000000001</v>
      </c>
      <c r="AP883">
        <v>22.938199999999998</v>
      </c>
      <c r="AQ883">
        <v>35.777500000000003</v>
      </c>
      <c r="AR883">
        <v>9.9846199999999996</v>
      </c>
      <c r="AS883">
        <v>0.17269799999999999</v>
      </c>
      <c r="AT883">
        <v>1.46187</v>
      </c>
      <c r="AU883">
        <v>16.072299999999998</v>
      </c>
      <c r="AV883">
        <v>40.422199999999997</v>
      </c>
      <c r="AW883">
        <v>31.496300000000002</v>
      </c>
      <c r="AX883">
        <v>8.2479800000000001</v>
      </c>
      <c r="AY883">
        <v>2.2993299999999999</v>
      </c>
      <c r="AZ883">
        <v>570.89499999999998</v>
      </c>
      <c r="BA883">
        <v>601.20000000000005</v>
      </c>
      <c r="BB883">
        <v>33086.800000000003</v>
      </c>
      <c r="BC883">
        <v>0.13767299999999999</v>
      </c>
      <c r="BD883">
        <v>5.8408799999999997E-2</v>
      </c>
      <c r="BE883">
        <v>0.225409</v>
      </c>
      <c r="BF883">
        <v>1.05054</v>
      </c>
      <c r="BG883">
        <v>16.1998</v>
      </c>
      <c r="BH883">
        <v>53.577300000000001</v>
      </c>
      <c r="BI883">
        <v>28.888500000000001</v>
      </c>
      <c r="BJ883">
        <v>32.213099999999997</v>
      </c>
      <c r="BK883">
        <v>0</v>
      </c>
      <c r="BL883">
        <v>31.720099999999999</v>
      </c>
      <c r="BM883">
        <v>58.985500000000002</v>
      </c>
      <c r="BN883">
        <v>7.5766900000000001</v>
      </c>
      <c r="BO883">
        <v>1.0275000000000001</v>
      </c>
      <c r="BP883">
        <v>0.69021100000000002</v>
      </c>
      <c r="BQ883">
        <v>34.054099999999998</v>
      </c>
      <c r="BR883">
        <v>121557</v>
      </c>
    </row>
    <row r="884" spans="1:70" x14ac:dyDescent="0.25">
      <c r="A884">
        <v>53</v>
      </c>
      <c r="B884" s="7">
        <v>45994.54310185185</v>
      </c>
      <c r="C884" t="s">
        <v>202</v>
      </c>
      <c r="D884" s="6" t="s">
        <v>425</v>
      </c>
      <c r="E884" s="6" t="str">
        <f>VLOOKUP(F884,Germplasm!$A$1:$B$21,2,FALSE)</f>
        <v>Brage</v>
      </c>
      <c r="F884" t="s">
        <v>81</v>
      </c>
      <c r="G884" s="6" t="s">
        <v>113</v>
      </c>
      <c r="H884">
        <v>48244</v>
      </c>
      <c r="I884">
        <v>453.24299999999999</v>
      </c>
      <c r="J884">
        <v>123689</v>
      </c>
      <c r="K884">
        <v>22.112300000000001</v>
      </c>
      <c r="L884">
        <v>84.429100000000005</v>
      </c>
      <c r="M884">
        <v>1316.85</v>
      </c>
      <c r="N884">
        <v>457.58300000000003</v>
      </c>
      <c r="O884">
        <v>27364700</v>
      </c>
      <c r="P884">
        <v>0.15287300000000001</v>
      </c>
      <c r="Q884">
        <v>0.94729099999999999</v>
      </c>
      <c r="R884">
        <v>12.6911</v>
      </c>
      <c r="S884">
        <v>32.126899999999999</v>
      </c>
      <c r="T884">
        <v>41.948500000000003</v>
      </c>
      <c r="U884">
        <v>11.806100000000001</v>
      </c>
      <c r="V884">
        <v>0.48006599999999999</v>
      </c>
      <c r="W884">
        <v>76.594999999999999</v>
      </c>
      <c r="X884">
        <v>8.0732199999999992</v>
      </c>
      <c r="Y884">
        <v>17.386099999999999</v>
      </c>
      <c r="Z884">
        <v>16.3904</v>
      </c>
      <c r="AA884">
        <v>29.819400000000002</v>
      </c>
      <c r="AB884">
        <v>18.014299999999999</v>
      </c>
      <c r="AC884">
        <v>10.3165</v>
      </c>
      <c r="AD884">
        <v>1.76393</v>
      </c>
      <c r="AE884">
        <v>9.1878399999999996</v>
      </c>
      <c r="AF884">
        <v>0</v>
      </c>
      <c r="AG884">
        <v>98.402699999999996</v>
      </c>
      <c r="AH884">
        <v>1.5705899999999999</v>
      </c>
      <c r="AI884">
        <v>2.66704E-2</v>
      </c>
      <c r="AJ884">
        <v>0</v>
      </c>
      <c r="AK884">
        <v>0</v>
      </c>
      <c r="AL884">
        <v>0.33094899999999999</v>
      </c>
      <c r="AM884">
        <v>3.1994500000000001</v>
      </c>
      <c r="AN884">
        <v>19.711400000000001</v>
      </c>
      <c r="AO884">
        <v>18.395600000000002</v>
      </c>
      <c r="AP884">
        <v>27.4497</v>
      </c>
      <c r="AQ884">
        <v>25.371400000000001</v>
      </c>
      <c r="AR884">
        <v>5.87242</v>
      </c>
      <c r="AS884">
        <v>0.22711999999999999</v>
      </c>
      <c r="AT884">
        <v>0.82875699999999997</v>
      </c>
      <c r="AU884">
        <v>9.9055700000000009</v>
      </c>
      <c r="AV884">
        <v>33.796300000000002</v>
      </c>
      <c r="AW884">
        <v>39.441499999999998</v>
      </c>
      <c r="AX884">
        <v>13.090199999999999</v>
      </c>
      <c r="AY884">
        <v>2.9376899999999999</v>
      </c>
      <c r="AZ884">
        <v>567.21500000000003</v>
      </c>
      <c r="BA884">
        <v>607.19899999999996</v>
      </c>
      <c r="BB884">
        <v>27350.400000000001</v>
      </c>
      <c r="BC884">
        <v>0.193051</v>
      </c>
      <c r="BD884">
        <v>4.1487200000000002E-2</v>
      </c>
      <c r="BE884">
        <v>0.164961</v>
      </c>
      <c r="BF884">
        <v>0.64897899999999997</v>
      </c>
      <c r="BG884">
        <v>9.87791</v>
      </c>
      <c r="BH884">
        <v>46.609900000000003</v>
      </c>
      <c r="BI884">
        <v>42.656799999999997</v>
      </c>
      <c r="BJ884">
        <v>33.467199999999998</v>
      </c>
      <c r="BK884">
        <v>0</v>
      </c>
      <c r="BL884">
        <v>29.3127</v>
      </c>
      <c r="BM884">
        <v>59.649700000000003</v>
      </c>
      <c r="BN884">
        <v>8.9523499999999991</v>
      </c>
      <c r="BO884">
        <v>1.1784300000000001</v>
      </c>
      <c r="BP884">
        <v>0.90679200000000004</v>
      </c>
      <c r="BQ884">
        <v>34.575600000000001</v>
      </c>
      <c r="BR884">
        <v>101236</v>
      </c>
    </row>
    <row r="885" spans="1:70" x14ac:dyDescent="0.25">
      <c r="A885">
        <v>53</v>
      </c>
      <c r="B885" s="7">
        <v>46002.549247685187</v>
      </c>
      <c r="C885" t="s">
        <v>202</v>
      </c>
      <c r="D885" s="6" t="s">
        <v>426</v>
      </c>
      <c r="E885" s="6" t="str">
        <f>VLOOKUP(F885,Germplasm!$A$1:$B$21,2,FALSE)</f>
        <v>Brage</v>
      </c>
      <c r="F885" t="s">
        <v>81</v>
      </c>
      <c r="G885" s="6" t="s">
        <v>113</v>
      </c>
      <c r="H885">
        <v>0</v>
      </c>
      <c r="J885">
        <v>0</v>
      </c>
      <c r="M885">
        <v>0</v>
      </c>
      <c r="N885">
        <v>0</v>
      </c>
      <c r="O885">
        <v>0</v>
      </c>
      <c r="AZ885">
        <v>0</v>
      </c>
      <c r="BA885">
        <v>0</v>
      </c>
      <c r="BB885">
        <v>0</v>
      </c>
      <c r="BR885">
        <v>0</v>
      </c>
    </row>
    <row r="886" spans="1:70" x14ac:dyDescent="0.25">
      <c r="A886">
        <v>53</v>
      </c>
      <c r="B886" s="7">
        <v>46002.551516203705</v>
      </c>
      <c r="C886" t="s">
        <v>202</v>
      </c>
      <c r="D886" s="6" t="s">
        <v>427</v>
      </c>
      <c r="E886" s="6" t="str">
        <f>VLOOKUP(F886,Germplasm!$A$1:$B$21,2,FALSE)</f>
        <v>Brage</v>
      </c>
      <c r="F886" t="s">
        <v>81</v>
      </c>
      <c r="G886" s="6" t="s">
        <v>113</v>
      </c>
      <c r="H886">
        <v>41945.9</v>
      </c>
      <c r="I886">
        <v>508.73599999999999</v>
      </c>
      <c r="J886">
        <v>96325.5</v>
      </c>
      <c r="K886">
        <v>22.848800000000001</v>
      </c>
      <c r="L886">
        <v>76.545599999999993</v>
      </c>
      <c r="M886">
        <v>1176.6300000000001</v>
      </c>
      <c r="N886">
        <v>417.375</v>
      </c>
      <c r="O886">
        <v>23807300</v>
      </c>
      <c r="P886">
        <v>7.6525999999999997E-2</v>
      </c>
      <c r="Q886">
        <v>1.23674</v>
      </c>
      <c r="R886">
        <v>25.4099</v>
      </c>
      <c r="S886">
        <v>48.037300000000002</v>
      </c>
      <c r="T886">
        <v>20.070499999999999</v>
      </c>
      <c r="U886">
        <v>4.8737500000000002</v>
      </c>
      <c r="V886">
        <v>0.37182399999999999</v>
      </c>
      <c r="W886">
        <v>52.066800000000001</v>
      </c>
      <c r="X886">
        <v>15.032</v>
      </c>
      <c r="Y886">
        <v>39.938400000000001</v>
      </c>
      <c r="Z886">
        <v>15.420999999999999</v>
      </c>
      <c r="AA886">
        <v>14.3329</v>
      </c>
      <c r="AB886">
        <v>8.2705000000000002</v>
      </c>
      <c r="AC886">
        <v>7.0051600000000001</v>
      </c>
      <c r="AD886">
        <v>1.90584</v>
      </c>
      <c r="AE886">
        <v>12.154199999999999</v>
      </c>
      <c r="AF886">
        <v>0</v>
      </c>
      <c r="AG886">
        <v>93.451300000000003</v>
      </c>
      <c r="AH886">
        <v>6.37249</v>
      </c>
      <c r="AI886">
        <v>0.16131400000000001</v>
      </c>
      <c r="AJ886">
        <v>1.4873000000000001E-2</v>
      </c>
      <c r="AK886">
        <v>0</v>
      </c>
      <c r="AL886">
        <v>0.19833799999999999</v>
      </c>
      <c r="AM886">
        <v>7.7236399999999996</v>
      </c>
      <c r="AN886">
        <v>43.363799999999998</v>
      </c>
      <c r="AO886">
        <v>22.100100000000001</v>
      </c>
      <c r="AP886">
        <v>16.354500000000002</v>
      </c>
      <c r="AQ886">
        <v>6.8827400000000001</v>
      </c>
      <c r="AR886">
        <v>3.5752299999999999</v>
      </c>
      <c r="AS886">
        <v>0.28433399999999998</v>
      </c>
      <c r="AT886">
        <v>0.68758799999999998</v>
      </c>
      <c r="AU886">
        <v>5.2673100000000002</v>
      </c>
      <c r="AV886">
        <v>23.930599999999998</v>
      </c>
      <c r="AW886">
        <v>45.722900000000003</v>
      </c>
      <c r="AX886">
        <v>20.771799999999999</v>
      </c>
      <c r="AY886">
        <v>3.61985</v>
      </c>
      <c r="AZ886">
        <v>567.57100000000003</v>
      </c>
      <c r="BA886">
        <v>608.99900000000002</v>
      </c>
      <c r="BB886">
        <v>22009.200000000001</v>
      </c>
      <c r="BC886">
        <v>0.29891000000000001</v>
      </c>
      <c r="BD886">
        <v>9.2669899999999999E-2</v>
      </c>
      <c r="BE886">
        <v>0.194492</v>
      </c>
      <c r="BF886">
        <v>0.60292699999999999</v>
      </c>
      <c r="BG886">
        <v>5.0648099999999996</v>
      </c>
      <c r="BH886">
        <v>25.896100000000001</v>
      </c>
      <c r="BI886">
        <v>68.149000000000001</v>
      </c>
      <c r="BJ886">
        <v>33.660499999999999</v>
      </c>
      <c r="BK886">
        <v>0</v>
      </c>
      <c r="BL886">
        <v>29.2013</v>
      </c>
      <c r="BM886">
        <v>59.985999999999997</v>
      </c>
      <c r="BN886">
        <v>8.4832999999999998</v>
      </c>
      <c r="BO886">
        <v>1.37975</v>
      </c>
      <c r="BP886">
        <v>0.94958100000000001</v>
      </c>
      <c r="BQ886">
        <v>31.6785</v>
      </c>
      <c r="BR886">
        <v>87407</v>
      </c>
    </row>
    <row r="887" spans="1:70" x14ac:dyDescent="0.25">
      <c r="A887">
        <v>53</v>
      </c>
      <c r="B887" s="7">
        <v>46013.57503472222</v>
      </c>
      <c r="C887" t="s">
        <v>202</v>
      </c>
      <c r="D887" s="6" t="s">
        <v>428</v>
      </c>
      <c r="E887" s="6" t="str">
        <f>VLOOKUP(F887,Germplasm!$A$1:$B$21,2,FALSE)</f>
        <v>Brage</v>
      </c>
      <c r="F887" t="s">
        <v>81</v>
      </c>
      <c r="G887" s="6" t="s">
        <v>113</v>
      </c>
      <c r="H887">
        <v>43111.3</v>
      </c>
      <c r="I887">
        <v>455.13799999999998</v>
      </c>
      <c r="J887">
        <v>99587</v>
      </c>
      <c r="K887">
        <v>21.792999999999999</v>
      </c>
      <c r="L887">
        <v>60.566800000000001</v>
      </c>
      <c r="M887">
        <v>1225.8800000000001</v>
      </c>
      <c r="N887">
        <v>476.25400000000002</v>
      </c>
      <c r="O887">
        <v>22008800</v>
      </c>
      <c r="P887">
        <v>3.8798899999999997E-2</v>
      </c>
      <c r="Q887">
        <v>1.2921899999999999</v>
      </c>
      <c r="R887">
        <v>30.648199999999999</v>
      </c>
      <c r="S887">
        <v>55.991</v>
      </c>
      <c r="T887">
        <v>9.9764499999999998</v>
      </c>
      <c r="U887">
        <v>2.0288400000000002</v>
      </c>
      <c r="V887">
        <v>6.3331899999999997E-2</v>
      </c>
      <c r="W887">
        <v>42.855600000000003</v>
      </c>
      <c r="X887">
        <v>17.334099999999999</v>
      </c>
      <c r="Y887">
        <v>49.697800000000001</v>
      </c>
      <c r="Z887">
        <v>14.833</v>
      </c>
      <c r="AA887">
        <v>10.040900000000001</v>
      </c>
      <c r="AB887">
        <v>2.7321599999999999</v>
      </c>
      <c r="AC887">
        <v>5.3620999999999999</v>
      </c>
      <c r="AD887">
        <v>1.9864200000000001</v>
      </c>
      <c r="AE887">
        <v>14.1311</v>
      </c>
      <c r="AF887">
        <v>0</v>
      </c>
      <c r="AG887">
        <v>91.444599999999994</v>
      </c>
      <c r="AH887">
        <v>8.5475899999999996</v>
      </c>
      <c r="AI887">
        <v>7.7776E-3</v>
      </c>
      <c r="AJ887">
        <v>0</v>
      </c>
      <c r="AK887">
        <v>0</v>
      </c>
      <c r="AL887">
        <v>0.14127600000000001</v>
      </c>
      <c r="AM887">
        <v>8.3042599999999993</v>
      </c>
      <c r="AN887">
        <v>54.958799999999997</v>
      </c>
      <c r="AO887">
        <v>24.712800000000001</v>
      </c>
      <c r="AP887">
        <v>8.7131399999999992</v>
      </c>
      <c r="AQ887">
        <v>2.6966100000000002</v>
      </c>
      <c r="AR887">
        <v>0.61443099999999995</v>
      </c>
      <c r="AS887">
        <v>0.27148299999999997</v>
      </c>
      <c r="AT887">
        <v>0.50998900000000003</v>
      </c>
      <c r="AU887">
        <v>3.0577100000000002</v>
      </c>
      <c r="AV887">
        <v>26.2639</v>
      </c>
      <c r="AW887">
        <v>55.178800000000003</v>
      </c>
      <c r="AX887">
        <v>12.3131</v>
      </c>
      <c r="AY887">
        <v>2.6766100000000002</v>
      </c>
      <c r="AZ887">
        <v>510.51100000000002</v>
      </c>
      <c r="BA887">
        <v>528.59900000000005</v>
      </c>
      <c r="BB887">
        <v>21703</v>
      </c>
      <c r="BC887">
        <v>0.31190499999999999</v>
      </c>
      <c r="BD887">
        <v>8.3331500000000003E-2</v>
      </c>
      <c r="BE887">
        <v>0.226662</v>
      </c>
      <c r="BF887">
        <v>0.49887799999999999</v>
      </c>
      <c r="BG887">
        <v>2.7566099999999998</v>
      </c>
      <c r="BH887">
        <v>18.8462</v>
      </c>
      <c r="BI887">
        <v>77.588300000000004</v>
      </c>
      <c r="BJ887">
        <v>29.869199999999999</v>
      </c>
      <c r="BK887">
        <v>0</v>
      </c>
      <c r="BL887">
        <v>37.192500000000003</v>
      </c>
      <c r="BM887">
        <v>56.202100000000002</v>
      </c>
      <c r="BN887">
        <v>5.0654399999999997</v>
      </c>
      <c r="BO887">
        <v>0.91664599999999996</v>
      </c>
      <c r="BP887">
        <v>0.62331999999999999</v>
      </c>
      <c r="BQ887">
        <v>30.253599999999999</v>
      </c>
      <c r="BR887">
        <v>90002</v>
      </c>
    </row>
    <row r="888" spans="1:70" x14ac:dyDescent="0.25">
      <c r="A888">
        <v>53</v>
      </c>
      <c r="B888" s="7">
        <v>46013.57534722222</v>
      </c>
      <c r="C888" t="s">
        <v>202</v>
      </c>
      <c r="D888" s="6" t="s">
        <v>429</v>
      </c>
      <c r="E888" s="6" t="str">
        <f>VLOOKUP(F888,Germplasm!$A$1:$B$21,2,FALSE)</f>
        <v>Brage</v>
      </c>
      <c r="F888" t="s">
        <v>81</v>
      </c>
      <c r="G888" s="6" t="s">
        <v>113</v>
      </c>
      <c r="H888">
        <v>0</v>
      </c>
      <c r="J888">
        <v>0</v>
      </c>
      <c r="M888">
        <v>0</v>
      </c>
      <c r="N888">
        <v>0</v>
      </c>
      <c r="O888">
        <v>0</v>
      </c>
      <c r="AZ888">
        <v>0</v>
      </c>
      <c r="BA888">
        <v>0</v>
      </c>
      <c r="BB888">
        <v>0</v>
      </c>
      <c r="BR888">
        <v>0</v>
      </c>
    </row>
    <row r="889" spans="1:70" x14ac:dyDescent="0.25">
      <c r="A889">
        <v>53</v>
      </c>
      <c r="B889" s="7">
        <v>46013.575879629629</v>
      </c>
      <c r="C889" t="s">
        <v>202</v>
      </c>
      <c r="D889" s="6" t="s">
        <v>430</v>
      </c>
      <c r="E889" s="6" t="str">
        <f>VLOOKUP(F889,Germplasm!$A$1:$B$21,2,FALSE)</f>
        <v>Brage</v>
      </c>
      <c r="F889" t="s">
        <v>81</v>
      </c>
      <c r="G889" s="6" t="s">
        <v>113</v>
      </c>
      <c r="H889">
        <v>45723.1</v>
      </c>
      <c r="I889">
        <v>430.18</v>
      </c>
      <c r="J889">
        <v>105559</v>
      </c>
      <c r="K889">
        <v>22.036200000000001</v>
      </c>
      <c r="L889">
        <v>62.810499999999998</v>
      </c>
      <c r="M889">
        <v>1250.1199999999999</v>
      </c>
      <c r="N889">
        <v>469.298</v>
      </c>
      <c r="O889">
        <v>23289200</v>
      </c>
      <c r="P889">
        <v>3.6570199999999997E-2</v>
      </c>
      <c r="Q889">
        <v>1.11992</v>
      </c>
      <c r="R889">
        <v>31.358699999999999</v>
      </c>
      <c r="S889">
        <v>56.621400000000001</v>
      </c>
      <c r="T889">
        <v>8.95303</v>
      </c>
      <c r="U889">
        <v>1.9029100000000001</v>
      </c>
      <c r="V889">
        <v>4.4082900000000001E-2</v>
      </c>
      <c r="W889">
        <v>42.0901</v>
      </c>
      <c r="X889">
        <v>17.2879</v>
      </c>
      <c r="Y889">
        <v>51.680900000000001</v>
      </c>
      <c r="Z889">
        <v>13.9313</v>
      </c>
      <c r="AA889">
        <v>9.1860400000000002</v>
      </c>
      <c r="AB889">
        <v>2.6187399999999998</v>
      </c>
      <c r="AC889">
        <v>5.2952000000000004</v>
      </c>
      <c r="AD889">
        <v>1.96563</v>
      </c>
      <c r="AE889">
        <v>14.669700000000001</v>
      </c>
      <c r="AF889">
        <v>0</v>
      </c>
      <c r="AG889">
        <v>89.646799999999999</v>
      </c>
      <c r="AH889">
        <v>10.351100000000001</v>
      </c>
      <c r="AI889">
        <v>1.04959E-3</v>
      </c>
      <c r="AJ889">
        <v>1.04959E-3</v>
      </c>
      <c r="AK889">
        <v>0</v>
      </c>
      <c r="AL889">
        <v>0.13808300000000001</v>
      </c>
      <c r="AM889">
        <v>8.5122</v>
      </c>
      <c r="AN889">
        <v>56.273899999999998</v>
      </c>
      <c r="AO889">
        <v>23.6158</v>
      </c>
      <c r="AP889">
        <v>8.2267100000000006</v>
      </c>
      <c r="AQ889">
        <v>2.7509800000000002</v>
      </c>
      <c r="AR889">
        <v>0.62031000000000003</v>
      </c>
      <c r="AS889">
        <v>0.27268500000000001</v>
      </c>
      <c r="AT889">
        <v>0.428234</v>
      </c>
      <c r="AU889">
        <v>3.0564200000000001</v>
      </c>
      <c r="AV889">
        <v>25.896599999999999</v>
      </c>
      <c r="AW889">
        <v>55.398600000000002</v>
      </c>
      <c r="AX889">
        <v>12.8848</v>
      </c>
      <c r="AY889">
        <v>2.33535</v>
      </c>
      <c r="AZ889">
        <v>509.35399999999998</v>
      </c>
      <c r="BA889">
        <v>556.19899999999996</v>
      </c>
      <c r="BB889">
        <v>23261.3</v>
      </c>
      <c r="BC889">
        <v>0.31590699999999999</v>
      </c>
      <c r="BD889">
        <v>8.8165800000000003E-2</v>
      </c>
      <c r="BE889">
        <v>0.18892700000000001</v>
      </c>
      <c r="BF889">
        <v>0.429284</v>
      </c>
      <c r="BG889">
        <v>2.77827</v>
      </c>
      <c r="BH889">
        <v>18.4466</v>
      </c>
      <c r="BI889">
        <v>78.068700000000007</v>
      </c>
      <c r="BJ889">
        <v>29.747900000000001</v>
      </c>
      <c r="BK889">
        <v>0</v>
      </c>
      <c r="BL889">
        <v>37.1</v>
      </c>
      <c r="BM889">
        <v>56.825000000000003</v>
      </c>
      <c r="BN889">
        <v>4.7913899999999998</v>
      </c>
      <c r="BO889">
        <v>0.75570700000000002</v>
      </c>
      <c r="BP889">
        <v>0.527945</v>
      </c>
      <c r="BQ889">
        <v>30.609500000000001</v>
      </c>
      <c r="BR889">
        <v>95275</v>
      </c>
    </row>
    <row r="890" spans="1:70" x14ac:dyDescent="0.25">
      <c r="A890">
        <v>53</v>
      </c>
      <c r="B890" s="7">
        <v>46024.551469907405</v>
      </c>
      <c r="C890" t="s">
        <v>202</v>
      </c>
      <c r="D890" s="6" t="s">
        <v>431</v>
      </c>
      <c r="E890" s="6" t="str">
        <f>VLOOKUP(F890,Germplasm!$A$1:$B$21,2,FALSE)</f>
        <v>Brage</v>
      </c>
      <c r="F890" t="s">
        <v>81</v>
      </c>
      <c r="G890" s="6" t="s">
        <v>113</v>
      </c>
      <c r="H890">
        <v>41996.6</v>
      </c>
      <c r="I890">
        <v>407.43700000000001</v>
      </c>
      <c r="J890">
        <v>92524.6</v>
      </c>
      <c r="K890">
        <v>24.0548</v>
      </c>
      <c r="L890">
        <v>56.683999999999997</v>
      </c>
      <c r="M890">
        <v>1197.9100000000001</v>
      </c>
      <c r="N890">
        <v>467.28899999999999</v>
      </c>
      <c r="O890">
        <v>18424900</v>
      </c>
      <c r="P890">
        <v>2.2788499999999998E-3</v>
      </c>
      <c r="Q890">
        <v>1.1105799999999999</v>
      </c>
      <c r="R890">
        <v>43.413499999999999</v>
      </c>
      <c r="S890">
        <v>53.9315</v>
      </c>
      <c r="T890">
        <v>1.3245199999999999</v>
      </c>
      <c r="U890">
        <v>0.1875</v>
      </c>
      <c r="V890">
        <v>3.2451899999999999E-2</v>
      </c>
      <c r="W890">
        <v>32.553400000000003</v>
      </c>
      <c r="X890">
        <v>24.356999999999999</v>
      </c>
      <c r="Y890">
        <v>61.915900000000001</v>
      </c>
      <c r="Z890">
        <v>6.91587</v>
      </c>
      <c r="AA890">
        <v>1.6262000000000001</v>
      </c>
      <c r="AB890">
        <v>0.621394</v>
      </c>
      <c r="AC890">
        <v>4.5636999999999999</v>
      </c>
      <c r="AD890">
        <v>1.8869199999999999</v>
      </c>
      <c r="AE890">
        <v>18.7395</v>
      </c>
      <c r="AF890">
        <v>0</v>
      </c>
      <c r="AG890">
        <v>79.716300000000004</v>
      </c>
      <c r="AH890">
        <v>19.2837</v>
      </c>
      <c r="AI890">
        <v>0.972356</v>
      </c>
      <c r="AJ890">
        <v>2.7644200000000001E-2</v>
      </c>
      <c r="AK890">
        <v>0</v>
      </c>
      <c r="AL890">
        <v>8.9926000000000006E-2</v>
      </c>
      <c r="AM890">
        <v>11.869</v>
      </c>
      <c r="AN890">
        <v>68.846199999999996</v>
      </c>
      <c r="AO890">
        <v>16.228400000000001</v>
      </c>
      <c r="AP890">
        <v>2.1358199999999998</v>
      </c>
      <c r="AQ890">
        <v>0.63822100000000004</v>
      </c>
      <c r="AR890">
        <v>0.28245199999999998</v>
      </c>
      <c r="AS890">
        <v>0.292271</v>
      </c>
      <c r="AT890">
        <v>0.33894200000000002</v>
      </c>
      <c r="AU890">
        <v>2.2295699999999998</v>
      </c>
      <c r="AV890">
        <v>21.2837</v>
      </c>
      <c r="AW890">
        <v>58.281199999999998</v>
      </c>
      <c r="AX890">
        <v>14.563700000000001</v>
      </c>
      <c r="AY890">
        <v>3.30288</v>
      </c>
      <c r="AZ890">
        <v>438.72399999999999</v>
      </c>
      <c r="BA890">
        <v>494.99900000000002</v>
      </c>
      <c r="BB890">
        <v>22256.7</v>
      </c>
      <c r="BC890">
        <v>0.35919299999999998</v>
      </c>
      <c r="BD890">
        <v>7.9326900000000006E-2</v>
      </c>
      <c r="BE890">
        <v>0.20432700000000001</v>
      </c>
      <c r="BF890">
        <v>0.453125</v>
      </c>
      <c r="BG890">
        <v>1.8317300000000001</v>
      </c>
      <c r="BH890">
        <v>8.7692300000000003</v>
      </c>
      <c r="BI890">
        <v>88.662300000000002</v>
      </c>
      <c r="BJ890">
        <v>30.260100000000001</v>
      </c>
      <c r="BK890">
        <v>0</v>
      </c>
      <c r="BL890">
        <v>37.003599999999999</v>
      </c>
      <c r="BM890">
        <v>55.622599999999998</v>
      </c>
      <c r="BN890">
        <v>5.7932699999999997</v>
      </c>
      <c r="BO890">
        <v>1.04928</v>
      </c>
      <c r="BP890">
        <v>0.53125</v>
      </c>
      <c r="BQ890">
        <v>32.033799999999999</v>
      </c>
      <c r="BR890">
        <v>83200</v>
      </c>
    </row>
    <row r="891" spans="1:70" x14ac:dyDescent="0.25">
      <c r="A891">
        <v>54</v>
      </c>
      <c r="B891" s="7">
        <v>45952.583738425928</v>
      </c>
      <c r="C891" t="s">
        <v>206</v>
      </c>
      <c r="D891" s="6" t="s">
        <v>432</v>
      </c>
      <c r="E891" s="6" t="str">
        <f>VLOOKUP(F891,Germplasm!$A$1:$B$21,2,FALSE)</f>
        <v>Arve</v>
      </c>
      <c r="F891" t="s">
        <v>68</v>
      </c>
      <c r="G891" s="6" t="s">
        <v>113</v>
      </c>
      <c r="H891">
        <v>34935.599999999999</v>
      </c>
      <c r="I891">
        <v>268.74700000000001</v>
      </c>
      <c r="J891">
        <v>124224</v>
      </c>
      <c r="K891">
        <v>17.3078</v>
      </c>
      <c r="L891">
        <v>59.267299999999999</v>
      </c>
      <c r="M891">
        <v>1393.79</v>
      </c>
      <c r="N891">
        <v>533.97500000000002</v>
      </c>
      <c r="O891">
        <v>11086900</v>
      </c>
      <c r="P891">
        <v>0.22042400000000001</v>
      </c>
      <c r="Q891">
        <v>0.33753699999999998</v>
      </c>
      <c r="R891">
        <v>6.0006700000000004</v>
      </c>
      <c r="S891">
        <v>22.469200000000001</v>
      </c>
      <c r="T891">
        <v>41.012900000000002</v>
      </c>
      <c r="U891">
        <v>29.908899999999999</v>
      </c>
      <c r="V891">
        <v>0.27086300000000002</v>
      </c>
      <c r="W891">
        <v>115.767</v>
      </c>
      <c r="X891">
        <v>1.9946699999999999</v>
      </c>
      <c r="Y891">
        <v>2.7808600000000001</v>
      </c>
      <c r="Z891">
        <v>4.5421699999999996</v>
      </c>
      <c r="AA891">
        <v>16.953299999999999</v>
      </c>
      <c r="AB891">
        <v>36.384599999999999</v>
      </c>
      <c r="AC891">
        <v>37.3444</v>
      </c>
      <c r="AD891">
        <v>1.6248800000000001</v>
      </c>
      <c r="AE891">
        <v>14.648999999999999</v>
      </c>
      <c r="AF891">
        <v>0</v>
      </c>
      <c r="AG891">
        <v>89.779399999999995</v>
      </c>
      <c r="AH891">
        <v>1.25708</v>
      </c>
      <c r="AI891">
        <v>1.74464</v>
      </c>
      <c r="AJ891">
        <v>7.2188600000000003</v>
      </c>
      <c r="AK891">
        <v>0</v>
      </c>
      <c r="AL891">
        <v>0.46563300000000002</v>
      </c>
      <c r="AM891">
        <v>8.6981900000000003</v>
      </c>
      <c r="AN891">
        <v>3.93377</v>
      </c>
      <c r="AO891">
        <v>4.5296700000000003</v>
      </c>
      <c r="AP891">
        <v>14.012700000000001</v>
      </c>
      <c r="AQ891">
        <v>40.303100000000001</v>
      </c>
      <c r="AR891">
        <v>28.522600000000001</v>
      </c>
      <c r="AS891">
        <v>3.2812000000000001E-2</v>
      </c>
      <c r="AT891">
        <v>7.1424599999999998</v>
      </c>
      <c r="AU891">
        <v>35.577599999999997</v>
      </c>
      <c r="AV891">
        <v>42.77</v>
      </c>
      <c r="AW891">
        <v>11.488799999999999</v>
      </c>
      <c r="AX891">
        <v>2.1071800000000001</v>
      </c>
      <c r="AY891">
        <v>0.91398999999999997</v>
      </c>
      <c r="AZ891">
        <v>317.35199999999998</v>
      </c>
      <c r="BA891">
        <v>347.4</v>
      </c>
      <c r="BB891">
        <v>21500.400000000001</v>
      </c>
      <c r="BC891">
        <v>3.0767799999999999E-3</v>
      </c>
      <c r="BD891">
        <v>0.68479800000000002</v>
      </c>
      <c r="BE891">
        <v>0.89593299999999998</v>
      </c>
      <c r="BF891">
        <v>3.1517400000000002</v>
      </c>
      <c r="BG891">
        <v>37.9876</v>
      </c>
      <c r="BH891">
        <v>52.214100000000002</v>
      </c>
      <c r="BI891">
        <v>5.0658399999999997</v>
      </c>
      <c r="BJ891">
        <v>32.717599999999997</v>
      </c>
      <c r="BK891">
        <v>0</v>
      </c>
      <c r="BL891">
        <v>31.406300000000002</v>
      </c>
      <c r="BM891">
        <v>58.406500000000001</v>
      </c>
      <c r="BN891">
        <v>7.8633699999999997</v>
      </c>
      <c r="BO891">
        <v>1.18069</v>
      </c>
      <c r="BP891">
        <v>1.1431800000000001</v>
      </c>
      <c r="BQ891">
        <v>38.020200000000003</v>
      </c>
      <c r="BR891">
        <v>71992</v>
      </c>
    </row>
    <row r="892" spans="1:70" x14ac:dyDescent="0.25">
      <c r="A892">
        <v>54</v>
      </c>
      <c r="B892" s="7">
        <v>45959.55741898148</v>
      </c>
      <c r="C892" t="s">
        <v>206</v>
      </c>
      <c r="D892" s="6" t="s">
        <v>433</v>
      </c>
      <c r="E892" s="6" t="str">
        <f>VLOOKUP(F892,Germplasm!$A$1:$B$21,2,FALSE)</f>
        <v>Arve</v>
      </c>
      <c r="F892" t="s">
        <v>68</v>
      </c>
      <c r="G892" s="6" t="s">
        <v>113</v>
      </c>
      <c r="H892">
        <v>0</v>
      </c>
      <c r="J892">
        <v>0</v>
      </c>
      <c r="M892">
        <v>0</v>
      </c>
      <c r="N892">
        <v>0</v>
      </c>
      <c r="O892">
        <v>0</v>
      </c>
      <c r="AZ892">
        <v>0</v>
      </c>
      <c r="BA892">
        <v>0</v>
      </c>
      <c r="BB892">
        <v>0</v>
      </c>
      <c r="BR892">
        <v>0</v>
      </c>
    </row>
    <row r="893" spans="1:70" x14ac:dyDescent="0.25">
      <c r="A893">
        <v>54</v>
      </c>
      <c r="B893" s="7">
        <v>45966.522789351853</v>
      </c>
      <c r="C893" t="s">
        <v>206</v>
      </c>
      <c r="D893" s="6" t="s">
        <v>434</v>
      </c>
      <c r="E893" s="6" t="str">
        <f>VLOOKUP(F893,Germplasm!$A$1:$B$21,2,FALSE)</f>
        <v>Arve</v>
      </c>
      <c r="F893" t="s">
        <v>68</v>
      </c>
      <c r="G893" s="6" t="s">
        <v>113</v>
      </c>
      <c r="H893">
        <v>76832.800000000003</v>
      </c>
      <c r="I893">
        <v>461.952</v>
      </c>
      <c r="J893">
        <v>192944</v>
      </c>
      <c r="K893">
        <v>23.9693</v>
      </c>
      <c r="L893">
        <v>72.226399999999998</v>
      </c>
      <c r="M893">
        <v>1716.35</v>
      </c>
      <c r="N893">
        <v>655.00900000000001</v>
      </c>
      <c r="O893">
        <v>40704800</v>
      </c>
      <c r="P893">
        <v>0.25146299999999999</v>
      </c>
      <c r="Q893">
        <v>0.37517899999999998</v>
      </c>
      <c r="R893">
        <v>3.7770100000000002</v>
      </c>
      <c r="S893">
        <v>18.740500000000001</v>
      </c>
      <c r="T893">
        <v>39.401200000000003</v>
      </c>
      <c r="U893">
        <v>36.577500000000001</v>
      </c>
      <c r="V893">
        <v>1.1286099999999999</v>
      </c>
      <c r="W893">
        <v>116.28</v>
      </c>
      <c r="X893">
        <v>1.28668</v>
      </c>
      <c r="Y893">
        <v>2.3248799999999998</v>
      </c>
      <c r="Z893">
        <v>3.6952099999999999</v>
      </c>
      <c r="AA893">
        <v>16.3018</v>
      </c>
      <c r="AB893">
        <v>40.189100000000003</v>
      </c>
      <c r="AC893">
        <v>36.202300000000001</v>
      </c>
      <c r="AD893">
        <v>1.6613500000000001</v>
      </c>
      <c r="AE893">
        <v>10.3184</v>
      </c>
      <c r="AF893">
        <v>0</v>
      </c>
      <c r="AG893">
        <v>94.402500000000003</v>
      </c>
      <c r="AH893">
        <v>0.56153900000000001</v>
      </c>
      <c r="AI893">
        <v>1.13907</v>
      </c>
      <c r="AJ893">
        <v>3.8969399999999998</v>
      </c>
      <c r="AK893">
        <v>0</v>
      </c>
      <c r="AL893">
        <v>0.52014099999999996</v>
      </c>
      <c r="AM893">
        <v>4.7346399999999997</v>
      </c>
      <c r="AN893">
        <v>3.21916</v>
      </c>
      <c r="AO893">
        <v>4.5821100000000001</v>
      </c>
      <c r="AP893">
        <v>11.7905</v>
      </c>
      <c r="AQ893">
        <v>33.4039</v>
      </c>
      <c r="AR893">
        <v>42.269799999999996</v>
      </c>
      <c r="AS893">
        <v>4.58427E-2</v>
      </c>
      <c r="AT893">
        <v>6.8356399999999997</v>
      </c>
      <c r="AU893">
        <v>35.772399999999998</v>
      </c>
      <c r="AV893">
        <v>40.823799999999999</v>
      </c>
      <c r="AW893">
        <v>11.5174</v>
      </c>
      <c r="AX893">
        <v>2.99221</v>
      </c>
      <c r="AY893">
        <v>2.0585599999999999</v>
      </c>
      <c r="AZ893">
        <v>529.78399999999999</v>
      </c>
      <c r="BA893">
        <v>570.29899999999998</v>
      </c>
      <c r="BB893">
        <v>46247.199999999997</v>
      </c>
      <c r="BC893">
        <v>1.1576400000000001E-2</v>
      </c>
      <c r="BD893">
        <v>0.349962</v>
      </c>
      <c r="BE893">
        <v>0.50741400000000003</v>
      </c>
      <c r="BF893">
        <v>2.4448099999999999</v>
      </c>
      <c r="BG893">
        <v>39.305900000000001</v>
      </c>
      <c r="BH893">
        <v>52.2883</v>
      </c>
      <c r="BI893">
        <v>5.1036700000000002</v>
      </c>
      <c r="BJ893">
        <v>34.588000000000001</v>
      </c>
      <c r="BK893">
        <v>0</v>
      </c>
      <c r="BL893">
        <v>28.987200000000001</v>
      </c>
      <c r="BM893">
        <v>57.171799999999998</v>
      </c>
      <c r="BN893">
        <v>10.851900000000001</v>
      </c>
      <c r="BO893">
        <v>1.9730700000000001</v>
      </c>
      <c r="BP893">
        <v>1.01606</v>
      </c>
      <c r="BQ893">
        <v>37.063899999999997</v>
      </c>
      <c r="BR893">
        <v>162589</v>
      </c>
    </row>
    <row r="894" spans="1:70" x14ac:dyDescent="0.25">
      <c r="A894">
        <v>54</v>
      </c>
      <c r="B894" s="7">
        <v>45973.581284722219</v>
      </c>
      <c r="C894" t="s">
        <v>206</v>
      </c>
      <c r="D894" s="6" t="s">
        <v>435</v>
      </c>
      <c r="E894" s="6" t="str">
        <f>VLOOKUP(F894,Germplasm!$A$1:$B$21,2,FALSE)</f>
        <v>Arve</v>
      </c>
      <c r="F894" t="s">
        <v>68</v>
      </c>
      <c r="G894" s="6" t="s">
        <v>113</v>
      </c>
      <c r="H894">
        <v>0</v>
      </c>
      <c r="J894">
        <v>0</v>
      </c>
      <c r="M894">
        <v>0</v>
      </c>
      <c r="N894">
        <v>0</v>
      </c>
      <c r="O894">
        <v>0</v>
      </c>
      <c r="AZ894">
        <v>0</v>
      </c>
      <c r="BA894">
        <v>0</v>
      </c>
      <c r="BB894">
        <v>0</v>
      </c>
      <c r="BR894">
        <v>0</v>
      </c>
    </row>
    <row r="895" spans="1:70" x14ac:dyDescent="0.25">
      <c r="A895">
        <v>54</v>
      </c>
      <c r="B895" s="7">
        <v>45988.60297453704</v>
      </c>
      <c r="C895" t="s">
        <v>206</v>
      </c>
      <c r="D895" s="6" t="s">
        <v>436</v>
      </c>
      <c r="E895" s="6" t="str">
        <f>VLOOKUP(F895,Germplasm!$A$1:$B$21,2,FALSE)</f>
        <v>Arve</v>
      </c>
      <c r="F895" t="s">
        <v>68</v>
      </c>
      <c r="G895" s="6" t="s">
        <v>113</v>
      </c>
      <c r="H895">
        <v>60916.1</v>
      </c>
      <c r="I895">
        <v>471.72399999999999</v>
      </c>
      <c r="J895">
        <v>145702</v>
      </c>
      <c r="K895">
        <v>23.763300000000001</v>
      </c>
      <c r="L895">
        <v>65.994699999999995</v>
      </c>
      <c r="M895">
        <v>1429.1</v>
      </c>
      <c r="N895">
        <v>523.69100000000003</v>
      </c>
      <c r="O895">
        <v>36208700</v>
      </c>
      <c r="P895">
        <v>0.145755</v>
      </c>
      <c r="Q895">
        <v>1.01685</v>
      </c>
      <c r="R895">
        <v>16.288699999999999</v>
      </c>
      <c r="S895">
        <v>34.197299999999998</v>
      </c>
      <c r="T895">
        <v>32.499899999999997</v>
      </c>
      <c r="U895">
        <v>15.180300000000001</v>
      </c>
      <c r="V895">
        <v>0.81700200000000001</v>
      </c>
      <c r="W895">
        <v>78.491100000000003</v>
      </c>
      <c r="X895">
        <v>9.4655400000000007</v>
      </c>
      <c r="Y895">
        <v>16.804500000000001</v>
      </c>
      <c r="Z895">
        <v>13.053000000000001</v>
      </c>
      <c r="AA895">
        <v>26.176400000000001</v>
      </c>
      <c r="AB895">
        <v>19.582699999999999</v>
      </c>
      <c r="AC895">
        <v>14.9178</v>
      </c>
      <c r="AD895">
        <v>1.75939</v>
      </c>
      <c r="AE895">
        <v>12.494999999999999</v>
      </c>
      <c r="AF895">
        <v>0</v>
      </c>
      <c r="AG895">
        <v>92.908799999999999</v>
      </c>
      <c r="AH895">
        <v>2.5016699999999998</v>
      </c>
      <c r="AI895">
        <v>0.85640899999999998</v>
      </c>
      <c r="AJ895">
        <v>3.7331599999999998</v>
      </c>
      <c r="AK895">
        <v>0</v>
      </c>
      <c r="AL895">
        <v>0.308923</v>
      </c>
      <c r="AM895">
        <v>7.4198700000000004</v>
      </c>
      <c r="AN895">
        <v>21.8156</v>
      </c>
      <c r="AO895">
        <v>19.745999999999999</v>
      </c>
      <c r="AP895">
        <v>21.2026</v>
      </c>
      <c r="AQ895">
        <v>19.671399999999998</v>
      </c>
      <c r="AR895">
        <v>10.144600000000001</v>
      </c>
      <c r="AS895">
        <v>0.202124</v>
      </c>
      <c r="AT895">
        <v>1.7993699999999999</v>
      </c>
      <c r="AU895">
        <v>13.181800000000001</v>
      </c>
      <c r="AV895">
        <v>36.279499999999999</v>
      </c>
      <c r="AW895">
        <v>33.104399999999998</v>
      </c>
      <c r="AX895">
        <v>12.428100000000001</v>
      </c>
      <c r="AY895">
        <v>3.2067800000000002</v>
      </c>
      <c r="AZ895">
        <v>594.404</v>
      </c>
      <c r="BA895">
        <v>670.19899999999996</v>
      </c>
      <c r="BB895">
        <v>34623.5</v>
      </c>
      <c r="BC895">
        <v>0.165271</v>
      </c>
      <c r="BD895">
        <v>0.37859300000000001</v>
      </c>
      <c r="BE895">
        <v>0.53692700000000004</v>
      </c>
      <c r="BF895">
        <v>1.4946699999999999</v>
      </c>
      <c r="BG895">
        <v>12.5647</v>
      </c>
      <c r="BH895">
        <v>47.323500000000003</v>
      </c>
      <c r="BI895">
        <v>37.701700000000002</v>
      </c>
      <c r="BJ895">
        <v>33.5899</v>
      </c>
      <c r="BK895">
        <v>0</v>
      </c>
      <c r="BL895">
        <v>32.499899999999997</v>
      </c>
      <c r="BM895">
        <v>53.859499999999997</v>
      </c>
      <c r="BN895">
        <v>10.321199999999999</v>
      </c>
      <c r="BO895">
        <v>1.94363</v>
      </c>
      <c r="BP895">
        <v>1.37574</v>
      </c>
      <c r="BQ895">
        <v>34.681199999999997</v>
      </c>
      <c r="BR895">
        <v>142105</v>
      </c>
    </row>
    <row r="896" spans="1:70" x14ac:dyDescent="0.25">
      <c r="A896">
        <v>54</v>
      </c>
      <c r="B896" s="7">
        <v>45994.544953703706</v>
      </c>
      <c r="C896" t="s">
        <v>206</v>
      </c>
      <c r="D896" s="6" t="s">
        <v>437</v>
      </c>
      <c r="E896" s="6" t="str">
        <f>VLOOKUP(F896,Germplasm!$A$1:$B$21,2,FALSE)</f>
        <v>Arve</v>
      </c>
      <c r="F896" t="s">
        <v>68</v>
      </c>
      <c r="G896" s="6" t="s">
        <v>113</v>
      </c>
      <c r="H896">
        <v>51158</v>
      </c>
      <c r="I896">
        <v>515.96100000000001</v>
      </c>
      <c r="J896">
        <v>168147</v>
      </c>
      <c r="K896">
        <v>17.140699999999999</v>
      </c>
      <c r="L896">
        <v>76.606800000000007</v>
      </c>
      <c r="M896">
        <v>1583.77</v>
      </c>
      <c r="N896">
        <v>562.101</v>
      </c>
      <c r="O896">
        <v>30985700</v>
      </c>
      <c r="P896">
        <v>9.5244300000000004E-2</v>
      </c>
      <c r="Q896">
        <v>1.2110399999999999</v>
      </c>
      <c r="R896">
        <v>25.029299999999999</v>
      </c>
      <c r="S896">
        <v>41.217500000000001</v>
      </c>
      <c r="T896">
        <v>22.759799999999998</v>
      </c>
      <c r="U896">
        <v>9.3550500000000003</v>
      </c>
      <c r="V896">
        <v>0.42732900000000001</v>
      </c>
      <c r="W896">
        <v>62.430599999999998</v>
      </c>
      <c r="X896">
        <v>14.3329</v>
      </c>
      <c r="Y896">
        <v>27.646100000000001</v>
      </c>
      <c r="Z896">
        <v>12.288600000000001</v>
      </c>
      <c r="AA896">
        <v>20.312999999999999</v>
      </c>
      <c r="AB896">
        <v>12.386799999999999</v>
      </c>
      <c r="AC896">
        <v>13.0327</v>
      </c>
      <c r="AD896">
        <v>1.7749900000000001</v>
      </c>
      <c r="AE896">
        <v>15.579599999999999</v>
      </c>
      <c r="AF896">
        <v>0</v>
      </c>
      <c r="AG896">
        <v>86.820400000000006</v>
      </c>
      <c r="AH896">
        <v>7.6284099999999997</v>
      </c>
      <c r="AI896">
        <v>0.99242699999999995</v>
      </c>
      <c r="AJ896">
        <v>4.5587299999999997</v>
      </c>
      <c r="AK896">
        <v>0</v>
      </c>
      <c r="AL896">
        <v>0.230655</v>
      </c>
      <c r="AM896">
        <v>10.1412</v>
      </c>
      <c r="AN896">
        <v>34.327399999999997</v>
      </c>
      <c r="AO896">
        <v>20.5943</v>
      </c>
      <c r="AP896">
        <v>17.3992</v>
      </c>
      <c r="AQ896">
        <v>12.709300000000001</v>
      </c>
      <c r="AR896">
        <v>4.8284900000000004</v>
      </c>
      <c r="AS896">
        <v>0.22752500000000001</v>
      </c>
      <c r="AT896">
        <v>1.2910600000000001</v>
      </c>
      <c r="AU896">
        <v>10.4588</v>
      </c>
      <c r="AV896">
        <v>31.049800000000001</v>
      </c>
      <c r="AW896">
        <v>41.292499999999997</v>
      </c>
      <c r="AX896">
        <v>12.9032</v>
      </c>
      <c r="AY896">
        <v>3.0045000000000002</v>
      </c>
      <c r="AZ896">
        <v>605.68600000000004</v>
      </c>
      <c r="BA896">
        <v>676.80100000000004</v>
      </c>
      <c r="BB896">
        <v>28821.5</v>
      </c>
      <c r="BC896">
        <v>0.217557</v>
      </c>
      <c r="BD896">
        <v>0.32008399999999998</v>
      </c>
      <c r="BE896">
        <v>0.52797400000000005</v>
      </c>
      <c r="BF896">
        <v>1.4898800000000001</v>
      </c>
      <c r="BG896">
        <v>9.4111399999999996</v>
      </c>
      <c r="BH896">
        <v>36.783299999999997</v>
      </c>
      <c r="BI896">
        <v>51.467599999999997</v>
      </c>
      <c r="BJ896">
        <v>32.453000000000003</v>
      </c>
      <c r="BK896">
        <v>0</v>
      </c>
      <c r="BL896">
        <v>33.9026</v>
      </c>
      <c r="BM896">
        <v>54.3063</v>
      </c>
      <c r="BN896">
        <v>8.8097499999999993</v>
      </c>
      <c r="BO896">
        <v>1.6383700000000001</v>
      </c>
      <c r="BP896">
        <v>1.3430299999999999</v>
      </c>
      <c r="BQ896">
        <v>34.329099999999997</v>
      </c>
      <c r="BR896">
        <v>121218</v>
      </c>
    </row>
    <row r="897" spans="1:70" x14ac:dyDescent="0.25">
      <c r="A897">
        <v>54</v>
      </c>
      <c r="B897" s="7">
        <v>46002.552615740744</v>
      </c>
      <c r="C897" t="s">
        <v>206</v>
      </c>
      <c r="D897" s="6" t="s">
        <v>438</v>
      </c>
      <c r="E897" s="6" t="str">
        <f>VLOOKUP(F897,Germplasm!$A$1:$B$21,2,FALSE)</f>
        <v>Arve</v>
      </c>
      <c r="F897" t="s">
        <v>68</v>
      </c>
      <c r="G897" s="6" t="s">
        <v>113</v>
      </c>
      <c r="H897">
        <v>45063.9</v>
      </c>
      <c r="I897">
        <v>529.15599999999995</v>
      </c>
      <c r="J897">
        <v>126658</v>
      </c>
      <c r="K897">
        <v>20.1736</v>
      </c>
      <c r="L897">
        <v>47.966700000000003</v>
      </c>
      <c r="M897">
        <v>1432.33</v>
      </c>
      <c r="N897">
        <v>556.601</v>
      </c>
      <c r="O897">
        <v>27664200</v>
      </c>
      <c r="P897">
        <v>6.4082100000000003E-2</v>
      </c>
      <c r="Q897">
        <v>1.1620900000000001</v>
      </c>
      <c r="R897">
        <v>31.042200000000001</v>
      </c>
      <c r="S897">
        <v>46.722200000000001</v>
      </c>
      <c r="T897">
        <v>14.5275</v>
      </c>
      <c r="U897">
        <v>6.0665300000000002</v>
      </c>
      <c r="V897">
        <v>0.47946899999999998</v>
      </c>
      <c r="W897">
        <v>49.977200000000003</v>
      </c>
      <c r="X897">
        <v>17.515000000000001</v>
      </c>
      <c r="Y897">
        <v>37.353299999999997</v>
      </c>
      <c r="Z897">
        <v>14.2127</v>
      </c>
      <c r="AA897">
        <v>13.6235</v>
      </c>
      <c r="AB897">
        <v>6.4660900000000003</v>
      </c>
      <c r="AC897">
        <v>10.8294</v>
      </c>
      <c r="AD897">
        <v>1.76366</v>
      </c>
      <c r="AE897">
        <v>17.790199999999999</v>
      </c>
      <c r="AF897">
        <v>0</v>
      </c>
      <c r="AG897">
        <v>82.436800000000005</v>
      </c>
      <c r="AH897">
        <v>11.1683</v>
      </c>
      <c r="AI897">
        <v>1.21889</v>
      </c>
      <c r="AJ897">
        <v>5.1759500000000003</v>
      </c>
      <c r="AK897">
        <v>0</v>
      </c>
      <c r="AL897">
        <v>0.166826</v>
      </c>
      <c r="AM897">
        <v>13.375999999999999</v>
      </c>
      <c r="AN897">
        <v>44.192</v>
      </c>
      <c r="AO897">
        <v>21.8428</v>
      </c>
      <c r="AP897">
        <v>11.865399999999999</v>
      </c>
      <c r="AQ897">
        <v>5.9490699999999999</v>
      </c>
      <c r="AR897">
        <v>2.7747600000000001</v>
      </c>
      <c r="AS897">
        <v>0.25078699999999998</v>
      </c>
      <c r="AT897">
        <v>1.1813400000000001</v>
      </c>
      <c r="AU897">
        <v>7.8592399999999998</v>
      </c>
      <c r="AV897">
        <v>26.1022</v>
      </c>
      <c r="AW897">
        <v>47.933399999999999</v>
      </c>
      <c r="AX897">
        <v>13.263400000000001</v>
      </c>
      <c r="AY897">
        <v>3.66052</v>
      </c>
      <c r="AZ897">
        <v>613.88800000000003</v>
      </c>
      <c r="BA897">
        <v>670.79899999999998</v>
      </c>
      <c r="BB897">
        <v>25551.4</v>
      </c>
      <c r="BC897">
        <v>0.26023499999999999</v>
      </c>
      <c r="BD897">
        <v>0.47946899999999998</v>
      </c>
      <c r="BE897">
        <v>0.53145900000000001</v>
      </c>
      <c r="BF897">
        <v>1.2082999999999999</v>
      </c>
      <c r="BG897">
        <v>6.8203899999999997</v>
      </c>
      <c r="BH897">
        <v>24.555</v>
      </c>
      <c r="BI897">
        <v>66.4054</v>
      </c>
      <c r="BJ897">
        <v>32.116</v>
      </c>
      <c r="BK897">
        <v>0</v>
      </c>
      <c r="BL897">
        <v>36.000599999999999</v>
      </c>
      <c r="BM897">
        <v>52.176400000000001</v>
      </c>
      <c r="BN897">
        <v>8.5976999999999997</v>
      </c>
      <c r="BO897">
        <v>1.85626</v>
      </c>
      <c r="BP897">
        <v>1.3690800000000001</v>
      </c>
      <c r="BQ897">
        <v>34.578400000000002</v>
      </c>
      <c r="BR897">
        <v>103865</v>
      </c>
    </row>
    <row r="898" spans="1:70" x14ac:dyDescent="0.25">
      <c r="A898">
        <v>54</v>
      </c>
      <c r="B898" s="7">
        <v>46013.577303240738</v>
      </c>
      <c r="C898" t="s">
        <v>206</v>
      </c>
      <c r="D898" s="6" t="s">
        <v>439</v>
      </c>
      <c r="E898" s="6" t="str">
        <f>VLOOKUP(F898,Germplasm!$A$1:$B$21,2,FALSE)</f>
        <v>Arve</v>
      </c>
      <c r="F898" t="s">
        <v>68</v>
      </c>
      <c r="G898" s="6" t="s">
        <v>113</v>
      </c>
      <c r="H898">
        <v>37720.5</v>
      </c>
      <c r="I898">
        <v>437.64499999999998</v>
      </c>
      <c r="J898">
        <v>139139</v>
      </c>
      <c r="K898">
        <v>14.5694</v>
      </c>
      <c r="L898">
        <v>70.691199999999995</v>
      </c>
      <c r="M898">
        <v>1422.81</v>
      </c>
      <c r="N898">
        <v>520.45299999999997</v>
      </c>
      <c r="O898">
        <v>19106400</v>
      </c>
      <c r="P898">
        <v>1.13823E-2</v>
      </c>
      <c r="Q898">
        <v>1.4416</v>
      </c>
      <c r="R898">
        <v>37.544800000000002</v>
      </c>
      <c r="S898">
        <v>57.089500000000001</v>
      </c>
      <c r="T898">
        <v>3.09964</v>
      </c>
      <c r="U898">
        <v>0.76266999999999996</v>
      </c>
      <c r="V898">
        <v>6.18381E-2</v>
      </c>
      <c r="W898">
        <v>38.583100000000002</v>
      </c>
      <c r="X898">
        <v>21.108699999999999</v>
      </c>
      <c r="Y898">
        <v>51.597499999999997</v>
      </c>
      <c r="Z898">
        <v>10.440300000000001</v>
      </c>
      <c r="AA898">
        <v>5.1145300000000002</v>
      </c>
      <c r="AB898">
        <v>2.5095999999999998</v>
      </c>
      <c r="AC898">
        <v>9.2293400000000005</v>
      </c>
      <c r="AD898">
        <v>1.8607499999999999</v>
      </c>
      <c r="AE898">
        <v>22.0397</v>
      </c>
      <c r="AF898">
        <v>0</v>
      </c>
      <c r="AG898">
        <v>76.714100000000002</v>
      </c>
      <c r="AH898">
        <v>14.9133</v>
      </c>
      <c r="AI898">
        <v>1.4106799999999999</v>
      </c>
      <c r="AJ898">
        <v>6.9619400000000002</v>
      </c>
      <c r="AK898">
        <v>0</v>
      </c>
      <c r="AL898">
        <v>9.0548100000000006E-2</v>
      </c>
      <c r="AM898">
        <v>19.236799999999999</v>
      </c>
      <c r="AN898">
        <v>57.416699999999999</v>
      </c>
      <c r="AO898">
        <v>17.638000000000002</v>
      </c>
      <c r="AP898">
        <v>4.1470200000000004</v>
      </c>
      <c r="AQ898">
        <v>1.04094</v>
      </c>
      <c r="AR898">
        <v>0.52047100000000002</v>
      </c>
      <c r="AS898">
        <v>0.25227100000000002</v>
      </c>
      <c r="AT898">
        <v>1.3797600000000001</v>
      </c>
      <c r="AU898">
        <v>5.9866999999999999</v>
      </c>
      <c r="AV898">
        <v>25.805800000000001</v>
      </c>
      <c r="AW898">
        <v>52.204300000000003</v>
      </c>
      <c r="AX898">
        <v>11.2326</v>
      </c>
      <c r="AY898">
        <v>3.39079</v>
      </c>
      <c r="AZ898">
        <v>506.52699999999999</v>
      </c>
      <c r="BA898">
        <v>530.774</v>
      </c>
      <c r="BB898">
        <v>20271.7</v>
      </c>
      <c r="BC898">
        <v>0.29788399999999998</v>
      </c>
      <c r="BD898">
        <v>0.68279599999999996</v>
      </c>
      <c r="BE898">
        <v>0.68279599999999996</v>
      </c>
      <c r="BF898">
        <v>1.2599499999999999</v>
      </c>
      <c r="BG898">
        <v>4.7396399999999996</v>
      </c>
      <c r="BH898">
        <v>15.4299</v>
      </c>
      <c r="BI898">
        <v>77.204899999999995</v>
      </c>
      <c r="BJ898">
        <v>30.212599999999998</v>
      </c>
      <c r="BK898">
        <v>0</v>
      </c>
      <c r="BL898">
        <v>40.532299999999999</v>
      </c>
      <c r="BM898">
        <v>50.659599999999998</v>
      </c>
      <c r="BN898">
        <v>5.6414400000000002</v>
      </c>
      <c r="BO898">
        <v>1.52921</v>
      </c>
      <c r="BP898">
        <v>1.6374200000000001</v>
      </c>
      <c r="BQ898">
        <v>32.536000000000001</v>
      </c>
      <c r="BR898">
        <v>77622</v>
      </c>
    </row>
    <row r="899" spans="1:70" x14ac:dyDescent="0.25">
      <c r="A899">
        <v>54</v>
      </c>
      <c r="B899" s="7">
        <v>46024.555937500001</v>
      </c>
      <c r="C899" t="s">
        <v>206</v>
      </c>
      <c r="D899" s="6" t="s">
        <v>440</v>
      </c>
      <c r="E899" s="6" t="str">
        <f>VLOOKUP(F899,Germplasm!$A$1:$B$21,2,FALSE)</f>
        <v>Arve</v>
      </c>
      <c r="F899" t="s">
        <v>68</v>
      </c>
      <c r="G899" s="6" t="s">
        <v>113</v>
      </c>
      <c r="H899">
        <v>30166.2</v>
      </c>
      <c r="I899">
        <v>370.89100000000002</v>
      </c>
      <c r="J899">
        <v>91699.6</v>
      </c>
      <c r="K899">
        <v>18.0032</v>
      </c>
      <c r="L899">
        <v>81.605699999999999</v>
      </c>
      <c r="M899">
        <v>1170.58</v>
      </c>
      <c r="N899">
        <v>412.31400000000002</v>
      </c>
      <c r="O899">
        <v>12126900</v>
      </c>
      <c r="P899">
        <v>2.7046599999999998E-3</v>
      </c>
      <c r="Q899">
        <v>1.41273</v>
      </c>
      <c r="R899">
        <v>40.602499999999999</v>
      </c>
      <c r="S899">
        <v>56.278199999999998</v>
      </c>
      <c r="T899">
        <v>1.44825</v>
      </c>
      <c r="U899">
        <v>0.21473400000000001</v>
      </c>
      <c r="V899">
        <v>4.3592699999999998E-2</v>
      </c>
      <c r="W899">
        <v>36.061599999999999</v>
      </c>
      <c r="X899">
        <v>22.7715</v>
      </c>
      <c r="Y899">
        <v>53.641599999999997</v>
      </c>
      <c r="Z899">
        <v>8.48766</v>
      </c>
      <c r="AA899">
        <v>3.6698599999999999</v>
      </c>
      <c r="AB899">
        <v>1.8325100000000001</v>
      </c>
      <c r="AC899">
        <v>9.5968499999999999</v>
      </c>
      <c r="AD899">
        <v>1.82728</v>
      </c>
      <c r="AE899">
        <v>24.472200000000001</v>
      </c>
      <c r="AF899">
        <v>0</v>
      </c>
      <c r="AG899">
        <v>73.967100000000002</v>
      </c>
      <c r="AH899">
        <v>15.1783</v>
      </c>
      <c r="AI899">
        <v>1.9326099999999999</v>
      </c>
      <c r="AJ899">
        <v>8.92197</v>
      </c>
      <c r="AK899">
        <v>0</v>
      </c>
      <c r="AL899">
        <v>8.1146800000000005E-2</v>
      </c>
      <c r="AM899">
        <v>21.651</v>
      </c>
      <c r="AN899">
        <v>57.009500000000003</v>
      </c>
      <c r="AO899">
        <v>16.744399999999999</v>
      </c>
      <c r="AP899">
        <v>3.3324199999999999</v>
      </c>
      <c r="AQ899">
        <v>0.89445699999999995</v>
      </c>
      <c r="AR899">
        <v>0.368116</v>
      </c>
      <c r="AS899">
        <v>0.25970199999999999</v>
      </c>
      <c r="AT899">
        <v>1.57579</v>
      </c>
      <c r="AU899">
        <v>6.0545400000000003</v>
      </c>
      <c r="AV899">
        <v>26.683599999999998</v>
      </c>
      <c r="AW899">
        <v>47.512799999999999</v>
      </c>
      <c r="AX899">
        <v>13.081</v>
      </c>
      <c r="AY899">
        <v>5.0922700000000001</v>
      </c>
      <c r="AZ899">
        <v>402.00299999999999</v>
      </c>
      <c r="BA899">
        <v>451.19900000000001</v>
      </c>
      <c r="BB899">
        <v>16508.8</v>
      </c>
      <c r="BC899">
        <v>0.29897600000000002</v>
      </c>
      <c r="BD899">
        <v>0.91706100000000002</v>
      </c>
      <c r="BE899">
        <v>0.763679</v>
      </c>
      <c r="BF899">
        <v>1.35945</v>
      </c>
      <c r="BG899">
        <v>4.5853000000000002</v>
      </c>
      <c r="BH899">
        <v>15.294600000000001</v>
      </c>
      <c r="BI899">
        <v>77.079899999999995</v>
      </c>
      <c r="BJ899">
        <v>31.348700000000001</v>
      </c>
      <c r="BK899">
        <v>0</v>
      </c>
      <c r="BL899">
        <v>40.7866</v>
      </c>
      <c r="BM899">
        <v>47.381999999999998</v>
      </c>
      <c r="BN899">
        <v>7.6949199999999998</v>
      </c>
      <c r="BO899">
        <v>2.2248399999999999</v>
      </c>
      <c r="BP899">
        <v>1.9116200000000001</v>
      </c>
      <c r="BQ899">
        <v>33.2012</v>
      </c>
      <c r="BR899">
        <v>61937</v>
      </c>
    </row>
    <row r="900" spans="1:70" x14ac:dyDescent="0.25">
      <c r="A900">
        <v>54</v>
      </c>
      <c r="B900" s="7">
        <v>45952.583738425928</v>
      </c>
      <c r="C900" t="s">
        <v>208</v>
      </c>
      <c r="D900" s="6" t="s">
        <v>432</v>
      </c>
      <c r="E900" s="6" t="str">
        <f>VLOOKUP(F900,Germplasm!$A$1:$B$21,2,FALSE)</f>
        <v>Tiril</v>
      </c>
      <c r="F900" t="s">
        <v>64</v>
      </c>
      <c r="G900" s="6" t="s">
        <v>113</v>
      </c>
      <c r="H900">
        <v>34809.300000000003</v>
      </c>
      <c r="I900">
        <v>245.453</v>
      </c>
      <c r="J900">
        <v>99529</v>
      </c>
      <c r="K900">
        <v>20.108899999999998</v>
      </c>
      <c r="L900">
        <v>69.250200000000007</v>
      </c>
      <c r="M900">
        <v>1229.3499999999999</v>
      </c>
      <c r="N900">
        <v>444.10300000000001</v>
      </c>
      <c r="O900">
        <v>10469000</v>
      </c>
      <c r="P900">
        <v>0.26600200000000002</v>
      </c>
      <c r="Q900">
        <v>0.36638100000000001</v>
      </c>
      <c r="R900">
        <v>2.57199</v>
      </c>
      <c r="S900">
        <v>13.1457</v>
      </c>
      <c r="T900">
        <v>42.702399999999997</v>
      </c>
      <c r="U900">
        <v>40.877800000000001</v>
      </c>
      <c r="V900">
        <v>0.33560499999999999</v>
      </c>
      <c r="W900">
        <v>114.89100000000001</v>
      </c>
      <c r="X900">
        <v>0.61551999999999996</v>
      </c>
      <c r="Y900">
        <v>1.3732</v>
      </c>
      <c r="Z900">
        <v>3.1391499999999999</v>
      </c>
      <c r="AA900">
        <v>18.801200000000001</v>
      </c>
      <c r="AB900">
        <v>44.4054</v>
      </c>
      <c r="AC900">
        <v>31.665600000000001</v>
      </c>
      <c r="AD900">
        <v>1.7392300000000001</v>
      </c>
      <c r="AE900">
        <v>7.0885699999999998</v>
      </c>
      <c r="AF900">
        <v>0</v>
      </c>
      <c r="AG900">
        <v>99.983900000000006</v>
      </c>
      <c r="AH900">
        <v>1.0258700000000001E-2</v>
      </c>
      <c r="AI900">
        <v>2.9310500000000001E-3</v>
      </c>
      <c r="AJ900">
        <v>2.9310500000000001E-3</v>
      </c>
      <c r="AK900">
        <v>0</v>
      </c>
      <c r="AL900">
        <v>0.54079900000000003</v>
      </c>
      <c r="AM900">
        <v>0.38836399999999999</v>
      </c>
      <c r="AN900">
        <v>1.5021599999999999</v>
      </c>
      <c r="AO900">
        <v>3.5245799999999998</v>
      </c>
      <c r="AP900">
        <v>14.198</v>
      </c>
      <c r="AQ900">
        <v>44.333599999999997</v>
      </c>
      <c r="AR900">
        <v>36.0533</v>
      </c>
      <c r="AS900">
        <v>5.3184200000000001E-2</v>
      </c>
      <c r="AT900">
        <v>6.3911499999999997</v>
      </c>
      <c r="AU900">
        <v>31.681699999999999</v>
      </c>
      <c r="AV900">
        <v>44.223599999999998</v>
      </c>
      <c r="AW900">
        <v>14.242000000000001</v>
      </c>
      <c r="AX900">
        <v>2.3521700000000001</v>
      </c>
      <c r="AY900">
        <v>1.1093999999999999</v>
      </c>
      <c r="AZ900">
        <v>300.75400000000002</v>
      </c>
      <c r="BA900">
        <v>365.4</v>
      </c>
      <c r="BB900">
        <v>20014.099999999999</v>
      </c>
      <c r="BC900">
        <v>2.0836199999999999E-2</v>
      </c>
      <c r="BD900">
        <v>4.10347E-2</v>
      </c>
      <c r="BE900">
        <v>0.33413900000000002</v>
      </c>
      <c r="BF900">
        <v>2.4650099999999999</v>
      </c>
      <c r="BG900">
        <v>35.232700000000001</v>
      </c>
      <c r="BH900">
        <v>58.083100000000002</v>
      </c>
      <c r="BI900">
        <v>3.8440699999999999</v>
      </c>
      <c r="BJ900">
        <v>34.579500000000003</v>
      </c>
      <c r="BK900">
        <v>0</v>
      </c>
      <c r="BL900">
        <v>24.576799999999999</v>
      </c>
      <c r="BM900">
        <v>63.697499999999998</v>
      </c>
      <c r="BN900">
        <v>10.6602</v>
      </c>
      <c r="BO900">
        <v>0.83241699999999996</v>
      </c>
      <c r="BP900">
        <v>0.233018</v>
      </c>
      <c r="BQ900">
        <v>35.128799999999998</v>
      </c>
      <c r="BR900">
        <v>68235</v>
      </c>
    </row>
    <row r="901" spans="1:70" x14ac:dyDescent="0.25">
      <c r="A901">
        <v>54</v>
      </c>
      <c r="B901" s="7">
        <v>45959.55741898148</v>
      </c>
      <c r="C901" t="s">
        <v>208</v>
      </c>
      <c r="D901" s="6" t="s">
        <v>433</v>
      </c>
      <c r="E901" s="6" t="str">
        <f>VLOOKUP(F901,Germplasm!$A$1:$B$21,2,FALSE)</f>
        <v>Tiril</v>
      </c>
      <c r="F901" t="s">
        <v>64</v>
      </c>
      <c r="G901" s="6" t="s">
        <v>113</v>
      </c>
      <c r="H901">
        <v>0</v>
      </c>
      <c r="J901">
        <v>0</v>
      </c>
      <c r="M901">
        <v>0</v>
      </c>
      <c r="N901">
        <v>0</v>
      </c>
      <c r="O901">
        <v>0</v>
      </c>
      <c r="AZ901">
        <v>0</v>
      </c>
      <c r="BA901">
        <v>0</v>
      </c>
      <c r="BB901">
        <v>0</v>
      </c>
      <c r="BR901">
        <v>0</v>
      </c>
    </row>
    <row r="902" spans="1:70" x14ac:dyDescent="0.25">
      <c r="A902">
        <v>54</v>
      </c>
      <c r="B902" s="7">
        <v>45966.522789351853</v>
      </c>
      <c r="C902" t="s">
        <v>208</v>
      </c>
      <c r="D902" s="6" t="s">
        <v>434</v>
      </c>
      <c r="E902" s="6" t="str">
        <f>VLOOKUP(F902,Germplasm!$A$1:$B$21,2,FALSE)</f>
        <v>Tiril</v>
      </c>
      <c r="F902" t="s">
        <v>64</v>
      </c>
      <c r="G902" s="6" t="s">
        <v>113</v>
      </c>
      <c r="H902">
        <v>67661</v>
      </c>
      <c r="I902">
        <v>478.887</v>
      </c>
      <c r="J902">
        <v>161749</v>
      </c>
      <c r="K902">
        <v>23.3065</v>
      </c>
      <c r="L902">
        <v>87.396000000000001</v>
      </c>
      <c r="M902">
        <v>1513.15</v>
      </c>
      <c r="N902">
        <v>533.29499999999996</v>
      </c>
      <c r="O902">
        <v>37457000</v>
      </c>
      <c r="P902">
        <v>0.26125500000000001</v>
      </c>
      <c r="Q902">
        <v>0.384739</v>
      </c>
      <c r="R902">
        <v>2.4764900000000001</v>
      </c>
      <c r="S902">
        <v>15.9381</v>
      </c>
      <c r="T902">
        <v>42.466500000000003</v>
      </c>
      <c r="U902">
        <v>37.689399999999999</v>
      </c>
      <c r="V902">
        <v>1.0448</v>
      </c>
      <c r="W902">
        <v>116.709</v>
      </c>
      <c r="X902">
        <v>0.65434300000000001</v>
      </c>
      <c r="Y902">
        <v>1.6562399999999999</v>
      </c>
      <c r="Z902">
        <v>3.26742</v>
      </c>
      <c r="AA902">
        <v>16.571000000000002</v>
      </c>
      <c r="AB902">
        <v>42.549399999999999</v>
      </c>
      <c r="AC902">
        <v>35.301600000000001</v>
      </c>
      <c r="AD902">
        <v>1.7948200000000001</v>
      </c>
      <c r="AE902">
        <v>6.3964499999999997</v>
      </c>
      <c r="AF902">
        <v>0</v>
      </c>
      <c r="AG902">
        <v>99.855500000000006</v>
      </c>
      <c r="AH902">
        <v>0.13444400000000001</v>
      </c>
      <c r="AI902">
        <v>1.00118E-2</v>
      </c>
      <c r="AJ902">
        <v>0</v>
      </c>
      <c r="AK902">
        <v>0</v>
      </c>
      <c r="AL902">
        <v>0.53569999999999995</v>
      </c>
      <c r="AM902">
        <v>0.46626400000000001</v>
      </c>
      <c r="AN902">
        <v>2.33847</v>
      </c>
      <c r="AO902">
        <v>4.9351000000000003</v>
      </c>
      <c r="AP902">
        <v>14.1081</v>
      </c>
      <c r="AQ902">
        <v>40.2117</v>
      </c>
      <c r="AR902">
        <v>37.940399999999997</v>
      </c>
      <c r="AS902">
        <v>5.2405199999999999E-2</v>
      </c>
      <c r="AT902">
        <v>5.7953999999999999</v>
      </c>
      <c r="AU902">
        <v>36.048200000000001</v>
      </c>
      <c r="AV902">
        <v>40.647199999999998</v>
      </c>
      <c r="AW902">
        <v>12.491099999999999</v>
      </c>
      <c r="AX902">
        <v>3.0979399999999999</v>
      </c>
      <c r="AY902">
        <v>1.92012</v>
      </c>
      <c r="AZ902">
        <v>553.59799999999996</v>
      </c>
      <c r="BA902">
        <v>631.19899999999996</v>
      </c>
      <c r="BB902">
        <v>37698</v>
      </c>
      <c r="BC902">
        <v>1.7862300000000001E-2</v>
      </c>
      <c r="BD902">
        <v>3.7901799999999999E-2</v>
      </c>
      <c r="BE902">
        <v>0.33467999999999998</v>
      </c>
      <c r="BF902">
        <v>2.4607600000000001</v>
      </c>
      <c r="BG902">
        <v>39.009500000000003</v>
      </c>
      <c r="BH902">
        <v>53.348599999999998</v>
      </c>
      <c r="BI902">
        <v>4.8085199999999997</v>
      </c>
      <c r="BJ902">
        <v>34.185899999999997</v>
      </c>
      <c r="BK902">
        <v>0</v>
      </c>
      <c r="BL902">
        <v>28.2776</v>
      </c>
      <c r="BM902">
        <v>58.772100000000002</v>
      </c>
      <c r="BN902">
        <v>10.8642</v>
      </c>
      <c r="BO902">
        <v>1.4767399999999999</v>
      </c>
      <c r="BP902">
        <v>0.60929</v>
      </c>
      <c r="BQ902">
        <v>33.904499999999999</v>
      </c>
      <c r="BR902">
        <v>139835</v>
      </c>
    </row>
    <row r="903" spans="1:70" x14ac:dyDescent="0.25">
      <c r="A903">
        <v>54</v>
      </c>
      <c r="B903" s="7">
        <v>45973.581284722219</v>
      </c>
      <c r="C903" t="s">
        <v>208</v>
      </c>
      <c r="D903" s="6" t="s">
        <v>435</v>
      </c>
      <c r="E903" s="6" t="str">
        <f>VLOOKUP(F903,Germplasm!$A$1:$B$21,2,FALSE)</f>
        <v>Tiril</v>
      </c>
      <c r="F903" t="s">
        <v>64</v>
      </c>
      <c r="G903" s="6" t="s">
        <v>113</v>
      </c>
      <c r="H903">
        <v>0</v>
      </c>
      <c r="J903">
        <v>0</v>
      </c>
      <c r="M903">
        <v>0</v>
      </c>
      <c r="N903">
        <v>0</v>
      </c>
      <c r="O903">
        <v>0</v>
      </c>
      <c r="AZ903">
        <v>0</v>
      </c>
      <c r="BA903">
        <v>0</v>
      </c>
      <c r="BB903">
        <v>0</v>
      </c>
      <c r="BR903">
        <v>0</v>
      </c>
    </row>
    <row r="904" spans="1:70" x14ac:dyDescent="0.25">
      <c r="A904">
        <v>54</v>
      </c>
      <c r="B904" s="7">
        <v>45988.60297453704</v>
      </c>
      <c r="C904" t="s">
        <v>208</v>
      </c>
      <c r="D904" s="6" t="s">
        <v>436</v>
      </c>
      <c r="E904" s="6" t="str">
        <f>VLOOKUP(F904,Germplasm!$A$1:$B$21,2,FALSE)</f>
        <v>Tiril</v>
      </c>
      <c r="F904" t="s">
        <v>64</v>
      </c>
      <c r="G904" s="6" t="s">
        <v>113</v>
      </c>
      <c r="H904">
        <v>50129.9</v>
      </c>
      <c r="I904">
        <v>438.41899999999998</v>
      </c>
      <c r="J904">
        <v>131746</v>
      </c>
      <c r="K904">
        <v>20.5489</v>
      </c>
      <c r="L904">
        <v>80.694100000000006</v>
      </c>
      <c r="M904">
        <v>1358.12</v>
      </c>
      <c r="N904">
        <v>480.00900000000001</v>
      </c>
      <c r="O904">
        <v>28897900</v>
      </c>
      <c r="P904">
        <v>0.138432</v>
      </c>
      <c r="Q904">
        <v>1.46865</v>
      </c>
      <c r="R904">
        <v>20.605699999999999</v>
      </c>
      <c r="S904">
        <v>32.9375</v>
      </c>
      <c r="T904">
        <v>28.4102</v>
      </c>
      <c r="U904">
        <v>14.868499999999999</v>
      </c>
      <c r="V904">
        <v>1.7095499999999999</v>
      </c>
      <c r="W904">
        <v>69.337699999999998</v>
      </c>
      <c r="X904">
        <v>12.453200000000001</v>
      </c>
      <c r="Y904">
        <v>21.5381</v>
      </c>
      <c r="Z904">
        <v>12.642300000000001</v>
      </c>
      <c r="AA904">
        <v>25.9636</v>
      </c>
      <c r="AB904">
        <v>15.8223</v>
      </c>
      <c r="AC904">
        <v>11.580500000000001</v>
      </c>
      <c r="AD904">
        <v>1.85171</v>
      </c>
      <c r="AE904">
        <v>8.9779099999999996</v>
      </c>
      <c r="AF904">
        <v>0</v>
      </c>
      <c r="AG904">
        <v>98.114699999999999</v>
      </c>
      <c r="AH904">
        <v>1.88354</v>
      </c>
      <c r="AI904">
        <v>1.7845000000000001E-3</v>
      </c>
      <c r="AJ904">
        <v>0</v>
      </c>
      <c r="AK904">
        <v>0</v>
      </c>
      <c r="AL904">
        <v>0.31570500000000001</v>
      </c>
      <c r="AM904">
        <v>3.0711300000000001</v>
      </c>
      <c r="AN904">
        <v>23.916799999999999</v>
      </c>
      <c r="AO904">
        <v>23.2226</v>
      </c>
      <c r="AP904">
        <v>21.9788</v>
      </c>
      <c r="AQ904">
        <v>17.616599999999998</v>
      </c>
      <c r="AR904">
        <v>10.194000000000001</v>
      </c>
      <c r="AS904">
        <v>0.24310599999999999</v>
      </c>
      <c r="AT904">
        <v>1.81752</v>
      </c>
      <c r="AU904">
        <v>8.7244399999999995</v>
      </c>
      <c r="AV904">
        <v>31.270700000000001</v>
      </c>
      <c r="AW904">
        <v>39.661499999999997</v>
      </c>
      <c r="AX904">
        <v>13.4427</v>
      </c>
      <c r="AY904">
        <v>5.0831600000000003</v>
      </c>
      <c r="AZ904">
        <v>576.46</v>
      </c>
      <c r="BA904">
        <v>636.59900000000005</v>
      </c>
      <c r="BB904">
        <v>27072.3</v>
      </c>
      <c r="BC904">
        <v>0.19669200000000001</v>
      </c>
      <c r="BD904">
        <v>0.10707</v>
      </c>
      <c r="BE904">
        <v>0.39259100000000002</v>
      </c>
      <c r="BF904">
        <v>1.3116099999999999</v>
      </c>
      <c r="BG904">
        <v>8.7262199999999996</v>
      </c>
      <c r="BH904">
        <v>44.212899999999998</v>
      </c>
      <c r="BI904">
        <v>45.249699999999997</v>
      </c>
      <c r="BJ904">
        <v>35.0244</v>
      </c>
      <c r="BK904">
        <v>0</v>
      </c>
      <c r="BL904">
        <v>30.470400000000001</v>
      </c>
      <c r="BM904">
        <v>53.764400000000002</v>
      </c>
      <c r="BN904">
        <v>11.381600000000001</v>
      </c>
      <c r="BO904">
        <v>2.9417499999999999</v>
      </c>
      <c r="BP904">
        <v>1.4418800000000001</v>
      </c>
      <c r="BQ904">
        <v>32.7226</v>
      </c>
      <c r="BR904">
        <v>112076</v>
      </c>
    </row>
    <row r="905" spans="1:70" x14ac:dyDescent="0.25">
      <c r="A905">
        <v>54</v>
      </c>
      <c r="B905" s="7">
        <v>45994.544953703706</v>
      </c>
      <c r="C905" t="s">
        <v>208</v>
      </c>
      <c r="D905" s="6" t="s">
        <v>437</v>
      </c>
      <c r="E905" s="6" t="str">
        <f>VLOOKUP(F905,Germplasm!$A$1:$B$21,2,FALSE)</f>
        <v>Tiril</v>
      </c>
      <c r="F905" t="s">
        <v>64</v>
      </c>
      <c r="G905" s="6" t="s">
        <v>113</v>
      </c>
      <c r="H905">
        <v>39160.6</v>
      </c>
      <c r="I905">
        <v>472.22899999999998</v>
      </c>
      <c r="J905">
        <v>128815</v>
      </c>
      <c r="K905">
        <v>15.832100000000001</v>
      </c>
      <c r="L905">
        <v>61.7849</v>
      </c>
      <c r="M905">
        <v>1441.45</v>
      </c>
      <c r="N905">
        <v>549.05499999999995</v>
      </c>
      <c r="O905">
        <v>21492600</v>
      </c>
      <c r="P905">
        <v>6.1679299999999999E-2</v>
      </c>
      <c r="Q905">
        <v>1.35951</v>
      </c>
      <c r="R905">
        <v>31.7715</v>
      </c>
      <c r="S905">
        <v>47.186500000000002</v>
      </c>
      <c r="T905">
        <v>12.6633</v>
      </c>
      <c r="U905">
        <v>6.577</v>
      </c>
      <c r="V905">
        <v>0.44226300000000002</v>
      </c>
      <c r="W905">
        <v>46.143500000000003</v>
      </c>
      <c r="X905">
        <v>18.538699999999999</v>
      </c>
      <c r="Y905">
        <v>42.006500000000003</v>
      </c>
      <c r="Z905">
        <v>14.4687</v>
      </c>
      <c r="AA905">
        <v>13.4787</v>
      </c>
      <c r="AB905">
        <v>4.5559200000000004</v>
      </c>
      <c r="AC905">
        <v>6.9514100000000001</v>
      </c>
      <c r="AD905">
        <v>1.92018</v>
      </c>
      <c r="AE905">
        <v>12.6471</v>
      </c>
      <c r="AF905">
        <v>0</v>
      </c>
      <c r="AG905">
        <v>92.784400000000005</v>
      </c>
      <c r="AH905">
        <v>7.1816300000000002</v>
      </c>
      <c r="AI905">
        <v>3.3927100000000002E-2</v>
      </c>
      <c r="AJ905">
        <v>0</v>
      </c>
      <c r="AK905">
        <v>0</v>
      </c>
      <c r="AL905">
        <v>0.18435799999999999</v>
      </c>
      <c r="AM905">
        <v>6.4255399999999998</v>
      </c>
      <c r="AN905">
        <v>46.310400000000001</v>
      </c>
      <c r="AO905">
        <v>26.876300000000001</v>
      </c>
      <c r="AP905">
        <v>11.6503</v>
      </c>
      <c r="AQ905">
        <v>6.2668100000000004</v>
      </c>
      <c r="AR905">
        <v>2.4706199999999998</v>
      </c>
      <c r="AS905">
        <v>0.29230400000000001</v>
      </c>
      <c r="AT905">
        <v>0.56949000000000005</v>
      </c>
      <c r="AU905">
        <v>4.3571999999999997</v>
      </c>
      <c r="AV905">
        <v>23.306699999999999</v>
      </c>
      <c r="AW905">
        <v>49.585599999999999</v>
      </c>
      <c r="AX905">
        <v>16.760000000000002</v>
      </c>
      <c r="AY905">
        <v>5.4210599999999998</v>
      </c>
      <c r="AZ905">
        <v>548.83199999999999</v>
      </c>
      <c r="BA905">
        <v>604.80100000000004</v>
      </c>
      <c r="BB905">
        <v>20394.2</v>
      </c>
      <c r="BC905">
        <v>0.29727999999999999</v>
      </c>
      <c r="BD905">
        <v>0.10784000000000001</v>
      </c>
      <c r="BE905">
        <v>0.20356199999999999</v>
      </c>
      <c r="BF905">
        <v>0.59614699999999998</v>
      </c>
      <c r="BG905">
        <v>4.0155099999999999</v>
      </c>
      <c r="BH905">
        <v>21.291699999999999</v>
      </c>
      <c r="BI905">
        <v>73.785300000000007</v>
      </c>
      <c r="BJ905">
        <v>33.343000000000004</v>
      </c>
      <c r="BK905">
        <v>0</v>
      </c>
      <c r="BL905">
        <v>33.524799999999999</v>
      </c>
      <c r="BM905">
        <v>52.792900000000003</v>
      </c>
      <c r="BN905">
        <v>10.163600000000001</v>
      </c>
      <c r="BO905">
        <v>2.5796700000000001</v>
      </c>
      <c r="BP905">
        <v>0.939052</v>
      </c>
      <c r="BQ905">
        <v>31.411799999999999</v>
      </c>
      <c r="BR905">
        <v>82530</v>
      </c>
    </row>
    <row r="906" spans="1:70" x14ac:dyDescent="0.25">
      <c r="A906">
        <v>54</v>
      </c>
      <c r="B906" s="7">
        <v>46002.552615740744</v>
      </c>
      <c r="C906" t="s">
        <v>208</v>
      </c>
      <c r="D906" s="6" t="s">
        <v>438</v>
      </c>
      <c r="E906" s="6" t="str">
        <f>VLOOKUP(F906,Germplasm!$A$1:$B$21,2,FALSE)</f>
        <v>Tiril</v>
      </c>
      <c r="F906" t="s">
        <v>64</v>
      </c>
      <c r="G906" s="6" t="s">
        <v>113</v>
      </c>
      <c r="H906">
        <v>29165.8</v>
      </c>
      <c r="I906">
        <v>455.01499999999999</v>
      </c>
      <c r="J906">
        <v>90573.1</v>
      </c>
      <c r="K906">
        <v>17.098099999999999</v>
      </c>
      <c r="L906">
        <v>42.4133</v>
      </c>
      <c r="M906">
        <v>1320.21</v>
      </c>
      <c r="N906">
        <v>540.9</v>
      </c>
      <c r="O906">
        <v>13685600</v>
      </c>
      <c r="P906">
        <v>4.53196E-4</v>
      </c>
      <c r="Q906">
        <v>1.7720899999999999</v>
      </c>
      <c r="R906">
        <v>45.072000000000003</v>
      </c>
      <c r="S906">
        <v>49.990699999999997</v>
      </c>
      <c r="T906">
        <v>2.5857000000000001</v>
      </c>
      <c r="U906">
        <v>0.520509</v>
      </c>
      <c r="V906">
        <v>5.8957299999999997E-2</v>
      </c>
      <c r="W906">
        <v>32.775500000000001</v>
      </c>
      <c r="X906">
        <v>26.589700000000001</v>
      </c>
      <c r="Y906">
        <v>55.500700000000002</v>
      </c>
      <c r="Z906">
        <v>7.5179</v>
      </c>
      <c r="AA906">
        <v>2.7591999999999999</v>
      </c>
      <c r="AB906">
        <v>1.29369</v>
      </c>
      <c r="AC906">
        <v>6.3387500000000001</v>
      </c>
      <c r="AD906">
        <v>1.8833299999999999</v>
      </c>
      <c r="AE906">
        <v>16.2822</v>
      </c>
      <c r="AF906">
        <v>0</v>
      </c>
      <c r="AG906">
        <v>84.517799999999994</v>
      </c>
      <c r="AH906">
        <v>15.4215</v>
      </c>
      <c r="AI906">
        <v>6.0641800000000003E-2</v>
      </c>
      <c r="AJ906">
        <v>0</v>
      </c>
      <c r="AK906">
        <v>0</v>
      </c>
      <c r="AL906">
        <v>0.10295</v>
      </c>
      <c r="AM906">
        <v>13.066599999999999</v>
      </c>
      <c r="AN906">
        <v>60.635100000000001</v>
      </c>
      <c r="AO906">
        <v>20.508700000000001</v>
      </c>
      <c r="AP906">
        <v>4.2718800000000003</v>
      </c>
      <c r="AQ906">
        <v>1.09829</v>
      </c>
      <c r="AR906">
        <v>0.41943900000000001</v>
      </c>
      <c r="AS906">
        <v>0.291514</v>
      </c>
      <c r="AT906">
        <v>0.61147099999999999</v>
      </c>
      <c r="AU906">
        <v>2.9647100000000002</v>
      </c>
      <c r="AV906">
        <v>22.0989</v>
      </c>
      <c r="AW906">
        <v>55.761800000000001</v>
      </c>
      <c r="AX906">
        <v>13.7067</v>
      </c>
      <c r="AY906">
        <v>4.8563999999999998</v>
      </c>
      <c r="AZ906">
        <v>469.23599999999999</v>
      </c>
      <c r="BA906">
        <v>499.79899999999998</v>
      </c>
      <c r="BB906">
        <v>15486.3</v>
      </c>
      <c r="BC906">
        <v>0.34615800000000002</v>
      </c>
      <c r="BD906">
        <v>0.171818</v>
      </c>
      <c r="BE906">
        <v>0.36385099999999998</v>
      </c>
      <c r="BF906">
        <v>0.59294199999999997</v>
      </c>
      <c r="BG906">
        <v>2.4475699999999998</v>
      </c>
      <c r="BH906">
        <v>10.880100000000001</v>
      </c>
      <c r="BI906">
        <v>85.543700000000001</v>
      </c>
      <c r="BJ906">
        <v>30.831299999999999</v>
      </c>
      <c r="BK906">
        <v>0</v>
      </c>
      <c r="BL906">
        <v>37.853999999999999</v>
      </c>
      <c r="BM906">
        <v>53.0077</v>
      </c>
      <c r="BN906">
        <v>6.5813199999999998</v>
      </c>
      <c r="BO906">
        <v>1.74682</v>
      </c>
      <c r="BP906">
        <v>0.81024200000000002</v>
      </c>
      <c r="BQ906">
        <v>32.0899</v>
      </c>
      <c r="BR906">
        <v>59365</v>
      </c>
    </row>
    <row r="907" spans="1:70" x14ac:dyDescent="0.25">
      <c r="A907">
        <v>54</v>
      </c>
      <c r="B907" s="7">
        <v>46013.577303240738</v>
      </c>
      <c r="C907" t="s">
        <v>208</v>
      </c>
      <c r="D907" s="6" t="s">
        <v>439</v>
      </c>
      <c r="E907" s="6" t="str">
        <f>VLOOKUP(F907,Germplasm!$A$1:$B$21,2,FALSE)</f>
        <v>Tiril</v>
      </c>
      <c r="F907" t="s">
        <v>64</v>
      </c>
      <c r="G907" s="6" t="s">
        <v>113</v>
      </c>
      <c r="H907">
        <v>19455.900000000001</v>
      </c>
      <c r="I907">
        <v>235.81</v>
      </c>
      <c r="J907">
        <v>50233.7</v>
      </c>
      <c r="K907">
        <v>19.873899999999999</v>
      </c>
      <c r="L907">
        <v>46.198</v>
      </c>
      <c r="M907">
        <v>931.42399999999998</v>
      </c>
      <c r="N907">
        <v>406.10500000000002</v>
      </c>
      <c r="O907">
        <v>4832890</v>
      </c>
      <c r="P907">
        <v>1.9542800000000001E-3</v>
      </c>
      <c r="Q907">
        <v>2.0538400000000001</v>
      </c>
      <c r="R907">
        <v>41.725000000000001</v>
      </c>
      <c r="S907">
        <v>53.757599999999996</v>
      </c>
      <c r="T907">
        <v>2.0045600000000001</v>
      </c>
      <c r="U907">
        <v>0.40972999999999998</v>
      </c>
      <c r="V907">
        <v>4.9271299999999997E-2</v>
      </c>
      <c r="W907">
        <v>33.195999999999998</v>
      </c>
      <c r="X907">
        <v>24.189599999999999</v>
      </c>
      <c r="Y907">
        <v>59.050400000000003</v>
      </c>
      <c r="Z907">
        <v>8.0156600000000005</v>
      </c>
      <c r="AA907">
        <v>2.0071599999999998</v>
      </c>
      <c r="AB907">
        <v>0.81945999999999997</v>
      </c>
      <c r="AC907">
        <v>5.9177400000000002</v>
      </c>
      <c r="AD907">
        <v>1.94882</v>
      </c>
      <c r="AE907">
        <v>15.5235</v>
      </c>
      <c r="AF907">
        <v>0</v>
      </c>
      <c r="AG907">
        <v>88.384900000000002</v>
      </c>
      <c r="AH907">
        <v>11.599500000000001</v>
      </c>
      <c r="AI907">
        <v>1.5559399999999999E-2</v>
      </c>
      <c r="AJ907">
        <v>0</v>
      </c>
      <c r="AK907">
        <v>0</v>
      </c>
      <c r="AL907">
        <v>0.116148</v>
      </c>
      <c r="AM907">
        <v>9.9139099999999996</v>
      </c>
      <c r="AN907">
        <v>60.735999999999997</v>
      </c>
      <c r="AO907">
        <v>23.295000000000002</v>
      </c>
      <c r="AP907">
        <v>4.1232300000000004</v>
      </c>
      <c r="AQ907">
        <v>1.43405</v>
      </c>
      <c r="AR907">
        <v>0.49789899999999998</v>
      </c>
      <c r="AS907">
        <v>0.30710300000000001</v>
      </c>
      <c r="AT907">
        <v>0.96467999999999998</v>
      </c>
      <c r="AU907">
        <v>2.6398999999999999</v>
      </c>
      <c r="AV907">
        <v>18.634899999999998</v>
      </c>
      <c r="AW907">
        <v>55.795900000000003</v>
      </c>
      <c r="AX907">
        <v>16.1662</v>
      </c>
      <c r="AY907">
        <v>5.7984499999999999</v>
      </c>
      <c r="AZ907">
        <v>248.40299999999999</v>
      </c>
      <c r="BA907">
        <v>421.79899999999998</v>
      </c>
      <c r="BB907">
        <v>9983.39</v>
      </c>
      <c r="BC907">
        <v>0.349329</v>
      </c>
      <c r="BD907">
        <v>0.23857700000000001</v>
      </c>
      <c r="BE907">
        <v>0.41491600000000001</v>
      </c>
      <c r="BF907">
        <v>0.71832399999999996</v>
      </c>
      <c r="BG907">
        <v>2.2327699999999999</v>
      </c>
      <c r="BH907">
        <v>9.0659200000000002</v>
      </c>
      <c r="BI907">
        <v>87.329499999999996</v>
      </c>
      <c r="BJ907">
        <v>32.444400000000002</v>
      </c>
      <c r="BK907">
        <v>0</v>
      </c>
      <c r="BL907">
        <v>33.737900000000003</v>
      </c>
      <c r="BM907">
        <v>55.4328</v>
      </c>
      <c r="BN907">
        <v>7.7563399999999998</v>
      </c>
      <c r="BO907">
        <v>1.9941899999999999</v>
      </c>
      <c r="BP907">
        <v>1.0787800000000001</v>
      </c>
      <c r="BQ907">
        <v>30.869499999999999</v>
      </c>
      <c r="BR907">
        <v>38562</v>
      </c>
    </row>
    <row r="908" spans="1:70" x14ac:dyDescent="0.25">
      <c r="A908">
        <v>54</v>
      </c>
      <c r="B908" s="7">
        <v>46024.555937500001</v>
      </c>
      <c r="C908" t="s">
        <v>208</v>
      </c>
      <c r="D908" s="6" t="s">
        <v>440</v>
      </c>
      <c r="E908" s="6" t="str">
        <f>VLOOKUP(F908,Germplasm!$A$1:$B$21,2,FALSE)</f>
        <v>Tiril</v>
      </c>
      <c r="F908" t="s">
        <v>64</v>
      </c>
      <c r="G908" s="6" t="s">
        <v>113</v>
      </c>
      <c r="H908">
        <v>18501.900000000001</v>
      </c>
      <c r="I908">
        <v>210.91800000000001</v>
      </c>
      <c r="J908">
        <v>34584.6</v>
      </c>
      <c r="K908">
        <v>27.646999999999998</v>
      </c>
      <c r="L908">
        <v>62.657200000000003</v>
      </c>
      <c r="M908">
        <v>703.42700000000002</v>
      </c>
      <c r="N908">
        <v>277.74599999999998</v>
      </c>
      <c r="O908">
        <v>4191600</v>
      </c>
      <c r="P908">
        <v>1.3313699999999999E-3</v>
      </c>
      <c r="Q908">
        <v>1.8750199999999999</v>
      </c>
      <c r="R908">
        <v>42.547600000000003</v>
      </c>
      <c r="S908">
        <v>53.1355</v>
      </c>
      <c r="T908">
        <v>2.0303599999999999</v>
      </c>
      <c r="U908">
        <v>0.35429100000000002</v>
      </c>
      <c r="V908">
        <v>5.7231600000000001E-2</v>
      </c>
      <c r="W908">
        <v>32.747199999999999</v>
      </c>
      <c r="X908">
        <v>24.244399999999999</v>
      </c>
      <c r="Y908">
        <v>60.161299999999997</v>
      </c>
      <c r="Z908">
        <v>7.5382199999999999</v>
      </c>
      <c r="AA908">
        <v>1.7551000000000001</v>
      </c>
      <c r="AB908">
        <v>0.71403300000000003</v>
      </c>
      <c r="AC908">
        <v>5.5869</v>
      </c>
      <c r="AD908">
        <v>1.93502</v>
      </c>
      <c r="AE908">
        <v>16.100000000000001</v>
      </c>
      <c r="AF908">
        <v>0</v>
      </c>
      <c r="AG908">
        <v>85.305099999999996</v>
      </c>
      <c r="AH908">
        <v>14.675800000000001</v>
      </c>
      <c r="AI908">
        <v>1.9077199999999999E-2</v>
      </c>
      <c r="AJ908">
        <v>0</v>
      </c>
      <c r="AK908">
        <v>0</v>
      </c>
      <c r="AL908">
        <v>0.10842</v>
      </c>
      <c r="AM908">
        <v>10.996600000000001</v>
      </c>
      <c r="AN908">
        <v>62.082700000000003</v>
      </c>
      <c r="AO908">
        <v>21.322900000000001</v>
      </c>
      <c r="AP908">
        <v>3.8754</v>
      </c>
      <c r="AQ908">
        <v>1.2918000000000001</v>
      </c>
      <c r="AR908">
        <v>0.43059999999999998</v>
      </c>
      <c r="AS908">
        <v>0.31379899999999999</v>
      </c>
      <c r="AT908">
        <v>0.91570600000000002</v>
      </c>
      <c r="AU908">
        <v>2.3601200000000002</v>
      </c>
      <c r="AV908">
        <v>18.186</v>
      </c>
      <c r="AW908">
        <v>54.642600000000002</v>
      </c>
      <c r="AX908">
        <v>17.654599999999999</v>
      </c>
      <c r="AY908">
        <v>6.2409699999999999</v>
      </c>
      <c r="AZ908">
        <v>226.54900000000001</v>
      </c>
      <c r="BA908">
        <v>235.19900000000001</v>
      </c>
      <c r="BB908">
        <v>9561.6</v>
      </c>
      <c r="BC908">
        <v>0.35836000000000001</v>
      </c>
      <c r="BD908">
        <v>0.33793899999999999</v>
      </c>
      <c r="BE908">
        <v>0.39789600000000003</v>
      </c>
      <c r="BF908">
        <v>0.59956900000000002</v>
      </c>
      <c r="BG908">
        <v>1.94042</v>
      </c>
      <c r="BH908">
        <v>8.6092700000000004</v>
      </c>
      <c r="BI908">
        <v>88.114900000000006</v>
      </c>
      <c r="BJ908">
        <v>33.003</v>
      </c>
      <c r="BK908">
        <v>0</v>
      </c>
      <c r="BL908">
        <v>32.652000000000001</v>
      </c>
      <c r="BM908">
        <v>55.378399999999999</v>
      </c>
      <c r="BN908">
        <v>8.7864199999999997</v>
      </c>
      <c r="BO908">
        <v>2.12575</v>
      </c>
      <c r="BP908">
        <v>1.05742</v>
      </c>
      <c r="BQ908">
        <v>31.1114</v>
      </c>
      <c r="BR908">
        <v>36693</v>
      </c>
    </row>
    <row r="909" spans="1:70" x14ac:dyDescent="0.25">
      <c r="A909">
        <v>54</v>
      </c>
      <c r="B909" s="7">
        <v>45952.583738425928</v>
      </c>
      <c r="C909" t="s">
        <v>209</v>
      </c>
      <c r="D909" s="6" t="s">
        <v>432</v>
      </c>
      <c r="E909" s="6" t="str">
        <f>VLOOKUP(F909,Germplasm!$A$1:$B$21,2,FALSE)</f>
        <v>Arild</v>
      </c>
      <c r="F909" t="s">
        <v>74</v>
      </c>
      <c r="G909" s="6" t="s">
        <v>113</v>
      </c>
      <c r="H909">
        <v>24751.1</v>
      </c>
      <c r="I909">
        <v>276.64499999999998</v>
      </c>
      <c r="J909">
        <v>102333</v>
      </c>
      <c r="K909">
        <v>13.232699999999999</v>
      </c>
      <c r="L909">
        <v>64.568700000000007</v>
      </c>
      <c r="M909">
        <v>1242.26</v>
      </c>
      <c r="N909">
        <v>480.12799999999999</v>
      </c>
      <c r="O909">
        <v>7617750</v>
      </c>
      <c r="P909">
        <v>0.21559300000000001</v>
      </c>
      <c r="Q909">
        <v>0.696801</v>
      </c>
      <c r="R909">
        <v>5.0169699999999997</v>
      </c>
      <c r="S909">
        <v>21.168600000000001</v>
      </c>
      <c r="T909">
        <v>47.445099999999996</v>
      </c>
      <c r="U909">
        <v>25.468599999999999</v>
      </c>
      <c r="V909">
        <v>0.20399100000000001</v>
      </c>
      <c r="W909">
        <v>115.294</v>
      </c>
      <c r="X909">
        <v>1.3249299999999999</v>
      </c>
      <c r="Y909">
        <v>2.5125199999999999</v>
      </c>
      <c r="Z909">
        <v>4.71401</v>
      </c>
      <c r="AA909">
        <v>18.631799999999998</v>
      </c>
      <c r="AB909">
        <v>35.797400000000003</v>
      </c>
      <c r="AC909">
        <v>37.019300000000001</v>
      </c>
      <c r="AD909">
        <v>1.8278000000000001</v>
      </c>
      <c r="AE909">
        <v>7.5222699999999998</v>
      </c>
      <c r="AF909">
        <v>0</v>
      </c>
      <c r="AG909">
        <v>99.903099999999995</v>
      </c>
      <c r="AH909">
        <v>8.6847599999999997E-2</v>
      </c>
      <c r="AI909">
        <v>1.0098599999999999E-2</v>
      </c>
      <c r="AJ909">
        <v>0</v>
      </c>
      <c r="AK909">
        <v>0</v>
      </c>
      <c r="AL909">
        <v>0.50471699999999997</v>
      </c>
      <c r="AM909">
        <v>0.58773600000000004</v>
      </c>
      <c r="AN909">
        <v>3.0275500000000002</v>
      </c>
      <c r="AO909">
        <v>6.5297299999999998</v>
      </c>
      <c r="AP909">
        <v>17.910799999999998</v>
      </c>
      <c r="AQ909">
        <v>44.239800000000002</v>
      </c>
      <c r="AR909">
        <v>27.7044</v>
      </c>
      <c r="AS909">
        <v>3.7989200000000001E-2</v>
      </c>
      <c r="AT909">
        <v>6.9801299999999999</v>
      </c>
      <c r="AU909">
        <v>35.0137</v>
      </c>
      <c r="AV909">
        <v>42.979500000000002</v>
      </c>
      <c r="AW909">
        <v>11.736499999999999</v>
      </c>
      <c r="AX909">
        <v>2.18533</v>
      </c>
      <c r="AY909">
        <v>1.1047800000000001</v>
      </c>
      <c r="AZ909">
        <v>307.774</v>
      </c>
      <c r="BA909">
        <v>324.60000000000002</v>
      </c>
      <c r="BB909">
        <v>13541.4</v>
      </c>
      <c r="BC909">
        <v>1.8163100000000001E-2</v>
      </c>
      <c r="BD909">
        <v>5.2512499999999997E-2</v>
      </c>
      <c r="BE909">
        <v>0.34739100000000001</v>
      </c>
      <c r="BF909">
        <v>3.05986</v>
      </c>
      <c r="BG909">
        <v>38.534100000000002</v>
      </c>
      <c r="BH909">
        <v>52.290399999999998</v>
      </c>
      <c r="BI909">
        <v>5.7157900000000001</v>
      </c>
      <c r="BJ909">
        <v>30.2361</v>
      </c>
      <c r="BK909">
        <v>0</v>
      </c>
      <c r="BL909">
        <v>36.706299999999999</v>
      </c>
      <c r="BM909">
        <v>56.273200000000003</v>
      </c>
      <c r="BN909">
        <v>6.1459799999999998</v>
      </c>
      <c r="BO909">
        <v>0.66650500000000001</v>
      </c>
      <c r="BP909">
        <v>0.20802999999999999</v>
      </c>
      <c r="BQ909">
        <v>33.181699999999999</v>
      </c>
      <c r="BR909">
        <v>49512</v>
      </c>
    </row>
    <row r="910" spans="1:70" x14ac:dyDescent="0.25">
      <c r="A910">
        <v>54</v>
      </c>
      <c r="B910" s="7">
        <v>45959.55741898148</v>
      </c>
      <c r="C910" t="s">
        <v>209</v>
      </c>
      <c r="D910" s="6" t="s">
        <v>433</v>
      </c>
      <c r="E910" s="6" t="str">
        <f>VLOOKUP(F910,Germplasm!$A$1:$B$21,2,FALSE)</f>
        <v>Arild</v>
      </c>
      <c r="F910" t="s">
        <v>74</v>
      </c>
      <c r="G910" s="6" t="s">
        <v>113</v>
      </c>
      <c r="H910">
        <v>0</v>
      </c>
      <c r="J910">
        <v>0</v>
      </c>
      <c r="M910">
        <v>0</v>
      </c>
      <c r="N910">
        <v>0</v>
      </c>
      <c r="O910">
        <v>0</v>
      </c>
      <c r="AZ910">
        <v>0</v>
      </c>
      <c r="BA910">
        <v>0</v>
      </c>
      <c r="BB910">
        <v>0</v>
      </c>
      <c r="BR910">
        <v>0</v>
      </c>
    </row>
    <row r="911" spans="1:70" x14ac:dyDescent="0.25">
      <c r="A911">
        <v>54</v>
      </c>
      <c r="B911" s="7">
        <v>45966.522789351853</v>
      </c>
      <c r="C911" t="s">
        <v>209</v>
      </c>
      <c r="D911" s="6" t="s">
        <v>434</v>
      </c>
      <c r="E911" s="6" t="str">
        <f>VLOOKUP(F911,Germplasm!$A$1:$B$21,2,FALSE)</f>
        <v>Arild</v>
      </c>
      <c r="F911" t="s">
        <v>74</v>
      </c>
      <c r="G911" s="6" t="s">
        <v>113</v>
      </c>
      <c r="H911">
        <v>62510.2</v>
      </c>
      <c r="I911">
        <v>454.64800000000002</v>
      </c>
      <c r="J911">
        <v>189966</v>
      </c>
      <c r="K911">
        <v>18.984200000000001</v>
      </c>
      <c r="L911">
        <v>80.303700000000006</v>
      </c>
      <c r="M911">
        <v>1626.62</v>
      </c>
      <c r="N911">
        <v>547.55799999999999</v>
      </c>
      <c r="O911">
        <v>34022400</v>
      </c>
      <c r="P911">
        <v>0.217526</v>
      </c>
      <c r="Q911">
        <v>0.59893799999999997</v>
      </c>
      <c r="R911">
        <v>4.4110300000000002</v>
      </c>
      <c r="S911">
        <v>23.058800000000002</v>
      </c>
      <c r="T911">
        <v>45.8551</v>
      </c>
      <c r="U911">
        <v>25.5791</v>
      </c>
      <c r="V911">
        <v>0.49703799999999998</v>
      </c>
      <c r="W911">
        <v>110.748</v>
      </c>
      <c r="X911">
        <v>1.4266000000000001</v>
      </c>
      <c r="Y911">
        <v>4.5891700000000002</v>
      </c>
      <c r="Z911">
        <v>7.4181900000000001</v>
      </c>
      <c r="AA911">
        <v>20.535499999999999</v>
      </c>
      <c r="AB911">
        <v>32.077300000000001</v>
      </c>
      <c r="AC911">
        <v>33.953299999999999</v>
      </c>
      <c r="AD911">
        <v>1.7333400000000001</v>
      </c>
      <c r="AE911">
        <v>6.8227599999999997</v>
      </c>
      <c r="AF911">
        <v>0</v>
      </c>
      <c r="AG911">
        <v>99.815299999999993</v>
      </c>
      <c r="AH911">
        <v>0.17081099999999999</v>
      </c>
      <c r="AI911">
        <v>1.02633E-2</v>
      </c>
      <c r="AJ911">
        <v>3.6654700000000001E-3</v>
      </c>
      <c r="AK911">
        <v>0</v>
      </c>
      <c r="AL911">
        <v>0.469696</v>
      </c>
      <c r="AM911">
        <v>0.987479</v>
      </c>
      <c r="AN911">
        <v>5.7789900000000003</v>
      </c>
      <c r="AO911">
        <v>10.645300000000001</v>
      </c>
      <c r="AP911">
        <v>20.358799999999999</v>
      </c>
      <c r="AQ911">
        <v>37.486800000000002</v>
      </c>
      <c r="AR911">
        <v>24.742699999999999</v>
      </c>
      <c r="AS911">
        <v>8.4819000000000006E-2</v>
      </c>
      <c r="AT911">
        <v>4.7746500000000003</v>
      </c>
      <c r="AU911">
        <v>33.673999999999999</v>
      </c>
      <c r="AV911">
        <v>37.047699999999999</v>
      </c>
      <c r="AW911">
        <v>15.541600000000001</v>
      </c>
      <c r="AX911">
        <v>6.6440400000000004</v>
      </c>
      <c r="AY911">
        <v>2.3180499999999999</v>
      </c>
      <c r="AZ911">
        <v>544.27</v>
      </c>
      <c r="BA911">
        <v>622.19899999999996</v>
      </c>
      <c r="BB911">
        <v>36063.5</v>
      </c>
      <c r="BC911">
        <v>5.1853999999999997E-2</v>
      </c>
      <c r="BD911">
        <v>4.3985700000000003E-2</v>
      </c>
      <c r="BE911">
        <v>0.29250500000000001</v>
      </c>
      <c r="BF911">
        <v>2.4807899999999998</v>
      </c>
      <c r="BG911">
        <v>35.631300000000003</v>
      </c>
      <c r="BH911">
        <v>47.665100000000002</v>
      </c>
      <c r="BI911">
        <v>13.8863</v>
      </c>
      <c r="BJ911">
        <v>32.251100000000001</v>
      </c>
      <c r="BK911">
        <v>0</v>
      </c>
      <c r="BL911">
        <v>34.020699999999998</v>
      </c>
      <c r="BM911">
        <v>54.787799999999997</v>
      </c>
      <c r="BN911">
        <v>9.4070699999999992</v>
      </c>
      <c r="BO911">
        <v>1.1450899999999999</v>
      </c>
      <c r="BP911">
        <v>0.63925900000000002</v>
      </c>
      <c r="BQ911">
        <v>35.281100000000002</v>
      </c>
      <c r="BR911">
        <v>136408</v>
      </c>
    </row>
    <row r="912" spans="1:70" x14ac:dyDescent="0.25">
      <c r="A912">
        <v>54</v>
      </c>
      <c r="B912" s="7">
        <v>45973.581284722219</v>
      </c>
      <c r="C912" t="s">
        <v>209</v>
      </c>
      <c r="D912" s="6" t="s">
        <v>435</v>
      </c>
      <c r="E912" s="6" t="str">
        <f>VLOOKUP(F912,Germplasm!$A$1:$B$21,2,FALSE)</f>
        <v>Arild</v>
      </c>
      <c r="F912" t="s">
        <v>74</v>
      </c>
      <c r="G912" s="6" t="s">
        <v>113</v>
      </c>
      <c r="H912">
        <v>0</v>
      </c>
      <c r="J912">
        <v>0</v>
      </c>
      <c r="M912">
        <v>0</v>
      </c>
      <c r="N912">
        <v>0</v>
      </c>
      <c r="O912">
        <v>0</v>
      </c>
      <c r="AZ912">
        <v>0</v>
      </c>
      <c r="BA912">
        <v>0</v>
      </c>
      <c r="BB912">
        <v>0</v>
      </c>
      <c r="BR912">
        <v>0</v>
      </c>
    </row>
    <row r="913" spans="1:70" x14ac:dyDescent="0.25">
      <c r="A913">
        <v>54</v>
      </c>
      <c r="B913" s="7">
        <v>45988.60297453704</v>
      </c>
      <c r="C913" t="s">
        <v>209</v>
      </c>
      <c r="D913" s="6" t="s">
        <v>436</v>
      </c>
      <c r="E913" s="6" t="str">
        <f>VLOOKUP(F913,Germplasm!$A$1:$B$21,2,FALSE)</f>
        <v>Arild</v>
      </c>
      <c r="F913" t="s">
        <v>74</v>
      </c>
      <c r="G913" s="6" t="s">
        <v>113</v>
      </c>
      <c r="H913">
        <v>59406.400000000001</v>
      </c>
      <c r="I913">
        <v>356.36399999999998</v>
      </c>
      <c r="J913">
        <v>196229</v>
      </c>
      <c r="K913">
        <v>16.5519</v>
      </c>
      <c r="L913">
        <v>76.595399999999998</v>
      </c>
      <c r="M913">
        <v>1655.8</v>
      </c>
      <c r="N913">
        <v>593.851</v>
      </c>
      <c r="O913">
        <v>34245100</v>
      </c>
      <c r="P913">
        <v>0.14308699999999999</v>
      </c>
      <c r="Q913">
        <v>0.83562499999999995</v>
      </c>
      <c r="R913">
        <v>12.8812</v>
      </c>
      <c r="S913">
        <v>38.845999999999997</v>
      </c>
      <c r="T913">
        <v>36.1873</v>
      </c>
      <c r="U913">
        <v>10.7742</v>
      </c>
      <c r="V913">
        <v>0.47575099999999998</v>
      </c>
      <c r="W913">
        <v>89.444400000000002</v>
      </c>
      <c r="X913">
        <v>6.6580700000000004</v>
      </c>
      <c r="Y913">
        <v>14.2203</v>
      </c>
      <c r="Z913">
        <v>9.65212</v>
      </c>
      <c r="AA913">
        <v>24.7072</v>
      </c>
      <c r="AB913">
        <v>22.971499999999999</v>
      </c>
      <c r="AC913">
        <v>21.790700000000001</v>
      </c>
      <c r="AD913">
        <v>1.82904</v>
      </c>
      <c r="AE913">
        <v>10.699299999999999</v>
      </c>
      <c r="AF913">
        <v>0</v>
      </c>
      <c r="AG913">
        <v>96.110799999999998</v>
      </c>
      <c r="AH913">
        <v>3.8778199999999998</v>
      </c>
      <c r="AI913">
        <v>9.7924799999999992E-3</v>
      </c>
      <c r="AJ913">
        <v>1.6320799999999999E-3</v>
      </c>
      <c r="AK913">
        <v>0</v>
      </c>
      <c r="AL913">
        <v>0.32357799999999998</v>
      </c>
      <c r="AM913">
        <v>4.97621</v>
      </c>
      <c r="AN913">
        <v>17.575099999999999</v>
      </c>
      <c r="AO913">
        <v>20.538900000000002</v>
      </c>
      <c r="AP913">
        <v>27.639299999999999</v>
      </c>
      <c r="AQ913">
        <v>22.1906</v>
      </c>
      <c r="AR913">
        <v>7.0799599999999998</v>
      </c>
      <c r="AS913">
        <v>0.15045500000000001</v>
      </c>
      <c r="AT913">
        <v>1.7985500000000001</v>
      </c>
      <c r="AU913">
        <v>21.079899999999999</v>
      </c>
      <c r="AV913">
        <v>39.4392</v>
      </c>
      <c r="AW913">
        <v>29.0029</v>
      </c>
      <c r="AX913">
        <v>6.5715700000000004</v>
      </c>
      <c r="AY913">
        <v>2.1078299999999999</v>
      </c>
      <c r="AZ913">
        <v>576.45500000000004</v>
      </c>
      <c r="BA913">
        <v>632.399</v>
      </c>
      <c r="BB913">
        <v>32479.5</v>
      </c>
      <c r="BC913">
        <v>0.13212499999999999</v>
      </c>
      <c r="BD913">
        <v>7.8339800000000001E-2</v>
      </c>
      <c r="BE913">
        <v>0.46024700000000002</v>
      </c>
      <c r="BF913">
        <v>1.6027</v>
      </c>
      <c r="BG913">
        <v>20.7348</v>
      </c>
      <c r="BH913">
        <v>47.953000000000003</v>
      </c>
      <c r="BI913">
        <v>29.170999999999999</v>
      </c>
      <c r="BJ913">
        <v>28.494900000000001</v>
      </c>
      <c r="BK913">
        <v>0</v>
      </c>
      <c r="BL913">
        <v>44.387700000000002</v>
      </c>
      <c r="BM913">
        <v>48.665399999999998</v>
      </c>
      <c r="BN913">
        <v>5.2911999999999999</v>
      </c>
      <c r="BO913">
        <v>1.0176000000000001</v>
      </c>
      <c r="BP913">
        <v>0.63814300000000002</v>
      </c>
      <c r="BQ913">
        <v>33.184899999999999</v>
      </c>
      <c r="BR913">
        <v>122543</v>
      </c>
    </row>
    <row r="914" spans="1:70" x14ac:dyDescent="0.25">
      <c r="A914">
        <v>54</v>
      </c>
      <c r="B914" s="7">
        <v>45994.544953703706</v>
      </c>
      <c r="C914" t="s">
        <v>209</v>
      </c>
      <c r="D914" s="6" t="s">
        <v>437</v>
      </c>
      <c r="E914" s="6" t="str">
        <f>VLOOKUP(F914,Germplasm!$A$1:$B$21,2,FALSE)</f>
        <v>Arild</v>
      </c>
      <c r="F914" t="s">
        <v>74</v>
      </c>
      <c r="G914" s="6" t="s">
        <v>113</v>
      </c>
      <c r="H914">
        <v>41850.5</v>
      </c>
      <c r="I914">
        <v>465.791</v>
      </c>
      <c r="J914">
        <v>170324</v>
      </c>
      <c r="K914">
        <v>12.890700000000001</v>
      </c>
      <c r="L914">
        <v>71.039400000000001</v>
      </c>
      <c r="M914">
        <v>1579.65</v>
      </c>
      <c r="N914">
        <v>591.05600000000004</v>
      </c>
      <c r="O914">
        <v>23980200</v>
      </c>
      <c r="P914">
        <v>0.100385</v>
      </c>
      <c r="Q914">
        <v>0.72232399999999997</v>
      </c>
      <c r="R914">
        <v>18.275099999999998</v>
      </c>
      <c r="S914">
        <v>50.400799999999997</v>
      </c>
      <c r="T914">
        <v>23.8689</v>
      </c>
      <c r="U914">
        <v>6.4699099999999996</v>
      </c>
      <c r="V914">
        <v>0.26297700000000002</v>
      </c>
      <c r="W914">
        <v>64.153000000000006</v>
      </c>
      <c r="X914">
        <v>9.4304100000000002</v>
      </c>
      <c r="Y914">
        <v>33.432499999999997</v>
      </c>
      <c r="Z914">
        <v>14.996600000000001</v>
      </c>
      <c r="AA914">
        <v>18.056999999999999</v>
      </c>
      <c r="AB914">
        <v>12.154299999999999</v>
      </c>
      <c r="AC914">
        <v>11.9293</v>
      </c>
      <c r="AD914">
        <v>1.90611</v>
      </c>
      <c r="AE914">
        <v>13.565099999999999</v>
      </c>
      <c r="AF914">
        <v>0</v>
      </c>
      <c r="AG914">
        <v>92.640100000000004</v>
      </c>
      <c r="AH914">
        <v>7.3587499999999997</v>
      </c>
      <c r="AI914">
        <v>1.1483699999999999E-3</v>
      </c>
      <c r="AJ914">
        <v>0</v>
      </c>
      <c r="AK914">
        <v>0</v>
      </c>
      <c r="AL914">
        <v>0.21642700000000001</v>
      </c>
      <c r="AM914">
        <v>9.1410199999999993</v>
      </c>
      <c r="AN914">
        <v>35.184899999999999</v>
      </c>
      <c r="AO914">
        <v>23.690899999999999</v>
      </c>
      <c r="AP914">
        <v>18.136199999999999</v>
      </c>
      <c r="AQ914">
        <v>11.13</v>
      </c>
      <c r="AR914">
        <v>2.7170399999999999</v>
      </c>
      <c r="AS914">
        <v>0.23732200000000001</v>
      </c>
      <c r="AT914">
        <v>0.82912300000000005</v>
      </c>
      <c r="AU914">
        <v>10.801600000000001</v>
      </c>
      <c r="AV914">
        <v>30.123999999999999</v>
      </c>
      <c r="AW914">
        <v>38.890700000000002</v>
      </c>
      <c r="AX914">
        <v>16.546900000000001</v>
      </c>
      <c r="AY914">
        <v>2.80776</v>
      </c>
      <c r="AZ914">
        <v>572.99599999999998</v>
      </c>
      <c r="BA914">
        <v>672.601</v>
      </c>
      <c r="BB914">
        <v>21955.9</v>
      </c>
      <c r="BC914">
        <v>0.25104199999999999</v>
      </c>
      <c r="BD914">
        <v>7.6940700000000001E-2</v>
      </c>
      <c r="BE914">
        <v>0.26986700000000002</v>
      </c>
      <c r="BF914">
        <v>0.880799</v>
      </c>
      <c r="BG914">
        <v>10.4031</v>
      </c>
      <c r="BH914">
        <v>32.301299999999998</v>
      </c>
      <c r="BI914">
        <v>56.067999999999998</v>
      </c>
      <c r="BJ914">
        <v>31.053799999999999</v>
      </c>
      <c r="BK914">
        <v>0</v>
      </c>
      <c r="BL914">
        <v>37.303600000000003</v>
      </c>
      <c r="BM914">
        <v>53.213099999999997</v>
      </c>
      <c r="BN914">
        <v>7.7101499999999996</v>
      </c>
      <c r="BO914">
        <v>1.15181</v>
      </c>
      <c r="BP914">
        <v>0.62126800000000004</v>
      </c>
      <c r="BQ914">
        <v>31.672699999999999</v>
      </c>
      <c r="BR914">
        <v>87080</v>
      </c>
    </row>
    <row r="915" spans="1:70" x14ac:dyDescent="0.25">
      <c r="A915">
        <v>54</v>
      </c>
      <c r="B915" s="7">
        <v>46002.552615740744</v>
      </c>
      <c r="C915" t="s">
        <v>209</v>
      </c>
      <c r="D915" s="6" t="s">
        <v>438</v>
      </c>
      <c r="E915" s="6" t="str">
        <f>VLOOKUP(F915,Germplasm!$A$1:$B$21,2,FALSE)</f>
        <v>Arild</v>
      </c>
      <c r="F915" t="s">
        <v>74</v>
      </c>
      <c r="G915" s="6" t="s">
        <v>113</v>
      </c>
      <c r="H915">
        <v>27601.8</v>
      </c>
      <c r="I915">
        <v>428.02600000000001</v>
      </c>
      <c r="J915">
        <v>86031.2</v>
      </c>
      <c r="K915">
        <v>16.773</v>
      </c>
      <c r="L915">
        <v>56.929200000000002</v>
      </c>
      <c r="M915">
        <v>1164.1300000000001</v>
      </c>
      <c r="N915">
        <v>433.43900000000002</v>
      </c>
      <c r="O915">
        <v>12656800</v>
      </c>
      <c r="P915">
        <v>1.8092199999999999E-2</v>
      </c>
      <c r="Q915">
        <v>1.6576500000000001</v>
      </c>
      <c r="R915">
        <v>38.4709</v>
      </c>
      <c r="S915">
        <v>52.7926</v>
      </c>
      <c r="T915">
        <v>5.9387699999999999</v>
      </c>
      <c r="U915">
        <v>1.04871</v>
      </c>
      <c r="V915">
        <v>9.1339600000000007E-2</v>
      </c>
      <c r="W915">
        <v>38.508800000000001</v>
      </c>
      <c r="X915">
        <v>21.948599999999999</v>
      </c>
      <c r="Y915">
        <v>51.610300000000002</v>
      </c>
      <c r="Z915">
        <v>9.9949300000000001</v>
      </c>
      <c r="AA915">
        <v>5.8829500000000001</v>
      </c>
      <c r="AB915">
        <v>2.5744199999999999</v>
      </c>
      <c r="AC915">
        <v>7.9888399999999997</v>
      </c>
      <c r="AD915">
        <v>1.9128000000000001</v>
      </c>
      <c r="AE915">
        <v>16.873899999999999</v>
      </c>
      <c r="AF915">
        <v>0</v>
      </c>
      <c r="AG915">
        <v>83.459100000000007</v>
      </c>
      <c r="AH915">
        <v>16.530799999999999</v>
      </c>
      <c r="AI915">
        <v>1.0148799999999999E-2</v>
      </c>
      <c r="AJ915">
        <v>0</v>
      </c>
      <c r="AK915">
        <v>0</v>
      </c>
      <c r="AL915">
        <v>0.112635</v>
      </c>
      <c r="AM915">
        <v>15.133599999999999</v>
      </c>
      <c r="AN915">
        <v>55.507399999999997</v>
      </c>
      <c r="AO915">
        <v>19.560199999999998</v>
      </c>
      <c r="AP915">
        <v>6.82172</v>
      </c>
      <c r="AQ915">
        <v>2.1887699999999999</v>
      </c>
      <c r="AR915">
        <v>0.78822700000000001</v>
      </c>
      <c r="AS915">
        <v>0.27746300000000002</v>
      </c>
      <c r="AT915">
        <v>0.79837599999999997</v>
      </c>
      <c r="AU915">
        <v>5.2063600000000001</v>
      </c>
      <c r="AV915">
        <v>23.819400000000002</v>
      </c>
      <c r="AW915">
        <v>53.042999999999999</v>
      </c>
      <c r="AX915">
        <v>12.256399999999999</v>
      </c>
      <c r="AY915">
        <v>4.8765200000000002</v>
      </c>
      <c r="AZ915">
        <v>458.55</v>
      </c>
      <c r="BA915">
        <v>540.59900000000005</v>
      </c>
      <c r="BB915">
        <v>14430</v>
      </c>
      <c r="BC915">
        <v>0.325154</v>
      </c>
      <c r="BD915">
        <v>0.14715800000000001</v>
      </c>
      <c r="BE915">
        <v>0.45669799999999999</v>
      </c>
      <c r="BF915">
        <v>0.95737499999999998</v>
      </c>
      <c r="BG915">
        <v>4.4333600000000004</v>
      </c>
      <c r="BH915">
        <v>14.2135</v>
      </c>
      <c r="BI915">
        <v>79.791899999999998</v>
      </c>
      <c r="BJ915">
        <v>30.3352</v>
      </c>
      <c r="BK915">
        <v>0</v>
      </c>
      <c r="BL915">
        <v>39.715800000000002</v>
      </c>
      <c r="BM915">
        <v>51.6982</v>
      </c>
      <c r="BN915">
        <v>5.6224600000000002</v>
      </c>
      <c r="BO915">
        <v>1.8809199999999999</v>
      </c>
      <c r="BP915">
        <v>1.0825400000000001</v>
      </c>
      <c r="BQ915">
        <v>31.535499999999999</v>
      </c>
      <c r="BR915">
        <v>59120</v>
      </c>
    </row>
    <row r="916" spans="1:70" x14ac:dyDescent="0.25">
      <c r="A916">
        <v>54</v>
      </c>
      <c r="B916" s="7">
        <v>46013.577303240738</v>
      </c>
      <c r="C916" t="s">
        <v>209</v>
      </c>
      <c r="D916" s="6" t="s">
        <v>439</v>
      </c>
      <c r="E916" s="6" t="str">
        <f>VLOOKUP(F916,Germplasm!$A$1:$B$21,2,FALSE)</f>
        <v>Arild</v>
      </c>
      <c r="F916" t="s">
        <v>74</v>
      </c>
      <c r="G916" s="6" t="s">
        <v>113</v>
      </c>
      <c r="H916">
        <v>24833.7</v>
      </c>
      <c r="I916">
        <v>202.76499999999999</v>
      </c>
      <c r="J916">
        <v>76862.600000000006</v>
      </c>
      <c r="K916">
        <v>16.4377</v>
      </c>
      <c r="L916">
        <v>82.067300000000003</v>
      </c>
      <c r="M916">
        <v>1052.3399999999999</v>
      </c>
      <c r="N916">
        <v>364.13900000000001</v>
      </c>
      <c r="O916">
        <v>5640800</v>
      </c>
      <c r="P916">
        <v>7.7038000000000002E-3</v>
      </c>
      <c r="Q916">
        <v>1.4611099999999999</v>
      </c>
      <c r="R916">
        <v>37.704799999999999</v>
      </c>
      <c r="S916">
        <v>58.897799999999997</v>
      </c>
      <c r="T916">
        <v>1.51237</v>
      </c>
      <c r="U916">
        <v>0.370699</v>
      </c>
      <c r="V916">
        <v>5.32387E-2</v>
      </c>
      <c r="W916">
        <v>35.468600000000002</v>
      </c>
      <c r="X916">
        <v>20.1538</v>
      </c>
      <c r="Y916">
        <v>59.067300000000003</v>
      </c>
      <c r="Z916">
        <v>8.9480400000000007</v>
      </c>
      <c r="AA916">
        <v>2.8591099999999998</v>
      </c>
      <c r="AB916">
        <v>1.1850499999999999</v>
      </c>
      <c r="AC916">
        <v>7.7866499999999998</v>
      </c>
      <c r="AD916">
        <v>1.9655499999999999</v>
      </c>
      <c r="AE916">
        <v>19.183399999999999</v>
      </c>
      <c r="AF916">
        <v>0</v>
      </c>
      <c r="AG916">
        <v>77.087599999999995</v>
      </c>
      <c r="AH916">
        <v>22.618600000000001</v>
      </c>
      <c r="AI916">
        <v>0.27408100000000002</v>
      </c>
      <c r="AJ916">
        <v>1.9717999999999999E-2</v>
      </c>
      <c r="AK916">
        <v>0</v>
      </c>
      <c r="AL916">
        <v>8.8602399999999998E-2</v>
      </c>
      <c r="AM916">
        <v>16.427099999999999</v>
      </c>
      <c r="AN916">
        <v>63.139099999999999</v>
      </c>
      <c r="AO916">
        <v>14.7806</v>
      </c>
      <c r="AP916">
        <v>3.6221999999999999</v>
      </c>
      <c r="AQ916">
        <v>1.48871</v>
      </c>
      <c r="AR916">
        <v>0.54224600000000001</v>
      </c>
      <c r="AS916">
        <v>0.26119999999999999</v>
      </c>
      <c r="AT916">
        <v>1.1022400000000001</v>
      </c>
      <c r="AU916">
        <v>4.3852900000000004</v>
      </c>
      <c r="AV916">
        <v>26.928899999999999</v>
      </c>
      <c r="AW916">
        <v>54.2699</v>
      </c>
      <c r="AX916">
        <v>9.4409899999999993</v>
      </c>
      <c r="AY916">
        <v>3.87262</v>
      </c>
      <c r="AZ916">
        <v>227.143</v>
      </c>
      <c r="BA916">
        <v>235.19900000000001</v>
      </c>
      <c r="BB916">
        <v>12634.5</v>
      </c>
      <c r="BC916">
        <v>0.32189699999999999</v>
      </c>
      <c r="BD916">
        <v>0.25830599999999998</v>
      </c>
      <c r="BE916">
        <v>0.70787699999999998</v>
      </c>
      <c r="BF916">
        <v>1.0608299999999999</v>
      </c>
      <c r="BG916">
        <v>3.4605100000000002</v>
      </c>
      <c r="BH916">
        <v>12.8088</v>
      </c>
      <c r="BI916">
        <v>81.703599999999994</v>
      </c>
      <c r="BJ916">
        <v>28.234999999999999</v>
      </c>
      <c r="BK916">
        <v>0</v>
      </c>
      <c r="BL916">
        <v>45.942999999999998</v>
      </c>
      <c r="BM916">
        <v>47.6999</v>
      </c>
      <c r="BN916">
        <v>3.9022000000000001</v>
      </c>
      <c r="BO916">
        <v>1.46702</v>
      </c>
      <c r="BP916">
        <v>0.987873</v>
      </c>
      <c r="BQ916">
        <v>30.590800000000002</v>
      </c>
      <c r="BR916">
        <v>50715</v>
      </c>
    </row>
    <row r="917" spans="1:70" x14ac:dyDescent="0.25">
      <c r="A917">
        <v>54</v>
      </c>
      <c r="B917" s="7">
        <v>46024.555937500001</v>
      </c>
      <c r="C917" t="s">
        <v>209</v>
      </c>
      <c r="D917" s="6" t="s">
        <v>440</v>
      </c>
      <c r="E917" s="6" t="str">
        <f>VLOOKUP(F917,Germplasm!$A$1:$B$21,2,FALSE)</f>
        <v>Arild</v>
      </c>
      <c r="F917" t="s">
        <v>74</v>
      </c>
      <c r="G917" s="6" t="s">
        <v>113</v>
      </c>
      <c r="H917">
        <v>22062.7</v>
      </c>
      <c r="I917">
        <v>194.41</v>
      </c>
      <c r="J917">
        <v>64664.1</v>
      </c>
      <c r="K917">
        <v>17.263300000000001</v>
      </c>
      <c r="L917">
        <v>75.939499999999995</v>
      </c>
      <c r="M917">
        <v>981.42700000000002</v>
      </c>
      <c r="N917">
        <v>355.315</v>
      </c>
      <c r="O917">
        <v>4784470</v>
      </c>
      <c r="P917">
        <v>5.3761900000000003E-3</v>
      </c>
      <c r="Q917">
        <v>1.5203599999999999</v>
      </c>
      <c r="R917">
        <v>39.613799999999998</v>
      </c>
      <c r="S917">
        <v>56.945999999999998</v>
      </c>
      <c r="T917">
        <v>1.5292399999999999</v>
      </c>
      <c r="U917">
        <v>0.34624300000000002</v>
      </c>
      <c r="V917">
        <v>4.4390199999999998E-2</v>
      </c>
      <c r="W917">
        <v>34.259399999999999</v>
      </c>
      <c r="X917">
        <v>21.329499999999999</v>
      </c>
      <c r="Y917">
        <v>60.796799999999998</v>
      </c>
      <c r="Z917">
        <v>7.8171099999999996</v>
      </c>
      <c r="AA917">
        <v>2.2328299999999999</v>
      </c>
      <c r="AB917">
        <v>1.05427</v>
      </c>
      <c r="AC917">
        <v>6.7694999999999999</v>
      </c>
      <c r="AD917">
        <v>1.97638</v>
      </c>
      <c r="AE917">
        <v>19.380600000000001</v>
      </c>
      <c r="AF917">
        <v>0</v>
      </c>
      <c r="AG917">
        <v>77.203400000000002</v>
      </c>
      <c r="AH917">
        <v>22.678899999999999</v>
      </c>
      <c r="AI917">
        <v>0.117634</v>
      </c>
      <c r="AJ917">
        <v>0</v>
      </c>
      <c r="AK917">
        <v>0</v>
      </c>
      <c r="AL917">
        <v>8.1225000000000006E-2</v>
      </c>
      <c r="AM917">
        <v>18.379799999999999</v>
      </c>
      <c r="AN917">
        <v>63.315899999999999</v>
      </c>
      <c r="AO917">
        <v>12.5802</v>
      </c>
      <c r="AP917">
        <v>3.6533099999999998</v>
      </c>
      <c r="AQ917">
        <v>1.6269</v>
      </c>
      <c r="AR917">
        <v>0.44390200000000002</v>
      </c>
      <c r="AS917">
        <v>0.273675</v>
      </c>
      <c r="AT917">
        <v>1.00766</v>
      </c>
      <c r="AU917">
        <v>3.5578699999999999</v>
      </c>
      <c r="AV917">
        <v>23.7288</v>
      </c>
      <c r="AW917">
        <v>57.425400000000003</v>
      </c>
      <c r="AX917">
        <v>9.9345199999999991</v>
      </c>
      <c r="AY917">
        <v>4.3457999999999997</v>
      </c>
      <c r="AZ917">
        <v>216.857</v>
      </c>
      <c r="BA917">
        <v>230.399</v>
      </c>
      <c r="BB917">
        <v>11163.2</v>
      </c>
      <c r="BC917">
        <v>0.338783</v>
      </c>
      <c r="BD917">
        <v>0.33958500000000003</v>
      </c>
      <c r="BE917">
        <v>0.583731</v>
      </c>
      <c r="BF917">
        <v>0.79680399999999996</v>
      </c>
      <c r="BG917">
        <v>2.8431899999999999</v>
      </c>
      <c r="BH917">
        <v>10.757999999999999</v>
      </c>
      <c r="BI917">
        <v>84.678700000000006</v>
      </c>
      <c r="BJ917">
        <v>29.182200000000002</v>
      </c>
      <c r="BK917">
        <v>0</v>
      </c>
      <c r="BL917">
        <v>42.563499999999998</v>
      </c>
      <c r="BM917">
        <v>50.467199999999998</v>
      </c>
      <c r="BN917">
        <v>4.2836499999999997</v>
      </c>
      <c r="BO917">
        <v>1.72234</v>
      </c>
      <c r="BP917">
        <v>0.96326699999999998</v>
      </c>
      <c r="BQ917">
        <v>30.399100000000001</v>
      </c>
      <c r="BR917">
        <v>45055</v>
      </c>
    </row>
    <row r="918" spans="1:70" x14ac:dyDescent="0.25">
      <c r="A918">
        <v>54</v>
      </c>
      <c r="B918" s="7">
        <v>45952.583738425928</v>
      </c>
      <c r="C918" t="s">
        <v>207</v>
      </c>
      <c r="D918" s="6" t="s">
        <v>432</v>
      </c>
      <c r="E918" s="6" t="str">
        <f>VLOOKUP(F918,Germplasm!$A$1:$B$21,2,FALSE)</f>
        <v>Thule</v>
      </c>
      <c r="F918" t="s">
        <v>78</v>
      </c>
      <c r="G918" s="6" t="s">
        <v>113</v>
      </c>
      <c r="H918">
        <v>19401.3</v>
      </c>
      <c r="I918">
        <v>190.279</v>
      </c>
      <c r="J918">
        <v>41721.4</v>
      </c>
      <c r="K918">
        <v>25.211400000000001</v>
      </c>
      <c r="L918">
        <v>83.334599999999995</v>
      </c>
      <c r="M918">
        <v>781.83799999999997</v>
      </c>
      <c r="N918">
        <v>275.30099999999999</v>
      </c>
      <c r="O918">
        <v>4007780</v>
      </c>
      <c r="P918">
        <v>0.22226199999999999</v>
      </c>
      <c r="Q918">
        <v>0.390324</v>
      </c>
      <c r="R918">
        <v>3.2155300000000002</v>
      </c>
      <c r="S918">
        <v>18.841799999999999</v>
      </c>
      <c r="T918">
        <v>53.862099999999998</v>
      </c>
      <c r="U918">
        <v>23.584099999999999</v>
      </c>
      <c r="V918">
        <v>0.106211</v>
      </c>
      <c r="W918">
        <v>111.71299999999999</v>
      </c>
      <c r="X918">
        <v>1.0089999999999999</v>
      </c>
      <c r="Y918">
        <v>2.1507700000000001</v>
      </c>
      <c r="Z918">
        <v>4.4210200000000004</v>
      </c>
      <c r="AA918">
        <v>22.686599999999999</v>
      </c>
      <c r="AB918">
        <v>40.022799999999997</v>
      </c>
      <c r="AC918">
        <v>29.709800000000001</v>
      </c>
      <c r="AD918">
        <v>1.84449</v>
      </c>
      <c r="AE918">
        <v>8.4795300000000005</v>
      </c>
      <c r="AF918">
        <v>0</v>
      </c>
      <c r="AG918">
        <v>99.954899999999995</v>
      </c>
      <c r="AH918">
        <v>2.3897399999999999E-2</v>
      </c>
      <c r="AI918">
        <v>2.12421E-2</v>
      </c>
      <c r="AJ918">
        <v>0</v>
      </c>
      <c r="AK918">
        <v>0</v>
      </c>
      <c r="AL918">
        <v>0.48513400000000001</v>
      </c>
      <c r="AM918">
        <v>0.26552700000000001</v>
      </c>
      <c r="AN918">
        <v>1.67282</v>
      </c>
      <c r="AO918">
        <v>5.7725499999999998</v>
      </c>
      <c r="AP918">
        <v>23.584099999999999</v>
      </c>
      <c r="AQ918">
        <v>54.6693</v>
      </c>
      <c r="AR918">
        <v>14.0357</v>
      </c>
      <c r="AS918">
        <v>6.1565099999999998E-2</v>
      </c>
      <c r="AT918">
        <v>4.21922</v>
      </c>
      <c r="AU918">
        <v>30.8064</v>
      </c>
      <c r="AV918">
        <v>48.209000000000003</v>
      </c>
      <c r="AW918">
        <v>13.5631</v>
      </c>
      <c r="AX918">
        <v>2.1746599999999998</v>
      </c>
      <c r="AY918">
        <v>1.02759</v>
      </c>
      <c r="AZ918">
        <v>206.572</v>
      </c>
      <c r="BA918">
        <v>254.4</v>
      </c>
      <c r="BB918">
        <v>10518.5</v>
      </c>
      <c r="BC918">
        <v>3.1663900000000002E-2</v>
      </c>
      <c r="BD918">
        <v>2.12421E-2</v>
      </c>
      <c r="BE918">
        <v>0.23366300000000001</v>
      </c>
      <c r="BF918">
        <v>2.2065299999999999</v>
      </c>
      <c r="BG918">
        <v>32.561500000000002</v>
      </c>
      <c r="BH918">
        <v>59.323999999999998</v>
      </c>
      <c r="BI918">
        <v>5.65306</v>
      </c>
      <c r="BJ918">
        <v>30.1082</v>
      </c>
      <c r="BK918">
        <v>0</v>
      </c>
      <c r="BL918">
        <v>35.052199999999999</v>
      </c>
      <c r="BM918">
        <v>59.406300000000002</v>
      </c>
      <c r="BN918">
        <v>4.7980700000000001</v>
      </c>
      <c r="BO918">
        <v>0.50450099999999998</v>
      </c>
      <c r="BP918">
        <v>0.23897399999999999</v>
      </c>
      <c r="BQ918">
        <v>32.830199999999998</v>
      </c>
      <c r="BR918">
        <v>37661</v>
      </c>
    </row>
    <row r="919" spans="1:70" x14ac:dyDescent="0.25">
      <c r="A919">
        <v>54</v>
      </c>
      <c r="B919" s="7">
        <v>45959.55741898148</v>
      </c>
      <c r="C919" t="s">
        <v>207</v>
      </c>
      <c r="D919" s="6" t="s">
        <v>433</v>
      </c>
      <c r="E919" s="6" t="str">
        <f>VLOOKUP(F919,Germplasm!$A$1:$B$21,2,FALSE)</f>
        <v>Thule</v>
      </c>
      <c r="F919" t="s">
        <v>78</v>
      </c>
      <c r="G919" s="6" t="s">
        <v>113</v>
      </c>
      <c r="H919">
        <v>0</v>
      </c>
      <c r="J919">
        <v>0</v>
      </c>
      <c r="M919">
        <v>0</v>
      </c>
      <c r="N919">
        <v>0</v>
      </c>
      <c r="O919">
        <v>0</v>
      </c>
      <c r="AZ919">
        <v>0</v>
      </c>
      <c r="BA919">
        <v>0</v>
      </c>
      <c r="BB919">
        <v>0</v>
      </c>
      <c r="BR919">
        <v>0</v>
      </c>
    </row>
    <row r="920" spans="1:70" x14ac:dyDescent="0.25">
      <c r="A920">
        <v>54</v>
      </c>
      <c r="B920" s="7">
        <v>45966.522789351853</v>
      </c>
      <c r="C920" t="s">
        <v>207</v>
      </c>
      <c r="D920" s="6" t="s">
        <v>434</v>
      </c>
      <c r="E920" s="6" t="str">
        <f>VLOOKUP(F920,Germplasm!$A$1:$B$21,2,FALSE)</f>
        <v>Thule</v>
      </c>
      <c r="F920" t="s">
        <v>78</v>
      </c>
      <c r="G920" s="6" t="s">
        <v>113</v>
      </c>
      <c r="H920">
        <v>64688.7</v>
      </c>
      <c r="I920">
        <v>364.72699999999998</v>
      </c>
      <c r="J920">
        <v>131436</v>
      </c>
      <c r="K920">
        <v>28.095600000000001</v>
      </c>
      <c r="L920">
        <v>78.981399999999994</v>
      </c>
      <c r="M920">
        <v>1349.21</v>
      </c>
      <c r="N920">
        <v>476.18400000000003</v>
      </c>
      <c r="O920">
        <v>26937200</v>
      </c>
      <c r="P920">
        <v>0.267123</v>
      </c>
      <c r="Q920">
        <v>0.42183300000000001</v>
      </c>
      <c r="R920">
        <v>2.0632100000000002</v>
      </c>
      <c r="S920">
        <v>12.265499999999999</v>
      </c>
      <c r="T920">
        <v>44.160600000000002</v>
      </c>
      <c r="U920">
        <v>40.541899999999998</v>
      </c>
      <c r="V920">
        <v>0.54687600000000003</v>
      </c>
      <c r="W920">
        <v>112.43</v>
      </c>
      <c r="X920">
        <v>0.67643900000000001</v>
      </c>
      <c r="Y920">
        <v>1.71746</v>
      </c>
      <c r="Z920">
        <v>3.4590299999999998</v>
      </c>
      <c r="AA920">
        <v>20.1998</v>
      </c>
      <c r="AB920">
        <v>47.014800000000001</v>
      </c>
      <c r="AC920">
        <v>26.932500000000001</v>
      </c>
      <c r="AD920">
        <v>1.75176</v>
      </c>
      <c r="AE920">
        <v>7.5957999999999997</v>
      </c>
      <c r="AF920">
        <v>0</v>
      </c>
      <c r="AG920">
        <v>99.874200000000002</v>
      </c>
      <c r="AH920">
        <v>0.122783</v>
      </c>
      <c r="AI920">
        <v>3.01309E-3</v>
      </c>
      <c r="AJ920">
        <v>0</v>
      </c>
      <c r="AK920">
        <v>0</v>
      </c>
      <c r="AL920">
        <v>0.52002999999999999</v>
      </c>
      <c r="AM920">
        <v>0.37136400000000003</v>
      </c>
      <c r="AN920">
        <v>2.6138599999999999</v>
      </c>
      <c r="AO920">
        <v>4.1535500000000001</v>
      </c>
      <c r="AP920">
        <v>16.102699999999999</v>
      </c>
      <c r="AQ920">
        <v>47.909700000000001</v>
      </c>
      <c r="AR920">
        <v>28.848800000000001</v>
      </c>
      <c r="AS920">
        <v>7.4071600000000001E-2</v>
      </c>
      <c r="AT920">
        <v>4.2032600000000002</v>
      </c>
      <c r="AU920">
        <v>29.034199999999998</v>
      </c>
      <c r="AV920">
        <v>47.319899999999997</v>
      </c>
      <c r="AW920">
        <v>14.74</v>
      </c>
      <c r="AX920">
        <v>3.34077</v>
      </c>
      <c r="AY920">
        <v>1.36192</v>
      </c>
      <c r="AZ920">
        <v>416.41300000000001</v>
      </c>
      <c r="BA920">
        <v>524.399</v>
      </c>
      <c r="BB920">
        <v>36927.800000000003</v>
      </c>
      <c r="BC920">
        <v>3.7015100000000002E-2</v>
      </c>
      <c r="BD920">
        <v>3.6157099999999998E-2</v>
      </c>
      <c r="BE920">
        <v>0.254606</v>
      </c>
      <c r="BF920">
        <v>1.91256</v>
      </c>
      <c r="BG920">
        <v>31.033300000000001</v>
      </c>
      <c r="BH920">
        <v>60.580500000000001</v>
      </c>
      <c r="BI920">
        <v>6.1828599999999998</v>
      </c>
      <c r="BJ920">
        <v>34.8491</v>
      </c>
      <c r="BK920">
        <v>0</v>
      </c>
      <c r="BL920">
        <v>22.644100000000002</v>
      </c>
      <c r="BM920">
        <v>66.163700000000006</v>
      </c>
      <c r="BN920">
        <v>9.7880299999999991</v>
      </c>
      <c r="BO920">
        <v>0.86099099999999995</v>
      </c>
      <c r="BP920">
        <v>0.54310999999999998</v>
      </c>
      <c r="BQ920">
        <v>34.855800000000002</v>
      </c>
      <c r="BR920">
        <v>132754</v>
      </c>
    </row>
    <row r="921" spans="1:70" x14ac:dyDescent="0.25">
      <c r="A921">
        <v>54</v>
      </c>
      <c r="B921" s="7">
        <v>45973.581284722219</v>
      </c>
      <c r="C921" t="s">
        <v>207</v>
      </c>
      <c r="D921" s="6" t="s">
        <v>435</v>
      </c>
      <c r="E921" s="6" t="str">
        <f>VLOOKUP(F921,Germplasm!$A$1:$B$21,2,FALSE)</f>
        <v>Thule</v>
      </c>
      <c r="F921" t="s">
        <v>78</v>
      </c>
      <c r="G921" s="6" t="s">
        <v>113</v>
      </c>
      <c r="H921">
        <v>0</v>
      </c>
      <c r="J921">
        <v>0</v>
      </c>
      <c r="M921">
        <v>0</v>
      </c>
      <c r="N921">
        <v>0</v>
      </c>
      <c r="O921">
        <v>0</v>
      </c>
      <c r="AZ921">
        <v>0</v>
      </c>
      <c r="BA921">
        <v>0</v>
      </c>
      <c r="BB921">
        <v>0</v>
      </c>
      <c r="BR921">
        <v>0</v>
      </c>
    </row>
    <row r="922" spans="1:70" x14ac:dyDescent="0.25">
      <c r="A922">
        <v>54</v>
      </c>
      <c r="B922" s="7">
        <v>45988.60297453704</v>
      </c>
      <c r="C922" t="s">
        <v>207</v>
      </c>
      <c r="D922" s="6" t="s">
        <v>436</v>
      </c>
      <c r="E922" s="6" t="str">
        <f>VLOOKUP(F922,Germplasm!$A$1:$B$21,2,FALSE)</f>
        <v>Thule</v>
      </c>
      <c r="F922" t="s">
        <v>78</v>
      </c>
      <c r="G922" s="6" t="s">
        <v>113</v>
      </c>
      <c r="H922">
        <v>49996</v>
      </c>
      <c r="I922">
        <v>504.94900000000001</v>
      </c>
      <c r="J922">
        <v>98953.4</v>
      </c>
      <c r="K922">
        <v>29.6569</v>
      </c>
      <c r="L922">
        <v>65.840599999999995</v>
      </c>
      <c r="M922">
        <v>1240.17</v>
      </c>
      <c r="N922">
        <v>470.21</v>
      </c>
      <c r="O922">
        <v>29370900</v>
      </c>
      <c r="P922">
        <v>0.18159</v>
      </c>
      <c r="Q922">
        <v>0.95355900000000005</v>
      </c>
      <c r="R922">
        <v>11.6623</v>
      </c>
      <c r="S922">
        <v>23.177499999999998</v>
      </c>
      <c r="T922">
        <v>44.749400000000001</v>
      </c>
      <c r="U922">
        <v>19.0061</v>
      </c>
      <c r="V922">
        <v>0.45119599999999999</v>
      </c>
      <c r="W922">
        <v>95.435599999999994</v>
      </c>
      <c r="X922">
        <v>7.46753</v>
      </c>
      <c r="Y922">
        <v>10.020300000000001</v>
      </c>
      <c r="Z922">
        <v>5.97905</v>
      </c>
      <c r="AA922">
        <v>22.642600000000002</v>
      </c>
      <c r="AB922">
        <v>33.581099999999999</v>
      </c>
      <c r="AC922">
        <v>20.3094</v>
      </c>
      <c r="AD922">
        <v>1.70364</v>
      </c>
      <c r="AE922">
        <v>9.3228299999999997</v>
      </c>
      <c r="AF922">
        <v>0</v>
      </c>
      <c r="AG922">
        <v>96.794200000000004</v>
      </c>
      <c r="AH922">
        <v>3.20303</v>
      </c>
      <c r="AI922">
        <v>1.8606E-3</v>
      </c>
      <c r="AJ922">
        <v>9.3030200000000004E-4</v>
      </c>
      <c r="AK922">
        <v>0</v>
      </c>
      <c r="AL922">
        <v>0.40140300000000001</v>
      </c>
      <c r="AM922">
        <v>2.5322800000000001</v>
      </c>
      <c r="AN922">
        <v>14.879200000000001</v>
      </c>
      <c r="AO922">
        <v>11.0204</v>
      </c>
      <c r="AP922">
        <v>20.257300000000001</v>
      </c>
      <c r="AQ922">
        <v>37.411200000000001</v>
      </c>
      <c r="AR922">
        <v>13.8996</v>
      </c>
      <c r="AS922">
        <v>0.13913400000000001</v>
      </c>
      <c r="AT922">
        <v>1.4922</v>
      </c>
      <c r="AU922">
        <v>21.864000000000001</v>
      </c>
      <c r="AV922">
        <v>43.997700000000002</v>
      </c>
      <c r="AW922">
        <v>24.5181</v>
      </c>
      <c r="AX922">
        <v>5.7529899999999996</v>
      </c>
      <c r="AY922">
        <v>2.3750599999999999</v>
      </c>
      <c r="AZ922">
        <v>587.46400000000006</v>
      </c>
      <c r="BA922">
        <v>645.59900000000005</v>
      </c>
      <c r="BB922">
        <v>29346.6</v>
      </c>
      <c r="BC922">
        <v>0.116123</v>
      </c>
      <c r="BD922">
        <v>5.3027199999999997E-2</v>
      </c>
      <c r="BE922">
        <v>0.20838799999999999</v>
      </c>
      <c r="BF922">
        <v>0.97495600000000004</v>
      </c>
      <c r="BG922">
        <v>22.1189</v>
      </c>
      <c r="BH922">
        <v>53.136000000000003</v>
      </c>
      <c r="BI922">
        <v>23.508700000000001</v>
      </c>
      <c r="BJ922">
        <v>31.491900000000001</v>
      </c>
      <c r="BK922">
        <v>0</v>
      </c>
      <c r="BL922">
        <v>33.807200000000002</v>
      </c>
      <c r="BM922">
        <v>57.8294</v>
      </c>
      <c r="BN922">
        <v>6.4227999999999996</v>
      </c>
      <c r="BO922">
        <v>1.2373000000000001</v>
      </c>
      <c r="BP922">
        <v>0.70330800000000004</v>
      </c>
      <c r="BQ922">
        <v>35.987000000000002</v>
      </c>
      <c r="BR922">
        <v>107492</v>
      </c>
    </row>
    <row r="923" spans="1:70" x14ac:dyDescent="0.25">
      <c r="A923">
        <v>54</v>
      </c>
      <c r="B923" s="7">
        <v>45994.544953703706</v>
      </c>
      <c r="C923" t="s">
        <v>207</v>
      </c>
      <c r="D923" s="6" t="s">
        <v>437</v>
      </c>
      <c r="E923" s="6" t="str">
        <f>VLOOKUP(F923,Germplasm!$A$1:$B$21,2,FALSE)</f>
        <v>Thule</v>
      </c>
      <c r="F923" t="s">
        <v>78</v>
      </c>
      <c r="G923" s="6" t="s">
        <v>113</v>
      </c>
      <c r="H923">
        <v>49607.7</v>
      </c>
      <c r="I923">
        <v>499.57900000000001</v>
      </c>
      <c r="J923">
        <v>90522.1</v>
      </c>
      <c r="K923">
        <v>31.530200000000001</v>
      </c>
      <c r="L923">
        <v>82.366900000000001</v>
      </c>
      <c r="M923">
        <v>1136.68</v>
      </c>
      <c r="N923">
        <v>404.346</v>
      </c>
      <c r="O923">
        <v>28585800</v>
      </c>
      <c r="P923">
        <v>0.16350899999999999</v>
      </c>
      <c r="Q923">
        <v>1.07012</v>
      </c>
      <c r="R923">
        <v>14.285500000000001</v>
      </c>
      <c r="S923">
        <v>25.449200000000001</v>
      </c>
      <c r="T923">
        <v>43.437100000000001</v>
      </c>
      <c r="U923">
        <v>15.3445</v>
      </c>
      <c r="V923">
        <v>0.41364299999999998</v>
      </c>
      <c r="W923">
        <v>84.988100000000003</v>
      </c>
      <c r="X923">
        <v>9.0262799999999999</v>
      </c>
      <c r="Y923">
        <v>14.4046</v>
      </c>
      <c r="Z923">
        <v>8.8840900000000005</v>
      </c>
      <c r="AA923">
        <v>25.372599999999998</v>
      </c>
      <c r="AB923">
        <v>27.8369</v>
      </c>
      <c r="AC923">
        <v>14.4757</v>
      </c>
      <c r="AD923">
        <v>1.73807</v>
      </c>
      <c r="AE923">
        <v>9.8728499999999997</v>
      </c>
      <c r="AF923">
        <v>0</v>
      </c>
      <c r="AG923">
        <v>96.258799999999994</v>
      </c>
      <c r="AH923">
        <v>3.7375600000000002</v>
      </c>
      <c r="AI923">
        <v>3.69324E-3</v>
      </c>
      <c r="AJ923">
        <v>0</v>
      </c>
      <c r="AK923">
        <v>0</v>
      </c>
      <c r="AL923">
        <v>0.36215199999999997</v>
      </c>
      <c r="AM923">
        <v>3.1346400000000001</v>
      </c>
      <c r="AN923">
        <v>19.494800000000001</v>
      </c>
      <c r="AO923">
        <v>13.546799999999999</v>
      </c>
      <c r="AP923">
        <v>20.6784</v>
      </c>
      <c r="AQ923">
        <v>33.2761</v>
      </c>
      <c r="AR923">
        <v>9.8692600000000006</v>
      </c>
      <c r="AS923">
        <v>0.179032</v>
      </c>
      <c r="AT923">
        <v>1.0313399999999999</v>
      </c>
      <c r="AU923">
        <v>15.1312</v>
      </c>
      <c r="AV923">
        <v>41.789000000000001</v>
      </c>
      <c r="AW923">
        <v>31.9438</v>
      </c>
      <c r="AX923">
        <v>7.2978399999999999</v>
      </c>
      <c r="AY923">
        <v>2.8068599999999999</v>
      </c>
      <c r="AZ923">
        <v>576.23800000000006</v>
      </c>
      <c r="BA923">
        <v>629.40099999999995</v>
      </c>
      <c r="BB923">
        <v>28541.8</v>
      </c>
      <c r="BC923">
        <v>0.15646499999999999</v>
      </c>
      <c r="BD923">
        <v>3.8779000000000001E-2</v>
      </c>
      <c r="BE923">
        <v>0.192972</v>
      </c>
      <c r="BF923">
        <v>0.67955600000000005</v>
      </c>
      <c r="BG923">
        <v>15.250299999999999</v>
      </c>
      <c r="BH923">
        <v>51.052599999999998</v>
      </c>
      <c r="BI923">
        <v>32.785800000000002</v>
      </c>
      <c r="BJ923">
        <v>32.131300000000003</v>
      </c>
      <c r="BK923">
        <v>0</v>
      </c>
      <c r="BL923">
        <v>31.870799999999999</v>
      </c>
      <c r="BM923">
        <v>59.010599999999997</v>
      </c>
      <c r="BN923">
        <v>6.9165099999999997</v>
      </c>
      <c r="BO923">
        <v>1.3720399999999999</v>
      </c>
      <c r="BP923">
        <v>0.83005600000000002</v>
      </c>
      <c r="BQ923">
        <v>35.165799999999997</v>
      </c>
      <c r="BR923">
        <v>108306</v>
      </c>
    </row>
    <row r="924" spans="1:70" x14ac:dyDescent="0.25">
      <c r="A924">
        <v>54</v>
      </c>
      <c r="B924" s="7">
        <v>46002.552615740744</v>
      </c>
      <c r="C924" t="s">
        <v>207</v>
      </c>
      <c r="D924" s="6" t="s">
        <v>438</v>
      </c>
      <c r="E924" s="6" t="str">
        <f>VLOOKUP(F924,Germplasm!$A$1:$B$21,2,FALSE)</f>
        <v>Thule</v>
      </c>
      <c r="F924" t="s">
        <v>78</v>
      </c>
      <c r="G924" s="6" t="s">
        <v>113</v>
      </c>
      <c r="H924">
        <v>36034.400000000001</v>
      </c>
      <c r="I924">
        <v>487.19</v>
      </c>
      <c r="J924">
        <v>77594.100000000006</v>
      </c>
      <c r="K924">
        <v>26.849</v>
      </c>
      <c r="L924">
        <v>65.580200000000005</v>
      </c>
      <c r="M924">
        <v>1075.3699999999999</v>
      </c>
      <c r="N924">
        <v>387.05599999999998</v>
      </c>
      <c r="O924">
        <v>20363700</v>
      </c>
      <c r="P924">
        <v>0.11211</v>
      </c>
      <c r="Q924">
        <v>0.91464800000000002</v>
      </c>
      <c r="R924">
        <v>20.3858</v>
      </c>
      <c r="S924">
        <v>38.962200000000003</v>
      </c>
      <c r="T924">
        <v>31.970500000000001</v>
      </c>
      <c r="U924">
        <v>7.5771800000000002</v>
      </c>
      <c r="V924">
        <v>0.189722</v>
      </c>
      <c r="W924">
        <v>62.093299999999999</v>
      </c>
      <c r="X924">
        <v>11.8225</v>
      </c>
      <c r="Y924">
        <v>30.120200000000001</v>
      </c>
      <c r="Z924">
        <v>15.344099999999999</v>
      </c>
      <c r="AA924">
        <v>23.346399999999999</v>
      </c>
      <c r="AB924">
        <v>12.2956</v>
      </c>
      <c r="AC924">
        <v>7.07125</v>
      </c>
      <c r="AD924">
        <v>1.7296499999999999</v>
      </c>
      <c r="AE924">
        <v>11.9877</v>
      </c>
      <c r="AF924">
        <v>0</v>
      </c>
      <c r="AG924">
        <v>93.486199999999997</v>
      </c>
      <c r="AH924">
        <v>6.5126200000000001</v>
      </c>
      <c r="AI924">
        <v>1.1711200000000001E-3</v>
      </c>
      <c r="AJ924">
        <v>0</v>
      </c>
      <c r="AK924">
        <v>0</v>
      </c>
      <c r="AL924">
        <v>0.24562500000000001</v>
      </c>
      <c r="AM924">
        <v>6.1156100000000002</v>
      </c>
      <c r="AN924">
        <v>33.638199999999998</v>
      </c>
      <c r="AO924">
        <v>21.450299999999999</v>
      </c>
      <c r="AP924">
        <v>20.321400000000001</v>
      </c>
      <c r="AQ924">
        <v>15.2539</v>
      </c>
      <c r="AR924">
        <v>3.2205900000000001</v>
      </c>
      <c r="AS924">
        <v>0.25410700000000003</v>
      </c>
      <c r="AT924">
        <v>0.56916699999999998</v>
      </c>
      <c r="AU924">
        <v>5.6249099999999999</v>
      </c>
      <c r="AV924">
        <v>31.349799999999998</v>
      </c>
      <c r="AW924">
        <v>44.818899999999999</v>
      </c>
      <c r="AX924">
        <v>14.813599999999999</v>
      </c>
      <c r="AY924">
        <v>2.8235800000000002</v>
      </c>
      <c r="AZ924">
        <v>565.12</v>
      </c>
      <c r="BA924">
        <v>596.399</v>
      </c>
      <c r="BB924">
        <v>20833.3</v>
      </c>
      <c r="BC924">
        <v>0.25443500000000002</v>
      </c>
      <c r="BD924">
        <v>3.3962600000000003E-2</v>
      </c>
      <c r="BE924">
        <v>0.18035300000000001</v>
      </c>
      <c r="BF924">
        <v>0.556284</v>
      </c>
      <c r="BG924">
        <v>5.4234799999999996</v>
      </c>
      <c r="BH924">
        <v>36.370399999999997</v>
      </c>
      <c r="BI924">
        <v>57.435499999999998</v>
      </c>
      <c r="BJ924">
        <v>32.770299999999999</v>
      </c>
      <c r="BK924">
        <v>0</v>
      </c>
      <c r="BL924">
        <v>28.793299999999999</v>
      </c>
      <c r="BM924">
        <v>61.970100000000002</v>
      </c>
      <c r="BN924">
        <v>7.5701499999999999</v>
      </c>
      <c r="BO924">
        <v>1.2894099999999999</v>
      </c>
      <c r="BP924">
        <v>0.37710199999999999</v>
      </c>
      <c r="BQ924">
        <v>35.353400000000001</v>
      </c>
      <c r="BR924">
        <v>85388</v>
      </c>
    </row>
    <row r="925" spans="1:70" x14ac:dyDescent="0.25">
      <c r="A925">
        <v>54</v>
      </c>
      <c r="B925" s="7">
        <v>46013.577303240738</v>
      </c>
      <c r="C925" t="s">
        <v>207</v>
      </c>
      <c r="D925" s="6" t="s">
        <v>439</v>
      </c>
      <c r="E925" s="6" t="str">
        <f>VLOOKUP(F925,Germplasm!$A$1:$B$21,2,FALSE)</f>
        <v>Thule</v>
      </c>
      <c r="F925" t="s">
        <v>78</v>
      </c>
      <c r="G925" s="6" t="s">
        <v>113</v>
      </c>
      <c r="H925">
        <v>28841.599999999999</v>
      </c>
      <c r="I925">
        <v>546.25099999999998</v>
      </c>
      <c r="J925">
        <v>71794.3</v>
      </c>
      <c r="K925">
        <v>21.640699999999999</v>
      </c>
      <c r="L925">
        <v>70.8065</v>
      </c>
      <c r="M925">
        <v>1007.65</v>
      </c>
      <c r="N925">
        <v>365.786</v>
      </c>
      <c r="O925">
        <v>16534200</v>
      </c>
      <c r="P925">
        <v>4.5601000000000003E-2</v>
      </c>
      <c r="Q925">
        <v>1.3631899999999999</v>
      </c>
      <c r="R925">
        <v>28.4101</v>
      </c>
      <c r="S925">
        <v>56.754800000000003</v>
      </c>
      <c r="T925">
        <v>10.712</v>
      </c>
      <c r="U925">
        <v>2.7176399999999998</v>
      </c>
      <c r="V925">
        <v>4.2190400000000003E-2</v>
      </c>
      <c r="W925">
        <v>43.357700000000001</v>
      </c>
      <c r="X925">
        <v>15.377700000000001</v>
      </c>
      <c r="Y925">
        <v>50.078600000000002</v>
      </c>
      <c r="Z925">
        <v>15.936299999999999</v>
      </c>
      <c r="AA925">
        <v>9.3953699999999998</v>
      </c>
      <c r="AB925">
        <v>3.0609899999999999</v>
      </c>
      <c r="AC925">
        <v>6.1510699999999998</v>
      </c>
      <c r="AD925">
        <v>1.8563400000000001</v>
      </c>
      <c r="AE925">
        <v>14.4499</v>
      </c>
      <c r="AF925">
        <v>0</v>
      </c>
      <c r="AG925">
        <v>88.677000000000007</v>
      </c>
      <c r="AH925">
        <v>11.298299999999999</v>
      </c>
      <c r="AI925">
        <v>2.4732299999999999E-2</v>
      </c>
      <c r="AJ925">
        <v>0</v>
      </c>
      <c r="AK925">
        <v>0</v>
      </c>
      <c r="AL925">
        <v>0.14213100000000001</v>
      </c>
      <c r="AM925">
        <v>9.35609</v>
      </c>
      <c r="AN925">
        <v>53.487299999999998</v>
      </c>
      <c r="AO925">
        <v>23.225100000000001</v>
      </c>
      <c r="AP925">
        <v>10.1228</v>
      </c>
      <c r="AQ925">
        <v>3.2704800000000001</v>
      </c>
      <c r="AR925">
        <v>0.53829099999999996</v>
      </c>
      <c r="AS925">
        <v>0.27534599999999998</v>
      </c>
      <c r="AT925">
        <v>0.51937800000000001</v>
      </c>
      <c r="AU925">
        <v>3.3883299999999998</v>
      </c>
      <c r="AV925">
        <v>23.297799999999999</v>
      </c>
      <c r="AW925">
        <v>57.904200000000003</v>
      </c>
      <c r="AX925">
        <v>12.108599999999999</v>
      </c>
      <c r="AY925">
        <v>2.78166</v>
      </c>
      <c r="AZ925">
        <v>573.27700000000004</v>
      </c>
      <c r="BA925">
        <v>613.79899999999998</v>
      </c>
      <c r="BB925">
        <v>15536.8</v>
      </c>
      <c r="BC925">
        <v>0.31738300000000003</v>
      </c>
      <c r="BD925">
        <v>6.4013E-2</v>
      </c>
      <c r="BE925">
        <v>0.27205499999999999</v>
      </c>
      <c r="BF925">
        <v>0.52228799999999997</v>
      </c>
      <c r="BG925">
        <v>3.04935</v>
      </c>
      <c r="BH925">
        <v>17.587599999999998</v>
      </c>
      <c r="BI925">
        <v>78.5047</v>
      </c>
      <c r="BJ925">
        <v>30.471</v>
      </c>
      <c r="BK925">
        <v>0</v>
      </c>
      <c r="BL925">
        <v>35.304600000000001</v>
      </c>
      <c r="BM925">
        <v>58.206800000000001</v>
      </c>
      <c r="BN925">
        <v>4.7078699999999998</v>
      </c>
      <c r="BO925">
        <v>1.1871499999999999</v>
      </c>
      <c r="BP925">
        <v>0.59357499999999996</v>
      </c>
      <c r="BQ925">
        <v>32.614100000000001</v>
      </c>
      <c r="BR925">
        <v>68736</v>
      </c>
    </row>
    <row r="926" spans="1:70" x14ac:dyDescent="0.25">
      <c r="A926">
        <v>54</v>
      </c>
      <c r="B926" s="7">
        <v>46024.555937500001</v>
      </c>
      <c r="C926" t="s">
        <v>207</v>
      </c>
      <c r="D926" s="6" t="s">
        <v>440</v>
      </c>
      <c r="E926" s="6" t="str">
        <f>VLOOKUP(F926,Germplasm!$A$1:$B$21,2,FALSE)</f>
        <v>Thule</v>
      </c>
      <c r="F926" t="s">
        <v>78</v>
      </c>
      <c r="G926" s="6" t="s">
        <v>113</v>
      </c>
      <c r="H926">
        <v>30291.599999999999</v>
      </c>
      <c r="I926">
        <v>484.85500000000002</v>
      </c>
      <c r="J926">
        <v>77667.5</v>
      </c>
      <c r="K926">
        <v>20.617799999999999</v>
      </c>
      <c r="L926">
        <v>47.865400000000001</v>
      </c>
      <c r="M926">
        <v>1141.78</v>
      </c>
      <c r="N926">
        <v>488.33</v>
      </c>
      <c r="O926">
        <v>16239500</v>
      </c>
      <c r="P926">
        <v>1.16396E-2</v>
      </c>
      <c r="Q926">
        <v>1.1264400000000001</v>
      </c>
      <c r="R926">
        <v>34.208399999999997</v>
      </c>
      <c r="S926">
        <v>63.0274</v>
      </c>
      <c r="T926">
        <v>1.41645</v>
      </c>
      <c r="U926">
        <v>0.19231899999999999</v>
      </c>
      <c r="V926">
        <v>2.9000499999999999E-2</v>
      </c>
      <c r="W926">
        <v>34.817</v>
      </c>
      <c r="X926">
        <v>17.493400000000001</v>
      </c>
      <c r="Y926">
        <v>65.506100000000004</v>
      </c>
      <c r="Z926">
        <v>8.9642199999999992</v>
      </c>
      <c r="AA926">
        <v>1.93693</v>
      </c>
      <c r="AB926">
        <v>0.68838100000000002</v>
      </c>
      <c r="AC926">
        <v>5.4108900000000002</v>
      </c>
      <c r="AD926">
        <v>1.8916500000000001</v>
      </c>
      <c r="AE926">
        <v>18.534800000000001</v>
      </c>
      <c r="AF926">
        <v>0</v>
      </c>
      <c r="AG926">
        <v>76.0959</v>
      </c>
      <c r="AH926">
        <v>23.6767</v>
      </c>
      <c r="AI926">
        <v>0.21368799999999999</v>
      </c>
      <c r="AJ926">
        <v>1.37371E-2</v>
      </c>
      <c r="AK926">
        <v>0</v>
      </c>
      <c r="AL926">
        <v>6.4675499999999997E-2</v>
      </c>
      <c r="AM926">
        <v>21.855699999999999</v>
      </c>
      <c r="AN926">
        <v>62.978499999999997</v>
      </c>
      <c r="AO926">
        <v>11.137700000000001</v>
      </c>
      <c r="AP926">
        <v>2.9641600000000001</v>
      </c>
      <c r="AQ926">
        <v>0.81048900000000001</v>
      </c>
      <c r="AR926">
        <v>0.25337300000000001</v>
      </c>
      <c r="AS926">
        <v>0.27038400000000001</v>
      </c>
      <c r="AT926">
        <v>0.38769199999999998</v>
      </c>
      <c r="AU926">
        <v>2.5154200000000002</v>
      </c>
      <c r="AV926">
        <v>26.503499999999999</v>
      </c>
      <c r="AW926">
        <v>57.2898</v>
      </c>
      <c r="AX926">
        <v>10.8935</v>
      </c>
      <c r="AY926">
        <v>2.4100999999999999</v>
      </c>
      <c r="AZ926">
        <v>536.10699999999997</v>
      </c>
      <c r="BA926">
        <v>563.99900000000002</v>
      </c>
      <c r="BB926">
        <v>16013.3</v>
      </c>
      <c r="BC926">
        <v>0.36269400000000002</v>
      </c>
      <c r="BD926">
        <v>6.4106499999999997E-2</v>
      </c>
      <c r="BE926">
        <v>0.21521499999999999</v>
      </c>
      <c r="BF926">
        <v>0.55864199999999997</v>
      </c>
      <c r="BG926">
        <v>2.06514</v>
      </c>
      <c r="BH926">
        <v>10.443300000000001</v>
      </c>
      <c r="BI926">
        <v>86.653599999999997</v>
      </c>
      <c r="BJ926">
        <v>28.211099999999998</v>
      </c>
      <c r="BK926">
        <v>0</v>
      </c>
      <c r="BL926">
        <v>43.378700000000002</v>
      </c>
      <c r="BM926">
        <v>52.011699999999998</v>
      </c>
      <c r="BN926">
        <v>3.2770600000000001</v>
      </c>
      <c r="BO926">
        <v>0.90359599999999995</v>
      </c>
      <c r="BP926">
        <v>0.42890299999999998</v>
      </c>
      <c r="BQ926">
        <v>31.933299999999999</v>
      </c>
      <c r="BR926">
        <v>65516</v>
      </c>
    </row>
    <row r="927" spans="1:70" x14ac:dyDescent="0.25">
      <c r="A927">
        <v>55</v>
      </c>
      <c r="B927" s="7">
        <v>45952.584849537037</v>
      </c>
      <c r="C927" t="s">
        <v>212</v>
      </c>
      <c r="D927" s="6" t="s">
        <v>441</v>
      </c>
      <c r="E927" s="6" t="str">
        <f>VLOOKUP(F927,Germplasm!$A$1:$B$21,2,FALSE)</f>
        <v>Sunnita</v>
      </c>
      <c r="F927" t="s">
        <v>65</v>
      </c>
      <c r="G927" s="6" t="s">
        <v>113</v>
      </c>
      <c r="H927">
        <v>29305.7</v>
      </c>
      <c r="I927">
        <v>281.86200000000002</v>
      </c>
      <c r="J927">
        <v>121054</v>
      </c>
      <c r="K927">
        <v>14.705500000000001</v>
      </c>
      <c r="L927">
        <v>75.514799999999994</v>
      </c>
      <c r="M927">
        <v>1315.11</v>
      </c>
      <c r="N927">
        <v>476.49099999999999</v>
      </c>
      <c r="O927">
        <v>9906610</v>
      </c>
      <c r="P927">
        <v>0.20042399999999999</v>
      </c>
      <c r="Q927">
        <v>0.56101400000000001</v>
      </c>
      <c r="R927">
        <v>7.5347799999999996</v>
      </c>
      <c r="S927">
        <v>26.315799999999999</v>
      </c>
      <c r="T927">
        <v>40.613500000000002</v>
      </c>
      <c r="U927">
        <v>24.5063</v>
      </c>
      <c r="V927">
        <v>0.46859299999999998</v>
      </c>
      <c r="W927">
        <v>117.43</v>
      </c>
      <c r="X927">
        <v>2.3899900000000001</v>
      </c>
      <c r="Y927">
        <v>3.1277400000000002</v>
      </c>
      <c r="Z927">
        <v>5.0004900000000001</v>
      </c>
      <c r="AA927">
        <v>15.813800000000001</v>
      </c>
      <c r="AB927">
        <v>32.414000000000001</v>
      </c>
      <c r="AC927">
        <v>41.253999999999998</v>
      </c>
      <c r="AD927">
        <v>1.6462300000000001</v>
      </c>
      <c r="AE927">
        <v>15.523999999999999</v>
      </c>
      <c r="AF927">
        <v>0</v>
      </c>
      <c r="AG927">
        <v>88.314400000000006</v>
      </c>
      <c r="AH927">
        <v>1.05555</v>
      </c>
      <c r="AI927">
        <v>2.0365099999999998</v>
      </c>
      <c r="AJ927">
        <v>8.5935699999999997</v>
      </c>
      <c r="AK927">
        <v>0</v>
      </c>
      <c r="AL927">
        <v>0.450017</v>
      </c>
      <c r="AM927">
        <v>9.9393600000000006</v>
      </c>
      <c r="AN927">
        <v>4.8561800000000002</v>
      </c>
      <c r="AO927">
        <v>5.0442600000000004</v>
      </c>
      <c r="AP927">
        <v>14.257199999999999</v>
      </c>
      <c r="AQ927">
        <v>38.909399999999998</v>
      </c>
      <c r="AR927">
        <v>26.993500000000001</v>
      </c>
      <c r="AS927">
        <v>2.6569300000000001E-2</v>
      </c>
      <c r="AT927">
        <v>7.8574400000000004</v>
      </c>
      <c r="AU927">
        <v>38.116500000000002</v>
      </c>
      <c r="AV927">
        <v>40.224400000000003</v>
      </c>
      <c r="AW927">
        <v>9.9685400000000008</v>
      </c>
      <c r="AX927">
        <v>2.4353899999999999</v>
      </c>
      <c r="AY927">
        <v>1.39767</v>
      </c>
      <c r="AZ927">
        <v>338.04399999999998</v>
      </c>
      <c r="BA927">
        <v>382.79899999999998</v>
      </c>
      <c r="BB927">
        <v>17801.7</v>
      </c>
      <c r="BC927">
        <v>-6.4905199999999996E-3</v>
      </c>
      <c r="BD927">
        <v>0.82368600000000003</v>
      </c>
      <c r="BE927">
        <v>1.09609</v>
      </c>
      <c r="BF927">
        <v>4.0357399999999997</v>
      </c>
      <c r="BG927">
        <v>40.018500000000003</v>
      </c>
      <c r="BH927">
        <v>48.696399999999997</v>
      </c>
      <c r="BI927">
        <v>5.3296400000000004</v>
      </c>
      <c r="BJ927">
        <v>31.884599999999999</v>
      </c>
      <c r="BK927">
        <v>0</v>
      </c>
      <c r="BL927">
        <v>36.657299999999999</v>
      </c>
      <c r="BM927">
        <v>52.51</v>
      </c>
      <c r="BN927">
        <v>7.6985400000000004</v>
      </c>
      <c r="BO927">
        <v>1.71871</v>
      </c>
      <c r="BP927">
        <v>1.41551</v>
      </c>
      <c r="BQ927">
        <v>37.434600000000003</v>
      </c>
      <c r="BR927">
        <v>61674</v>
      </c>
    </row>
    <row r="928" spans="1:70" x14ac:dyDescent="0.25">
      <c r="A928">
        <v>55</v>
      </c>
      <c r="B928" s="7">
        <v>45959.558599537035</v>
      </c>
      <c r="C928" t="s">
        <v>212</v>
      </c>
      <c r="D928" s="6" t="s">
        <v>442</v>
      </c>
      <c r="E928" s="6" t="str">
        <f>VLOOKUP(F928,Germplasm!$A$1:$B$21,2,FALSE)</f>
        <v>Sunnita</v>
      </c>
      <c r="F928" t="s">
        <v>65</v>
      </c>
      <c r="G928" s="6" t="s">
        <v>113</v>
      </c>
      <c r="H928">
        <v>39174.5</v>
      </c>
      <c r="I928">
        <v>404.24400000000003</v>
      </c>
      <c r="J928">
        <v>185257</v>
      </c>
      <c r="K928">
        <v>11.484299999999999</v>
      </c>
      <c r="L928">
        <v>73.869399999999999</v>
      </c>
      <c r="M928">
        <v>1596.02</v>
      </c>
      <c r="N928">
        <v>575.38</v>
      </c>
      <c r="O928">
        <v>18892100</v>
      </c>
      <c r="P928">
        <v>0.200849</v>
      </c>
      <c r="Q928">
        <v>0.77630500000000002</v>
      </c>
      <c r="R928">
        <v>7.0793400000000002</v>
      </c>
      <c r="S928">
        <v>27.779499999999999</v>
      </c>
      <c r="T928">
        <v>38.687100000000001</v>
      </c>
      <c r="U928">
        <v>24.860800000000001</v>
      </c>
      <c r="V928">
        <v>0.81689599999999996</v>
      </c>
      <c r="W928">
        <v>116.548</v>
      </c>
      <c r="X928">
        <v>2.4950800000000002</v>
      </c>
      <c r="Y928">
        <v>4.3305600000000002</v>
      </c>
      <c r="Z928">
        <v>5.665</v>
      </c>
      <c r="AA928">
        <v>15.9193</v>
      </c>
      <c r="AB928">
        <v>29.96</v>
      </c>
      <c r="AC928">
        <v>41.63</v>
      </c>
      <c r="AD928">
        <v>1.8412999999999999</v>
      </c>
      <c r="AE928">
        <v>13.1775</v>
      </c>
      <c r="AF928">
        <v>0</v>
      </c>
      <c r="AG928">
        <v>90.872100000000003</v>
      </c>
      <c r="AH928">
        <v>1.0667899999999999</v>
      </c>
      <c r="AI928">
        <v>1.23803</v>
      </c>
      <c r="AJ928">
        <v>6.8231099999999998</v>
      </c>
      <c r="AK928">
        <v>0</v>
      </c>
      <c r="AL928">
        <v>0.44039600000000001</v>
      </c>
      <c r="AM928">
        <v>8.4201200000000007</v>
      </c>
      <c r="AN928">
        <v>5.9554799999999997</v>
      </c>
      <c r="AO928">
        <v>8.5837500000000002</v>
      </c>
      <c r="AP928">
        <v>17.0977</v>
      </c>
      <c r="AQ928">
        <v>33.809899999999999</v>
      </c>
      <c r="AR928">
        <v>26.133099999999999</v>
      </c>
      <c r="AS928">
        <v>3.8031700000000002E-2</v>
      </c>
      <c r="AT928">
        <v>8.3414699999999993</v>
      </c>
      <c r="AU928">
        <v>37.427500000000002</v>
      </c>
      <c r="AV928">
        <v>36.715899999999998</v>
      </c>
      <c r="AW928">
        <v>12.0327</v>
      </c>
      <c r="AX928">
        <v>3.4667300000000001</v>
      </c>
      <c r="AY928">
        <v>2.0156000000000001</v>
      </c>
      <c r="AZ928">
        <v>482.255</v>
      </c>
      <c r="BA928">
        <v>535.20000000000005</v>
      </c>
      <c r="BB928">
        <v>21275.4</v>
      </c>
      <c r="BC928">
        <v>9.0167000000000008E-3</v>
      </c>
      <c r="BD928">
        <v>0.52895300000000001</v>
      </c>
      <c r="BE928">
        <v>1.01224</v>
      </c>
      <c r="BF928">
        <v>4.4878499999999999</v>
      </c>
      <c r="BG928">
        <v>39.736199999999997</v>
      </c>
      <c r="BH928">
        <v>45.437899999999999</v>
      </c>
      <c r="BI928">
        <v>8.7968499999999992</v>
      </c>
      <c r="BJ928">
        <v>32.477800000000002</v>
      </c>
      <c r="BK928">
        <v>0</v>
      </c>
      <c r="BL928">
        <v>36.799599999999998</v>
      </c>
      <c r="BM928">
        <v>50.898699999999998</v>
      </c>
      <c r="BN928">
        <v>8.6953800000000001</v>
      </c>
      <c r="BO928">
        <v>1.6553599999999999</v>
      </c>
      <c r="BP928">
        <v>1.9509099999999999</v>
      </c>
      <c r="BQ928">
        <v>32.924500000000002</v>
      </c>
      <c r="BR928">
        <v>78835</v>
      </c>
    </row>
    <row r="929" spans="1:70" x14ac:dyDescent="0.25">
      <c r="A929">
        <v>55</v>
      </c>
      <c r="B929" s="7">
        <v>45966.52103009259</v>
      </c>
      <c r="C929" t="s">
        <v>212</v>
      </c>
      <c r="D929" s="6" t="s">
        <v>443</v>
      </c>
      <c r="E929" s="6" t="str">
        <f>VLOOKUP(F929,Germplasm!$A$1:$B$21,2,FALSE)</f>
        <v>Sunnita</v>
      </c>
      <c r="F929" t="s">
        <v>65</v>
      </c>
      <c r="G929" s="6" t="s">
        <v>113</v>
      </c>
      <c r="H929">
        <v>50539.7</v>
      </c>
      <c r="I929">
        <v>445.48099999999999</v>
      </c>
      <c r="J929">
        <v>171644</v>
      </c>
      <c r="K929">
        <v>15.7597</v>
      </c>
      <c r="L929">
        <v>68.860699999999994</v>
      </c>
      <c r="M929">
        <v>1553.76</v>
      </c>
      <c r="N929">
        <v>584.63599999999997</v>
      </c>
      <c r="O929">
        <v>26657300</v>
      </c>
      <c r="P929">
        <v>0.19225500000000001</v>
      </c>
      <c r="Q929">
        <v>0.86278699999999997</v>
      </c>
      <c r="R929">
        <v>7.2218499999999999</v>
      </c>
      <c r="S929">
        <v>29.2011</v>
      </c>
      <c r="T929">
        <v>39.819899999999997</v>
      </c>
      <c r="U929">
        <v>22.249400000000001</v>
      </c>
      <c r="V929">
        <v>0.64491100000000001</v>
      </c>
      <c r="W929">
        <v>105.123</v>
      </c>
      <c r="X929">
        <v>2.8062399999999998</v>
      </c>
      <c r="Y929">
        <v>6.6757</v>
      </c>
      <c r="Z929">
        <v>9.9970999999999997</v>
      </c>
      <c r="AA929">
        <v>22.162299999999998</v>
      </c>
      <c r="AB929">
        <v>26.905200000000001</v>
      </c>
      <c r="AC929">
        <v>31.453499999999998</v>
      </c>
      <c r="AD929">
        <v>1.8683399999999999</v>
      </c>
      <c r="AE929">
        <v>12.066800000000001</v>
      </c>
      <c r="AF929">
        <v>0</v>
      </c>
      <c r="AG929">
        <v>92.607699999999994</v>
      </c>
      <c r="AH929">
        <v>0.97123999999999999</v>
      </c>
      <c r="AI929">
        <v>1.1358600000000001</v>
      </c>
      <c r="AJ929">
        <v>5.2851699999999999</v>
      </c>
      <c r="AK929">
        <v>0</v>
      </c>
      <c r="AL929">
        <v>0.40315899999999999</v>
      </c>
      <c r="AM929">
        <v>7.2102300000000001</v>
      </c>
      <c r="AN929">
        <v>8.3335000000000008</v>
      </c>
      <c r="AO929">
        <v>13.349500000000001</v>
      </c>
      <c r="AP929">
        <v>20.4009</v>
      </c>
      <c r="AQ929">
        <v>32.8643</v>
      </c>
      <c r="AR929">
        <v>17.8416</v>
      </c>
      <c r="AS929">
        <v>0.10385900000000001</v>
      </c>
      <c r="AT929">
        <v>4.9714299999999998</v>
      </c>
      <c r="AU929">
        <v>29.371500000000001</v>
      </c>
      <c r="AV929">
        <v>37.057200000000002</v>
      </c>
      <c r="AW929">
        <v>18.000399999999999</v>
      </c>
      <c r="AX929">
        <v>7.82125</v>
      </c>
      <c r="AY929">
        <v>2.7781500000000001</v>
      </c>
      <c r="AZ929">
        <v>527.45299999999997</v>
      </c>
      <c r="BA929">
        <v>599.399</v>
      </c>
      <c r="BB929">
        <v>27050.6</v>
      </c>
      <c r="BC929">
        <v>5.9512099999999998E-2</v>
      </c>
      <c r="BD929">
        <v>0.43478299999999998</v>
      </c>
      <c r="BE929">
        <v>0.70301199999999997</v>
      </c>
      <c r="BF929">
        <v>3.2574800000000002</v>
      </c>
      <c r="BG929">
        <v>29.945799999999998</v>
      </c>
      <c r="BH929">
        <v>48.575600000000001</v>
      </c>
      <c r="BI929">
        <v>17.083400000000001</v>
      </c>
      <c r="BJ929">
        <v>33.031399999999998</v>
      </c>
      <c r="BK929">
        <v>0</v>
      </c>
      <c r="BL929">
        <v>35.762599999999999</v>
      </c>
      <c r="BM929">
        <v>50.204300000000003</v>
      </c>
      <c r="BN929">
        <v>10.668200000000001</v>
      </c>
      <c r="BO929">
        <v>1.70427</v>
      </c>
      <c r="BP929">
        <v>1.6607000000000001</v>
      </c>
      <c r="BQ929">
        <v>32.395200000000003</v>
      </c>
      <c r="BR929">
        <v>103270</v>
      </c>
    </row>
    <row r="930" spans="1:70" x14ac:dyDescent="0.25">
      <c r="A930">
        <v>55</v>
      </c>
      <c r="B930" s="7">
        <v>45973.582233796296</v>
      </c>
      <c r="C930" t="s">
        <v>212</v>
      </c>
      <c r="D930" s="6" t="s">
        <v>444</v>
      </c>
      <c r="E930" s="6" t="str">
        <f>VLOOKUP(F930,Germplasm!$A$1:$B$21,2,FALSE)</f>
        <v>Sunnita</v>
      </c>
      <c r="F930" t="s">
        <v>65</v>
      </c>
      <c r="G930" s="6" t="s">
        <v>113</v>
      </c>
      <c r="H930">
        <v>65001.4</v>
      </c>
      <c r="I930">
        <v>452.73</v>
      </c>
      <c r="J930">
        <v>214801</v>
      </c>
      <c r="K930">
        <v>15.649800000000001</v>
      </c>
      <c r="L930">
        <v>72.015000000000001</v>
      </c>
      <c r="M930">
        <v>1758.89</v>
      </c>
      <c r="N930">
        <v>610.02800000000002</v>
      </c>
      <c r="O930">
        <v>34903900</v>
      </c>
      <c r="P930">
        <v>0.179009</v>
      </c>
      <c r="Q930">
        <v>0.77119700000000002</v>
      </c>
      <c r="R930">
        <v>10.5593</v>
      </c>
      <c r="S930">
        <v>31.3477</v>
      </c>
      <c r="T930">
        <v>35.4178</v>
      </c>
      <c r="U930">
        <v>21.1525</v>
      </c>
      <c r="V930">
        <v>0.75159600000000004</v>
      </c>
      <c r="W930">
        <v>101.64400000000001</v>
      </c>
      <c r="X930">
        <v>4.7975500000000002</v>
      </c>
      <c r="Y930">
        <v>9.8529199999999992</v>
      </c>
      <c r="Z930">
        <v>8.3097799999999999</v>
      </c>
      <c r="AA930">
        <v>19.129899999999999</v>
      </c>
      <c r="AB930">
        <v>27.9297</v>
      </c>
      <c r="AC930">
        <v>29.9802</v>
      </c>
      <c r="AD930">
        <v>1.93364</v>
      </c>
      <c r="AE930">
        <v>11.305899999999999</v>
      </c>
      <c r="AF930">
        <v>0</v>
      </c>
      <c r="AG930">
        <v>94.136499999999998</v>
      </c>
      <c r="AH930">
        <v>0.98453800000000002</v>
      </c>
      <c r="AI930">
        <v>0.85638300000000001</v>
      </c>
      <c r="AJ930">
        <v>4.0225900000000001</v>
      </c>
      <c r="AK930">
        <v>0</v>
      </c>
      <c r="AL930">
        <v>0.391795</v>
      </c>
      <c r="AM930">
        <v>6.60907</v>
      </c>
      <c r="AN930">
        <v>9.8732799999999994</v>
      </c>
      <c r="AO930">
        <v>16.017199999999999</v>
      </c>
      <c r="AP930">
        <v>20.904499999999999</v>
      </c>
      <c r="AQ930">
        <v>28.246300000000002</v>
      </c>
      <c r="AR930">
        <v>18.349699999999999</v>
      </c>
      <c r="AS930">
        <v>0.105833</v>
      </c>
      <c r="AT930">
        <v>4.26457</v>
      </c>
      <c r="AU930">
        <v>28.639099999999999</v>
      </c>
      <c r="AV930">
        <v>38.4452</v>
      </c>
      <c r="AW930">
        <v>19.688500000000001</v>
      </c>
      <c r="AX930">
        <v>6.2713400000000004</v>
      </c>
      <c r="AY930">
        <v>2.6912699999999998</v>
      </c>
      <c r="AZ930">
        <v>536.97199999999998</v>
      </c>
      <c r="BA930">
        <v>605.99900000000002</v>
      </c>
      <c r="BB930">
        <v>33616</v>
      </c>
      <c r="BC930">
        <v>6.7578899999999997E-2</v>
      </c>
      <c r="BD930">
        <v>0.46060699999999999</v>
      </c>
      <c r="BE930">
        <v>0.64002499999999996</v>
      </c>
      <c r="BF930">
        <v>2.81114</v>
      </c>
      <c r="BG930">
        <v>28.991099999999999</v>
      </c>
      <c r="BH930">
        <v>47.705599999999997</v>
      </c>
      <c r="BI930">
        <v>19.391500000000001</v>
      </c>
      <c r="BJ930">
        <v>31.844999999999999</v>
      </c>
      <c r="BK930">
        <v>0</v>
      </c>
      <c r="BL930">
        <v>37.889600000000002</v>
      </c>
      <c r="BM930">
        <v>50.325299999999999</v>
      </c>
      <c r="BN930">
        <v>8.5856899999999996</v>
      </c>
      <c r="BO930">
        <v>1.73613</v>
      </c>
      <c r="BP930">
        <v>1.4632400000000001</v>
      </c>
      <c r="BQ930">
        <v>31.178100000000001</v>
      </c>
      <c r="BR930">
        <v>132651</v>
      </c>
    </row>
    <row r="931" spans="1:70" x14ac:dyDescent="0.25">
      <c r="A931">
        <v>55</v>
      </c>
      <c r="B931" s="7">
        <v>45988.60527777778</v>
      </c>
      <c r="C931" t="s">
        <v>212</v>
      </c>
      <c r="D931" s="6" t="s">
        <v>445</v>
      </c>
      <c r="E931" s="6" t="str">
        <f>VLOOKUP(F931,Germplasm!$A$1:$B$21,2,FALSE)</f>
        <v>Sunnita</v>
      </c>
      <c r="F931" t="s">
        <v>65</v>
      </c>
      <c r="G931" s="6" t="s">
        <v>113</v>
      </c>
      <c r="H931">
        <v>53592.9</v>
      </c>
      <c r="I931">
        <v>392.03100000000001</v>
      </c>
      <c r="J931">
        <v>213505</v>
      </c>
      <c r="K931">
        <v>13.952</v>
      </c>
      <c r="L931">
        <v>81.477999999999994</v>
      </c>
      <c r="M931">
        <v>1715.97</v>
      </c>
      <c r="N931">
        <v>592.93799999999999</v>
      </c>
      <c r="O931">
        <v>28533600</v>
      </c>
      <c r="P931">
        <v>0.13641400000000001</v>
      </c>
      <c r="Q931">
        <v>0.89881</v>
      </c>
      <c r="R931">
        <v>14.373100000000001</v>
      </c>
      <c r="S931">
        <v>40.8202</v>
      </c>
      <c r="T931">
        <v>31.897300000000001</v>
      </c>
      <c r="U931">
        <v>11.0665</v>
      </c>
      <c r="V931">
        <v>0.94401100000000004</v>
      </c>
      <c r="W931">
        <v>83.150700000000001</v>
      </c>
      <c r="X931">
        <v>6.72804</v>
      </c>
      <c r="Y931">
        <v>16.511500000000002</v>
      </c>
      <c r="Z931">
        <v>12.645899999999999</v>
      </c>
      <c r="AA931">
        <v>25.796900000000001</v>
      </c>
      <c r="AB931">
        <v>19.3705</v>
      </c>
      <c r="AC931">
        <v>18.947199999999999</v>
      </c>
      <c r="AD931">
        <v>1.7991299999999999</v>
      </c>
      <c r="AE931">
        <v>14.263999999999999</v>
      </c>
      <c r="AF931">
        <v>0</v>
      </c>
      <c r="AG931">
        <v>91.450900000000004</v>
      </c>
      <c r="AH931">
        <v>2.72946</v>
      </c>
      <c r="AI931">
        <v>1.0883100000000001</v>
      </c>
      <c r="AJ931">
        <v>4.7313599999999996</v>
      </c>
      <c r="AK931">
        <v>0</v>
      </c>
      <c r="AL931">
        <v>0.29643399999999998</v>
      </c>
      <c r="AM931">
        <v>9.2549600000000005</v>
      </c>
      <c r="AN931">
        <v>18.4465</v>
      </c>
      <c r="AO931">
        <v>22.881399999999999</v>
      </c>
      <c r="AP931">
        <v>24.031400000000001</v>
      </c>
      <c r="AQ931">
        <v>17.500699999999998</v>
      </c>
      <c r="AR931">
        <v>7.8850199999999999</v>
      </c>
      <c r="AS931">
        <v>0.17386299999999999</v>
      </c>
      <c r="AT931">
        <v>1.9071499999999999</v>
      </c>
      <c r="AU931">
        <v>17.1374</v>
      </c>
      <c r="AV931">
        <v>39.0548</v>
      </c>
      <c r="AW931">
        <v>29.769400000000001</v>
      </c>
      <c r="AX931">
        <v>8.9072600000000008</v>
      </c>
      <c r="AY931">
        <v>3.2240700000000002</v>
      </c>
      <c r="AZ931">
        <v>532.41399999999999</v>
      </c>
      <c r="BA931">
        <v>579.6</v>
      </c>
      <c r="BB931">
        <v>29788.3</v>
      </c>
      <c r="BC931">
        <v>0.13824500000000001</v>
      </c>
      <c r="BD931">
        <v>0.33640199999999998</v>
      </c>
      <c r="BE931">
        <v>0.57023100000000004</v>
      </c>
      <c r="BF931">
        <v>1.99929</v>
      </c>
      <c r="BG931">
        <v>16.136900000000001</v>
      </c>
      <c r="BH931">
        <v>48.505299999999998</v>
      </c>
      <c r="BI931">
        <v>32.451900000000002</v>
      </c>
      <c r="BJ931">
        <v>30.847300000000001</v>
      </c>
      <c r="BK931">
        <v>0</v>
      </c>
      <c r="BL931">
        <v>41.676400000000001</v>
      </c>
      <c r="BM931">
        <v>47.0319</v>
      </c>
      <c r="BN931">
        <v>7.54948</v>
      </c>
      <c r="BO931">
        <v>2.0375299999999998</v>
      </c>
      <c r="BP931">
        <v>1.70461</v>
      </c>
      <c r="BQ931">
        <v>33.806399999999996</v>
      </c>
      <c r="BR931">
        <v>115041</v>
      </c>
    </row>
    <row r="932" spans="1:70" x14ac:dyDescent="0.25">
      <c r="A932">
        <v>55</v>
      </c>
      <c r="B932" s="7">
        <v>45994.546215277776</v>
      </c>
      <c r="C932" t="s">
        <v>212</v>
      </c>
      <c r="D932" s="6" t="s">
        <v>446</v>
      </c>
      <c r="E932" s="6" t="str">
        <f>VLOOKUP(F932,Germplasm!$A$1:$B$21,2,FALSE)</f>
        <v>Sunnita</v>
      </c>
      <c r="F932" t="s">
        <v>65</v>
      </c>
      <c r="G932" s="6" t="s">
        <v>113</v>
      </c>
      <c r="H932">
        <v>43784.800000000003</v>
      </c>
      <c r="I932">
        <v>462.7</v>
      </c>
      <c r="J932">
        <v>145329</v>
      </c>
      <c r="K932">
        <v>16.985299999999999</v>
      </c>
      <c r="L932">
        <v>73.487300000000005</v>
      </c>
      <c r="M932">
        <v>1416.56</v>
      </c>
      <c r="N932">
        <v>507.608</v>
      </c>
      <c r="O932">
        <v>24270600</v>
      </c>
      <c r="P932">
        <v>0.101575</v>
      </c>
      <c r="Q932">
        <v>1.0787100000000001</v>
      </c>
      <c r="R932">
        <v>19.7834</v>
      </c>
      <c r="S932">
        <v>46.570399999999999</v>
      </c>
      <c r="T932">
        <v>23.351700000000001</v>
      </c>
      <c r="U932">
        <v>8.6814800000000005</v>
      </c>
      <c r="V932">
        <v>0.53427599999999997</v>
      </c>
      <c r="W932">
        <v>67.215999999999994</v>
      </c>
      <c r="X932">
        <v>10.074</v>
      </c>
      <c r="Y932">
        <v>28.125699999999998</v>
      </c>
      <c r="Z932">
        <v>13.671799999999999</v>
      </c>
      <c r="AA932">
        <v>19.808800000000002</v>
      </c>
      <c r="AB932">
        <v>13.669700000000001</v>
      </c>
      <c r="AC932">
        <v>14.649900000000001</v>
      </c>
      <c r="AD932">
        <v>1.7737700000000001</v>
      </c>
      <c r="AE932">
        <v>15.3748</v>
      </c>
      <c r="AF932">
        <v>0</v>
      </c>
      <c r="AG932">
        <v>89.237300000000005</v>
      </c>
      <c r="AH932">
        <v>3.9715199999999999</v>
      </c>
      <c r="AI932">
        <v>1.2970900000000001</v>
      </c>
      <c r="AJ932">
        <v>5.4941000000000004</v>
      </c>
      <c r="AK932">
        <v>0</v>
      </c>
      <c r="AL932">
        <v>0.245807</v>
      </c>
      <c r="AM932">
        <v>11.9846</v>
      </c>
      <c r="AN932">
        <v>27.2379</v>
      </c>
      <c r="AO932">
        <v>23.397400000000001</v>
      </c>
      <c r="AP932">
        <v>16.555399999999999</v>
      </c>
      <c r="AQ932">
        <v>15.1852</v>
      </c>
      <c r="AR932">
        <v>5.6393500000000003</v>
      </c>
      <c r="AS932">
        <v>0.20927499999999999</v>
      </c>
      <c r="AT932">
        <v>1.60588</v>
      </c>
      <c r="AU932">
        <v>12.201000000000001</v>
      </c>
      <c r="AV932">
        <v>34.485199999999999</v>
      </c>
      <c r="AW932">
        <v>36.694400000000002</v>
      </c>
      <c r="AX932">
        <v>11.700200000000001</v>
      </c>
      <c r="AY932">
        <v>3.31332</v>
      </c>
      <c r="AZ932">
        <v>554.31700000000001</v>
      </c>
      <c r="BA932">
        <v>606.6</v>
      </c>
      <c r="BB932">
        <v>24684.7</v>
      </c>
      <c r="BC932">
        <v>0.19273000000000001</v>
      </c>
      <c r="BD932">
        <v>0.39512000000000003</v>
      </c>
      <c r="BE932">
        <v>0.53021300000000005</v>
      </c>
      <c r="BF932">
        <v>1.4606300000000001</v>
      </c>
      <c r="BG932">
        <v>11.4199</v>
      </c>
      <c r="BH932">
        <v>40.191600000000001</v>
      </c>
      <c r="BI932">
        <v>46.002600000000001</v>
      </c>
      <c r="BJ932">
        <v>31.520299999999999</v>
      </c>
      <c r="BK932">
        <v>0</v>
      </c>
      <c r="BL932">
        <v>37.845199999999998</v>
      </c>
      <c r="BM932">
        <v>51.422499999999999</v>
      </c>
      <c r="BN932">
        <v>7.34375</v>
      </c>
      <c r="BO932">
        <v>1.78871</v>
      </c>
      <c r="BP932">
        <v>1.59978</v>
      </c>
      <c r="BQ932">
        <v>34.353099999999998</v>
      </c>
      <c r="BR932">
        <v>98451</v>
      </c>
    </row>
    <row r="933" spans="1:70" x14ac:dyDescent="0.25">
      <c r="A933">
        <v>55</v>
      </c>
      <c r="B933" s="7">
        <v>46002.554236111115</v>
      </c>
      <c r="C933" t="s">
        <v>212</v>
      </c>
      <c r="D933" s="6" t="s">
        <v>447</v>
      </c>
      <c r="E933" s="6" t="str">
        <f>VLOOKUP(F933,Germplasm!$A$1:$B$21,2,FALSE)</f>
        <v>Sunnita</v>
      </c>
      <c r="F933" t="s">
        <v>65</v>
      </c>
      <c r="G933" s="6" t="s">
        <v>113</v>
      </c>
      <c r="H933">
        <v>43617</v>
      </c>
      <c r="I933">
        <v>454.68900000000002</v>
      </c>
      <c r="J933">
        <v>175545</v>
      </c>
      <c r="K933">
        <v>13.5307</v>
      </c>
      <c r="L933">
        <v>66.566500000000005</v>
      </c>
      <c r="M933">
        <v>1600.73</v>
      </c>
      <c r="N933">
        <v>593.58500000000004</v>
      </c>
      <c r="O933">
        <v>23816600</v>
      </c>
      <c r="P933">
        <v>7.49692E-2</v>
      </c>
      <c r="Q933">
        <v>1.0513600000000001</v>
      </c>
      <c r="R933">
        <v>24.9785</v>
      </c>
      <c r="S933">
        <v>48.855200000000004</v>
      </c>
      <c r="T933">
        <v>19.9191</v>
      </c>
      <c r="U933">
        <v>4.8839399999999999</v>
      </c>
      <c r="V933">
        <v>0.311942</v>
      </c>
      <c r="W933">
        <v>56.362099999999998</v>
      </c>
      <c r="X933">
        <v>13.1709</v>
      </c>
      <c r="Y933">
        <v>34.895499999999998</v>
      </c>
      <c r="Z933">
        <v>14.9575</v>
      </c>
      <c r="AA933">
        <v>17.411999999999999</v>
      </c>
      <c r="AB933">
        <v>8.1462000000000003</v>
      </c>
      <c r="AC933">
        <v>11.417899999999999</v>
      </c>
      <c r="AD933">
        <v>1.8363100000000001</v>
      </c>
      <c r="AE933">
        <v>16.870100000000001</v>
      </c>
      <c r="AF933">
        <v>0</v>
      </c>
      <c r="AG933">
        <v>88.214500000000001</v>
      </c>
      <c r="AH933">
        <v>4.8335299999999997</v>
      </c>
      <c r="AI933">
        <v>1.26772</v>
      </c>
      <c r="AJ933">
        <v>5.6842800000000002</v>
      </c>
      <c r="AK933">
        <v>0</v>
      </c>
      <c r="AL933">
        <v>0.18996499999999999</v>
      </c>
      <c r="AM933">
        <v>14.593</v>
      </c>
      <c r="AN933">
        <v>34.017400000000002</v>
      </c>
      <c r="AO933">
        <v>24.6875</v>
      </c>
      <c r="AP933">
        <v>16.255600000000001</v>
      </c>
      <c r="AQ933">
        <v>7.9214399999999996</v>
      </c>
      <c r="AR933">
        <v>2.52494</v>
      </c>
      <c r="AS933">
        <v>0.23467399999999999</v>
      </c>
      <c r="AT933">
        <v>1.3465</v>
      </c>
      <c r="AU933">
        <v>8.6976200000000006</v>
      </c>
      <c r="AV933">
        <v>31.5093</v>
      </c>
      <c r="AW933">
        <v>41.810699999999997</v>
      </c>
      <c r="AX933">
        <v>13.146699999999999</v>
      </c>
      <c r="AY933">
        <v>3.4891299999999998</v>
      </c>
      <c r="AZ933">
        <v>546.04</v>
      </c>
      <c r="BA933">
        <v>597.59900000000005</v>
      </c>
      <c r="BB933">
        <v>23752.6</v>
      </c>
      <c r="BC933">
        <v>0.23458399999999999</v>
      </c>
      <c r="BD933">
        <v>0.52410500000000004</v>
      </c>
      <c r="BE933">
        <v>0.568218</v>
      </c>
      <c r="BF933">
        <v>1.1290800000000001</v>
      </c>
      <c r="BG933">
        <v>7.8227099999999998</v>
      </c>
      <c r="BH933">
        <v>31.9557</v>
      </c>
      <c r="BI933">
        <v>58.0002</v>
      </c>
      <c r="BJ933">
        <v>31.414400000000001</v>
      </c>
      <c r="BK933">
        <v>0</v>
      </c>
      <c r="BL933">
        <v>38.755400000000002</v>
      </c>
      <c r="BM933">
        <v>50.9925</v>
      </c>
      <c r="BN933">
        <v>6.9225899999999996</v>
      </c>
      <c r="BO933">
        <v>1.64479</v>
      </c>
      <c r="BP933">
        <v>1.6847000000000001</v>
      </c>
      <c r="BQ933">
        <v>33.027500000000003</v>
      </c>
      <c r="BR933">
        <v>95210</v>
      </c>
    </row>
    <row r="934" spans="1:70" x14ac:dyDescent="0.25">
      <c r="A934">
        <v>55</v>
      </c>
      <c r="B934" s="7">
        <v>46013.579131944447</v>
      </c>
      <c r="C934" t="s">
        <v>212</v>
      </c>
      <c r="D934" s="6" t="s">
        <v>448</v>
      </c>
      <c r="E934" s="6" t="str">
        <f>VLOOKUP(F934,Germplasm!$A$1:$B$21,2,FALSE)</f>
        <v>Sunnita</v>
      </c>
      <c r="F934" t="s">
        <v>65</v>
      </c>
      <c r="G934" s="6" t="s">
        <v>113</v>
      </c>
      <c r="H934">
        <v>37841.599999999999</v>
      </c>
      <c r="I934">
        <v>440.94299999999998</v>
      </c>
      <c r="J934">
        <v>164049</v>
      </c>
      <c r="K934">
        <v>12.8781</v>
      </c>
      <c r="L934">
        <v>58.468200000000003</v>
      </c>
      <c r="M934">
        <v>1623.34</v>
      </c>
      <c r="N934">
        <v>610.89099999999996</v>
      </c>
      <c r="O934">
        <v>19778600</v>
      </c>
      <c r="P934">
        <v>3.1259000000000002E-2</v>
      </c>
      <c r="Q934">
        <v>1.48919</v>
      </c>
      <c r="R934">
        <v>30.093800000000002</v>
      </c>
      <c r="S934">
        <v>59.3123</v>
      </c>
      <c r="T934">
        <v>7.7014300000000002</v>
      </c>
      <c r="U934">
        <v>1.2494700000000001</v>
      </c>
      <c r="V934">
        <v>0.15376200000000001</v>
      </c>
      <c r="W934">
        <v>45.630200000000002</v>
      </c>
      <c r="X934">
        <v>16.585799999999999</v>
      </c>
      <c r="Y934">
        <v>45.157699999999998</v>
      </c>
      <c r="Z934">
        <v>14.0723</v>
      </c>
      <c r="AA934">
        <v>8.8576800000000002</v>
      </c>
      <c r="AB934">
        <v>4.5777599999999996</v>
      </c>
      <c r="AC934">
        <v>10.748799999999999</v>
      </c>
      <c r="AD934">
        <v>1.7911999999999999</v>
      </c>
      <c r="AE934">
        <v>19.977</v>
      </c>
      <c r="AF934">
        <v>0</v>
      </c>
      <c r="AG934">
        <v>83.728999999999999</v>
      </c>
      <c r="AH934">
        <v>8.3552300000000006</v>
      </c>
      <c r="AI934">
        <v>1.45408</v>
      </c>
      <c r="AJ934">
        <v>6.4616499999999997</v>
      </c>
      <c r="AK934">
        <v>0</v>
      </c>
      <c r="AL934">
        <v>0.12901699999999999</v>
      </c>
      <c r="AM934">
        <v>16.1233</v>
      </c>
      <c r="AN934">
        <v>45.947099999999999</v>
      </c>
      <c r="AO934">
        <v>27.427800000000001</v>
      </c>
      <c r="AP934">
        <v>7.0730700000000004</v>
      </c>
      <c r="AQ934">
        <v>2.4723000000000002</v>
      </c>
      <c r="AR934">
        <v>0.95647400000000005</v>
      </c>
      <c r="AS934">
        <v>0.23605100000000001</v>
      </c>
      <c r="AT934">
        <v>1.3245400000000001</v>
      </c>
      <c r="AU934">
        <v>7.5476700000000001</v>
      </c>
      <c r="AV934">
        <v>32.761099999999999</v>
      </c>
      <c r="AW934">
        <v>42.416600000000003</v>
      </c>
      <c r="AX934">
        <v>12.752599999999999</v>
      </c>
      <c r="AY934">
        <v>3.19753</v>
      </c>
      <c r="AZ934">
        <v>522.66700000000003</v>
      </c>
      <c r="BA934">
        <v>565.79899999999998</v>
      </c>
      <c r="BB934">
        <v>21126.400000000001</v>
      </c>
      <c r="BC934">
        <v>0.256046</v>
      </c>
      <c r="BD934">
        <v>0.64773899999999995</v>
      </c>
      <c r="BE934">
        <v>0.64289600000000002</v>
      </c>
      <c r="BF934">
        <v>1.3584400000000001</v>
      </c>
      <c r="BG934">
        <v>6.2231399999999999</v>
      </c>
      <c r="BH934">
        <v>23.632200000000001</v>
      </c>
      <c r="BI934">
        <v>67.495599999999996</v>
      </c>
      <c r="BJ934">
        <v>29.500699999999998</v>
      </c>
      <c r="BK934">
        <v>0</v>
      </c>
      <c r="BL934">
        <v>45.115299999999998</v>
      </c>
      <c r="BM934">
        <v>46.1723</v>
      </c>
      <c r="BN934">
        <v>5.3054100000000002</v>
      </c>
      <c r="BO934">
        <v>1.6248</v>
      </c>
      <c r="BP934">
        <v>1.7821899999999999</v>
      </c>
      <c r="BQ934">
        <v>33.967599999999997</v>
      </c>
      <c r="BR934">
        <v>82595</v>
      </c>
    </row>
    <row r="935" spans="1:70" x14ac:dyDescent="0.25">
      <c r="A935">
        <v>55</v>
      </c>
      <c r="B935" s="7">
        <v>46024.557962962965</v>
      </c>
      <c r="C935" t="s">
        <v>212</v>
      </c>
      <c r="D935" s="6" t="s">
        <v>449</v>
      </c>
      <c r="E935" s="6" t="str">
        <f>VLOOKUP(F935,Germplasm!$A$1:$B$21,2,FALSE)</f>
        <v>Sunnita</v>
      </c>
      <c r="F935" t="s">
        <v>65</v>
      </c>
      <c r="G935" s="6" t="s">
        <v>113</v>
      </c>
      <c r="H935">
        <v>43566.2</v>
      </c>
      <c r="I935">
        <v>333.40199999999999</v>
      </c>
      <c r="J935">
        <v>160125</v>
      </c>
      <c r="K935">
        <v>15.6608</v>
      </c>
      <c r="L935">
        <v>64.634500000000003</v>
      </c>
      <c r="M935">
        <v>1630.24</v>
      </c>
      <c r="N935">
        <v>586.46699999999998</v>
      </c>
      <c r="O935">
        <v>18062900</v>
      </c>
      <c r="P935">
        <v>8.6443100000000005E-3</v>
      </c>
      <c r="Q935">
        <v>1.03548</v>
      </c>
      <c r="R935">
        <v>37.800899999999999</v>
      </c>
      <c r="S935">
        <v>59.170999999999999</v>
      </c>
      <c r="T935">
        <v>1.7021200000000001</v>
      </c>
      <c r="U935">
        <v>0.25808700000000001</v>
      </c>
      <c r="V935">
        <v>3.2391499999999997E-2</v>
      </c>
      <c r="W935">
        <v>37.069400000000002</v>
      </c>
      <c r="X935">
        <v>20.410900000000002</v>
      </c>
      <c r="Y935">
        <v>55.2318</v>
      </c>
      <c r="Z935">
        <v>9.7895599999999998</v>
      </c>
      <c r="AA935">
        <v>3.7448800000000002</v>
      </c>
      <c r="AB935">
        <v>1.7857099999999999</v>
      </c>
      <c r="AC935">
        <v>9.0372400000000006</v>
      </c>
      <c r="AD935">
        <v>1.7373000000000001</v>
      </c>
      <c r="AE935">
        <v>24.088200000000001</v>
      </c>
      <c r="AF935">
        <v>0</v>
      </c>
      <c r="AG935">
        <v>69.294899999999998</v>
      </c>
      <c r="AH935">
        <v>22.5215</v>
      </c>
      <c r="AI935">
        <v>2.1284399999999999</v>
      </c>
      <c r="AJ935">
        <v>6.0551300000000001</v>
      </c>
      <c r="AK935">
        <v>0</v>
      </c>
      <c r="AL935">
        <v>8.4357699999999994E-2</v>
      </c>
      <c r="AM935">
        <v>20.4129</v>
      </c>
      <c r="AN935">
        <v>57.833500000000001</v>
      </c>
      <c r="AO935">
        <v>17.265699999999999</v>
      </c>
      <c r="AP935">
        <v>3.1158600000000001</v>
      </c>
      <c r="AQ935">
        <v>0.96965599999999996</v>
      </c>
      <c r="AR935">
        <v>0.40228199999999997</v>
      </c>
      <c r="AS935">
        <v>0.23616300000000001</v>
      </c>
      <c r="AT935">
        <v>1.3729800000000001</v>
      </c>
      <c r="AU935">
        <v>5.5410399999999997</v>
      </c>
      <c r="AV935">
        <v>33.066499999999998</v>
      </c>
      <c r="AW935">
        <v>46.912399999999998</v>
      </c>
      <c r="AX935">
        <v>10.3622</v>
      </c>
      <c r="AY935">
        <v>2.74492</v>
      </c>
      <c r="AZ935">
        <v>414.608</v>
      </c>
      <c r="BA935">
        <v>437.399</v>
      </c>
      <c r="BB935">
        <v>25076.9</v>
      </c>
      <c r="BC935">
        <v>0.28029300000000001</v>
      </c>
      <c r="BD935">
        <v>0.75022999999999995</v>
      </c>
      <c r="BE935">
        <v>0.74604999999999999</v>
      </c>
      <c r="BF935">
        <v>1.1671400000000001</v>
      </c>
      <c r="BG935">
        <v>4.2495599999999998</v>
      </c>
      <c r="BH935">
        <v>17.694099999999999</v>
      </c>
      <c r="BI935">
        <v>75.392899999999997</v>
      </c>
      <c r="BJ935">
        <v>27.846599999999999</v>
      </c>
      <c r="BK935">
        <v>0</v>
      </c>
      <c r="BL935">
        <v>48.986499999999999</v>
      </c>
      <c r="BM935">
        <v>44.166400000000003</v>
      </c>
      <c r="BN935">
        <v>4.1816399999999998</v>
      </c>
      <c r="BO935">
        <v>1.3729800000000001</v>
      </c>
      <c r="BP935">
        <v>1.29253</v>
      </c>
      <c r="BQ935">
        <v>35.177900000000001</v>
      </c>
      <c r="BR935">
        <v>95704</v>
      </c>
    </row>
    <row r="936" spans="1:70" x14ac:dyDescent="0.25">
      <c r="A936">
        <v>55</v>
      </c>
      <c r="B936" s="7">
        <v>45952.584849537037</v>
      </c>
      <c r="C936" t="s">
        <v>210</v>
      </c>
      <c r="D936" s="6" t="s">
        <v>441</v>
      </c>
      <c r="E936" s="6" t="str">
        <f>VLOOKUP(F936,Germplasm!$A$1:$B$21,2,FALSE)</f>
        <v>Bamse</v>
      </c>
      <c r="F936" t="s">
        <v>69</v>
      </c>
      <c r="G936" s="6" t="s">
        <v>113</v>
      </c>
      <c r="H936">
        <v>29786.6</v>
      </c>
      <c r="I936">
        <v>248.46899999999999</v>
      </c>
      <c r="J936">
        <v>62491.9</v>
      </c>
      <c r="K936">
        <v>28.025400000000001</v>
      </c>
      <c r="L936">
        <v>52.7087</v>
      </c>
      <c r="M936">
        <v>992.82799999999997</v>
      </c>
      <c r="N936">
        <v>414.09800000000001</v>
      </c>
      <c r="O936">
        <v>8995380</v>
      </c>
      <c r="P936">
        <v>0.22816800000000001</v>
      </c>
      <c r="Q936">
        <v>0.56886999999999999</v>
      </c>
      <c r="R936">
        <v>3.2274600000000002</v>
      </c>
      <c r="S936">
        <v>19.028099999999998</v>
      </c>
      <c r="T936">
        <v>49.571300000000001</v>
      </c>
      <c r="U936">
        <v>27.387</v>
      </c>
      <c r="V936">
        <v>0.21726500000000001</v>
      </c>
      <c r="W936">
        <v>119.697</v>
      </c>
      <c r="X936">
        <v>0.71316000000000002</v>
      </c>
      <c r="Y936">
        <v>1.5639799999999999</v>
      </c>
      <c r="Z936">
        <v>3.3402400000000001</v>
      </c>
      <c r="AA936">
        <v>16.110800000000001</v>
      </c>
      <c r="AB936">
        <v>36.624899999999997</v>
      </c>
      <c r="AC936">
        <v>41.646900000000002</v>
      </c>
      <c r="AD936">
        <v>1.7007699999999999</v>
      </c>
      <c r="AE936">
        <v>7.4737600000000004</v>
      </c>
      <c r="AF936">
        <v>0</v>
      </c>
      <c r="AG936">
        <v>99.845799999999997</v>
      </c>
      <c r="AH936">
        <v>0.15424199999999999</v>
      </c>
      <c r="AI936">
        <v>0</v>
      </c>
      <c r="AJ936">
        <v>0</v>
      </c>
      <c r="AK936">
        <v>0</v>
      </c>
      <c r="AL936">
        <v>0.52016799999999996</v>
      </c>
      <c r="AM936">
        <v>0.27365499999999998</v>
      </c>
      <c r="AN936">
        <v>1.4893400000000001</v>
      </c>
      <c r="AO936">
        <v>4.6189600000000004</v>
      </c>
      <c r="AP936">
        <v>17.678100000000001</v>
      </c>
      <c r="AQ936">
        <v>47.909399999999998</v>
      </c>
      <c r="AR936">
        <v>28.0305</v>
      </c>
      <c r="AS936">
        <v>1.5959600000000001E-2</v>
      </c>
      <c r="AT936">
        <v>8.5745100000000001</v>
      </c>
      <c r="AU936">
        <v>39.129300000000001</v>
      </c>
      <c r="AV936">
        <v>40.013300000000001</v>
      </c>
      <c r="AW936">
        <v>9.5397599999999994</v>
      </c>
      <c r="AX936">
        <v>1.6933400000000001</v>
      </c>
      <c r="AY936">
        <v>1.0498400000000001</v>
      </c>
      <c r="AZ936">
        <v>301.99400000000003</v>
      </c>
      <c r="BA936">
        <v>329.399</v>
      </c>
      <c r="BB936">
        <v>17513.599999999999</v>
      </c>
      <c r="BC936">
        <v>2.2242799999999999E-4</v>
      </c>
      <c r="BD936">
        <v>3.64873E-2</v>
      </c>
      <c r="BE936">
        <v>0.54399200000000003</v>
      </c>
      <c r="BF936">
        <v>3.8610199999999999</v>
      </c>
      <c r="BG936">
        <v>43.262300000000003</v>
      </c>
      <c r="BH936">
        <v>48.637500000000003</v>
      </c>
      <c r="BI936">
        <v>3.6586799999999999</v>
      </c>
      <c r="BJ936">
        <v>30.860499999999998</v>
      </c>
      <c r="BK936">
        <v>0</v>
      </c>
      <c r="BL936">
        <v>34.495399999999997</v>
      </c>
      <c r="BM936">
        <v>58.5107</v>
      </c>
      <c r="BN936">
        <v>6.0535699999999997</v>
      </c>
      <c r="BO936">
        <v>0.67833200000000005</v>
      </c>
      <c r="BP936">
        <v>0.26204499999999997</v>
      </c>
      <c r="BQ936">
        <v>36.040900000000001</v>
      </c>
      <c r="BR936">
        <v>60295</v>
      </c>
    </row>
    <row r="937" spans="1:70" x14ac:dyDescent="0.25">
      <c r="A937">
        <v>55</v>
      </c>
      <c r="B937" s="7">
        <v>45959.558599537035</v>
      </c>
      <c r="C937" t="s">
        <v>210</v>
      </c>
      <c r="D937" s="6" t="s">
        <v>442</v>
      </c>
      <c r="E937" s="6" t="str">
        <f>VLOOKUP(F937,Germplasm!$A$1:$B$21,2,FALSE)</f>
        <v>Bamse</v>
      </c>
      <c r="F937" t="s">
        <v>69</v>
      </c>
      <c r="G937" s="6" t="s">
        <v>113</v>
      </c>
      <c r="H937">
        <v>50663.3</v>
      </c>
      <c r="I937">
        <v>422.39699999999999</v>
      </c>
      <c r="J937">
        <v>181056</v>
      </c>
      <c r="K937">
        <v>15.7074</v>
      </c>
      <c r="L937">
        <v>71.226600000000005</v>
      </c>
      <c r="M937">
        <v>1608.92</v>
      </c>
      <c r="N937">
        <v>592.09199999999998</v>
      </c>
      <c r="O937">
        <v>24767000</v>
      </c>
      <c r="P937">
        <v>0.226184</v>
      </c>
      <c r="Q937">
        <v>0.61881399999999998</v>
      </c>
      <c r="R937">
        <v>3.4879500000000001</v>
      </c>
      <c r="S937">
        <v>20.3569</v>
      </c>
      <c r="T937">
        <v>48.025599999999997</v>
      </c>
      <c r="U937">
        <v>26.972899999999999</v>
      </c>
      <c r="V937">
        <v>0.53783899999999996</v>
      </c>
      <c r="W937">
        <v>122.761</v>
      </c>
      <c r="X937">
        <v>0.92172299999999996</v>
      </c>
      <c r="Y937">
        <v>1.47556</v>
      </c>
      <c r="Z937">
        <v>2.7781699999999998</v>
      </c>
      <c r="AA937">
        <v>13.416</v>
      </c>
      <c r="AB937">
        <v>35.440399999999997</v>
      </c>
      <c r="AC937">
        <v>45.968200000000003</v>
      </c>
      <c r="AD937">
        <v>1.78146</v>
      </c>
      <c r="AE937">
        <v>6.9443200000000003</v>
      </c>
      <c r="AF937">
        <v>0</v>
      </c>
      <c r="AG937">
        <v>99.733099999999993</v>
      </c>
      <c r="AH937">
        <v>0.25692300000000001</v>
      </c>
      <c r="AI937">
        <v>9.9970000000000007E-3</v>
      </c>
      <c r="AJ937">
        <v>0</v>
      </c>
      <c r="AK937">
        <v>0</v>
      </c>
      <c r="AL937">
        <v>0.51106499999999999</v>
      </c>
      <c r="AM937">
        <v>0.74177700000000002</v>
      </c>
      <c r="AN937">
        <v>2.6692</v>
      </c>
      <c r="AO937">
        <v>5.3483999999999998</v>
      </c>
      <c r="AP937">
        <v>17.744700000000002</v>
      </c>
      <c r="AQ937">
        <v>45.105499999999999</v>
      </c>
      <c r="AR937">
        <v>28.390499999999999</v>
      </c>
      <c r="AS937">
        <v>1.0969599999999999E-2</v>
      </c>
      <c r="AT937">
        <v>7.7136899999999997</v>
      </c>
      <c r="AU937">
        <v>44.381700000000002</v>
      </c>
      <c r="AV937">
        <v>35.936199999999999</v>
      </c>
      <c r="AW937">
        <v>8.8593399999999995</v>
      </c>
      <c r="AX937">
        <v>1.75047</v>
      </c>
      <c r="AY937">
        <v>1.35859</v>
      </c>
      <c r="AZ937">
        <v>488.85399999999998</v>
      </c>
      <c r="BA937">
        <v>584.4</v>
      </c>
      <c r="BB937">
        <v>28439.1</v>
      </c>
      <c r="BC937">
        <v>-4.2993399999999996E-3</v>
      </c>
      <c r="BD937">
        <v>7.7976599999999993E-2</v>
      </c>
      <c r="BE937">
        <v>0.47585699999999997</v>
      </c>
      <c r="BF937">
        <v>3.61592</v>
      </c>
      <c r="BG937">
        <v>47.924599999999998</v>
      </c>
      <c r="BH937">
        <v>43.674900000000001</v>
      </c>
      <c r="BI937">
        <v>4.2307300000000003</v>
      </c>
      <c r="BJ937">
        <v>30.744700000000002</v>
      </c>
      <c r="BK937">
        <v>0</v>
      </c>
      <c r="BL937">
        <v>36.498100000000001</v>
      </c>
      <c r="BM937">
        <v>55.750300000000003</v>
      </c>
      <c r="BN937">
        <v>6.1561500000000002</v>
      </c>
      <c r="BO937">
        <v>0.85274399999999995</v>
      </c>
      <c r="BP937">
        <v>0.74277700000000002</v>
      </c>
      <c r="BQ937">
        <v>34.187800000000003</v>
      </c>
      <c r="BR937">
        <v>100030</v>
      </c>
    </row>
    <row r="938" spans="1:70" x14ac:dyDescent="0.25">
      <c r="A938">
        <v>55</v>
      </c>
      <c r="B938" s="7">
        <v>45966.52103009259</v>
      </c>
      <c r="C938" t="s">
        <v>210</v>
      </c>
      <c r="D938" s="6" t="s">
        <v>443</v>
      </c>
      <c r="E938" s="6" t="str">
        <f>VLOOKUP(F938,Germplasm!$A$1:$B$21,2,FALSE)</f>
        <v>Bamse</v>
      </c>
      <c r="F938" t="s">
        <v>69</v>
      </c>
      <c r="G938" s="6" t="s">
        <v>113</v>
      </c>
      <c r="H938">
        <v>61841.7</v>
      </c>
      <c r="I938">
        <v>480.15600000000001</v>
      </c>
      <c r="J938">
        <v>160824</v>
      </c>
      <c r="K938">
        <v>21.4712</v>
      </c>
      <c r="L938">
        <v>74.451300000000003</v>
      </c>
      <c r="M938">
        <v>1497.13</v>
      </c>
      <c r="N938">
        <v>529.15800000000002</v>
      </c>
      <c r="O938">
        <v>36087600</v>
      </c>
      <c r="P938">
        <v>0.23178799999999999</v>
      </c>
      <c r="Q938">
        <v>0.55651799999999996</v>
      </c>
      <c r="R938">
        <v>3.4868199999999998</v>
      </c>
      <c r="S938">
        <v>20.471399999999999</v>
      </c>
      <c r="T938">
        <v>46.8904</v>
      </c>
      <c r="U938">
        <v>27.584800000000001</v>
      </c>
      <c r="V938">
        <v>1.01004</v>
      </c>
      <c r="W938">
        <v>118.06399999999999</v>
      </c>
      <c r="X938">
        <v>1.1369899999999999</v>
      </c>
      <c r="Y938">
        <v>2.13585</v>
      </c>
      <c r="Z938">
        <v>3.7718699999999998</v>
      </c>
      <c r="AA938">
        <v>16.896000000000001</v>
      </c>
      <c r="AB938">
        <v>35.341700000000003</v>
      </c>
      <c r="AC938">
        <v>40.717599999999997</v>
      </c>
      <c r="AD938">
        <v>1.7909200000000001</v>
      </c>
      <c r="AE938">
        <v>6.2104999999999997</v>
      </c>
      <c r="AF938">
        <v>0</v>
      </c>
      <c r="AG938">
        <v>99.9345</v>
      </c>
      <c r="AH938">
        <v>6.5472699999999995E-2</v>
      </c>
      <c r="AI938">
        <v>0</v>
      </c>
      <c r="AJ938">
        <v>0</v>
      </c>
      <c r="AK938">
        <v>0</v>
      </c>
      <c r="AL938">
        <v>0.50753099999999995</v>
      </c>
      <c r="AM938">
        <v>0.63556400000000002</v>
      </c>
      <c r="AN938">
        <v>2.9654400000000001</v>
      </c>
      <c r="AO938">
        <v>6.6247199999999999</v>
      </c>
      <c r="AP938">
        <v>17.68</v>
      </c>
      <c r="AQ938">
        <v>43.073099999999997</v>
      </c>
      <c r="AR938">
        <v>29.0212</v>
      </c>
      <c r="AS938">
        <v>4.1741199999999999E-2</v>
      </c>
      <c r="AT938">
        <v>5.7528199999999998</v>
      </c>
      <c r="AU938">
        <v>40.386299999999999</v>
      </c>
      <c r="AV938">
        <v>37.208500000000001</v>
      </c>
      <c r="AW938">
        <v>11.745200000000001</v>
      </c>
      <c r="AX938">
        <v>3.0269200000000001</v>
      </c>
      <c r="AY938">
        <v>1.8803399999999999</v>
      </c>
      <c r="AZ938">
        <v>583.548</v>
      </c>
      <c r="BA938">
        <v>647.399</v>
      </c>
      <c r="BB938">
        <v>34530.699999999997</v>
      </c>
      <c r="BC938">
        <v>1.5644600000000002E-2</v>
      </c>
      <c r="BD938">
        <v>3.9123900000000003E-2</v>
      </c>
      <c r="BE938">
        <v>0.24751899999999999</v>
      </c>
      <c r="BF938">
        <v>2.4999400000000001</v>
      </c>
      <c r="BG938">
        <v>43.351700000000001</v>
      </c>
      <c r="BH938">
        <v>47.612200000000001</v>
      </c>
      <c r="BI938">
        <v>6.2494500000000004</v>
      </c>
      <c r="BJ938">
        <v>31.624199999999998</v>
      </c>
      <c r="BK938">
        <v>0</v>
      </c>
      <c r="BL938">
        <v>35.421500000000002</v>
      </c>
      <c r="BM938">
        <v>54.866900000000001</v>
      </c>
      <c r="BN938">
        <v>7.5485300000000004</v>
      </c>
      <c r="BO938">
        <v>1.4459900000000001</v>
      </c>
      <c r="BP938">
        <v>0.71700600000000003</v>
      </c>
      <c r="BQ938">
        <v>33.987699999999997</v>
      </c>
      <c r="BR938">
        <v>125243</v>
      </c>
    </row>
    <row r="939" spans="1:70" x14ac:dyDescent="0.25">
      <c r="A939">
        <v>55</v>
      </c>
      <c r="B939" s="7">
        <v>45973.582233796296</v>
      </c>
      <c r="C939" t="s">
        <v>210</v>
      </c>
      <c r="D939" s="6" t="s">
        <v>444</v>
      </c>
      <c r="E939" s="6" t="str">
        <f>VLOOKUP(F939,Germplasm!$A$1:$B$21,2,FALSE)</f>
        <v>Bamse</v>
      </c>
      <c r="F939" t="s">
        <v>69</v>
      </c>
      <c r="G939" s="6" t="s">
        <v>113</v>
      </c>
      <c r="H939">
        <v>72865.5</v>
      </c>
      <c r="I939">
        <v>573.78599999999994</v>
      </c>
      <c r="J939">
        <v>211125</v>
      </c>
      <c r="K939">
        <v>19.286799999999999</v>
      </c>
      <c r="L939">
        <v>87.820700000000002</v>
      </c>
      <c r="M939">
        <v>1722.62</v>
      </c>
      <c r="N939">
        <v>592.92700000000002</v>
      </c>
      <c r="O939">
        <v>49552900</v>
      </c>
      <c r="P939">
        <v>0.24002599999999999</v>
      </c>
      <c r="Q939">
        <v>0.58728199999999997</v>
      </c>
      <c r="R939">
        <v>3.1543100000000002</v>
      </c>
      <c r="S939">
        <v>18.352599999999999</v>
      </c>
      <c r="T939">
        <v>47.4589</v>
      </c>
      <c r="U939">
        <v>29.1236</v>
      </c>
      <c r="V939">
        <v>1.32338</v>
      </c>
      <c r="W939">
        <v>111.297</v>
      </c>
      <c r="X939">
        <v>1.17523</v>
      </c>
      <c r="Y939">
        <v>2.6055600000000001</v>
      </c>
      <c r="Z939">
        <v>4.8138500000000004</v>
      </c>
      <c r="AA939">
        <v>22.433</v>
      </c>
      <c r="AB939">
        <v>38.678899999999999</v>
      </c>
      <c r="AC939">
        <v>30.293500000000002</v>
      </c>
      <c r="AD939">
        <v>1.7894600000000001</v>
      </c>
      <c r="AE939">
        <v>6.5344100000000003</v>
      </c>
      <c r="AF939">
        <v>0</v>
      </c>
      <c r="AG939">
        <v>99.760199999999998</v>
      </c>
      <c r="AH939">
        <v>0.22986400000000001</v>
      </c>
      <c r="AI939">
        <v>9.9651900000000005E-3</v>
      </c>
      <c r="AJ939">
        <v>0</v>
      </c>
      <c r="AK939">
        <v>0</v>
      </c>
      <c r="AL939">
        <v>0.50365199999999999</v>
      </c>
      <c r="AM939">
        <v>0.72745899999999997</v>
      </c>
      <c r="AN939">
        <v>3.26858</v>
      </c>
      <c r="AO939">
        <v>7.2539899999999999</v>
      </c>
      <c r="AP939">
        <v>18.844799999999999</v>
      </c>
      <c r="AQ939">
        <v>40.843299999999999</v>
      </c>
      <c r="AR939">
        <v>29.061800000000002</v>
      </c>
      <c r="AS939">
        <v>8.4533899999999995E-2</v>
      </c>
      <c r="AT939">
        <v>3.7130299999999998</v>
      </c>
      <c r="AU939">
        <v>31.597000000000001</v>
      </c>
      <c r="AV939">
        <v>42.439100000000003</v>
      </c>
      <c r="AW939">
        <v>15.5809</v>
      </c>
      <c r="AX939">
        <v>4.21129</v>
      </c>
      <c r="AY939">
        <v>2.4587400000000001</v>
      </c>
      <c r="AZ939">
        <v>680.06</v>
      </c>
      <c r="BA939">
        <v>737.69899999999996</v>
      </c>
      <c r="BB939">
        <v>40719.199999999997</v>
      </c>
      <c r="BC939">
        <v>4.1634600000000001E-2</v>
      </c>
      <c r="BD939">
        <v>5.7798099999999998E-2</v>
      </c>
      <c r="BE939">
        <v>0.31224299999999999</v>
      </c>
      <c r="BF939">
        <v>1.74125</v>
      </c>
      <c r="BG939">
        <v>33.198</v>
      </c>
      <c r="BH939">
        <v>56.321300000000001</v>
      </c>
      <c r="BI939">
        <v>8.3694299999999995</v>
      </c>
      <c r="BJ939">
        <v>33.195599999999999</v>
      </c>
      <c r="BK939">
        <v>0</v>
      </c>
      <c r="BL939">
        <v>32.066600000000001</v>
      </c>
      <c r="BM939">
        <v>55.671500000000002</v>
      </c>
      <c r="BN939">
        <v>9.5506399999999996</v>
      </c>
      <c r="BO939">
        <v>1.7007300000000001</v>
      </c>
      <c r="BP939">
        <v>1.01047</v>
      </c>
      <c r="BQ939">
        <v>34.0246</v>
      </c>
      <c r="BR939">
        <v>150524</v>
      </c>
    </row>
    <row r="940" spans="1:70" x14ac:dyDescent="0.25">
      <c r="A940">
        <v>55</v>
      </c>
      <c r="B940" s="7">
        <v>45988.60527777778</v>
      </c>
      <c r="C940" t="s">
        <v>210</v>
      </c>
      <c r="D940" s="6" t="s">
        <v>445</v>
      </c>
      <c r="E940" s="6" t="str">
        <f>VLOOKUP(F940,Germplasm!$A$1:$B$21,2,FALSE)</f>
        <v>Bamse</v>
      </c>
      <c r="F940" t="s">
        <v>69</v>
      </c>
      <c r="G940" s="6" t="s">
        <v>113</v>
      </c>
      <c r="H940">
        <v>61854.6</v>
      </c>
      <c r="I940">
        <v>434.42899999999997</v>
      </c>
      <c r="J940">
        <v>166033</v>
      </c>
      <c r="K940">
        <v>19.859500000000001</v>
      </c>
      <c r="L940">
        <v>76.759399999999999</v>
      </c>
      <c r="M940">
        <v>1513.42</v>
      </c>
      <c r="N940">
        <v>532.99699999999996</v>
      </c>
      <c r="O940">
        <v>39421600</v>
      </c>
      <c r="P940">
        <v>0.170184</v>
      </c>
      <c r="Q940">
        <v>1.2378499999999999</v>
      </c>
      <c r="R940">
        <v>11.640599999999999</v>
      </c>
      <c r="S940">
        <v>30.475100000000001</v>
      </c>
      <c r="T940">
        <v>37.7258</v>
      </c>
      <c r="U940">
        <v>18.228899999999999</v>
      </c>
      <c r="V940">
        <v>0.69174100000000005</v>
      </c>
      <c r="W940">
        <v>81.868499999999997</v>
      </c>
      <c r="X940">
        <v>6.2361700000000004</v>
      </c>
      <c r="Y940">
        <v>17.5365</v>
      </c>
      <c r="Z940">
        <v>11.297499999999999</v>
      </c>
      <c r="AA940">
        <v>28.530799999999999</v>
      </c>
      <c r="AB940">
        <v>22.8597</v>
      </c>
      <c r="AC940">
        <v>13.539400000000001</v>
      </c>
      <c r="AD940">
        <v>1.8758900000000001</v>
      </c>
      <c r="AE940">
        <v>8.6763600000000007</v>
      </c>
      <c r="AF940">
        <v>0</v>
      </c>
      <c r="AG940">
        <v>98.061999999999998</v>
      </c>
      <c r="AH940">
        <v>1.93309</v>
      </c>
      <c r="AI940">
        <v>4.901E-3</v>
      </c>
      <c r="AJ940">
        <v>0</v>
      </c>
      <c r="AK940">
        <v>0</v>
      </c>
      <c r="AL940">
        <v>0.34239000000000003</v>
      </c>
      <c r="AM940">
        <v>2.88809</v>
      </c>
      <c r="AN940">
        <v>20.7151</v>
      </c>
      <c r="AO940">
        <v>18.031500000000001</v>
      </c>
      <c r="AP940">
        <v>24.114999999999998</v>
      </c>
      <c r="AQ940">
        <v>23.4373</v>
      </c>
      <c r="AR940">
        <v>10.813000000000001</v>
      </c>
      <c r="AS940">
        <v>0.20869099999999999</v>
      </c>
      <c r="AT940">
        <v>1.4850000000000001</v>
      </c>
      <c r="AU940">
        <v>12.620799999999999</v>
      </c>
      <c r="AV940">
        <v>35.771700000000003</v>
      </c>
      <c r="AW940">
        <v>34.107500000000002</v>
      </c>
      <c r="AX940">
        <v>12.776899999999999</v>
      </c>
      <c r="AY940">
        <v>3.2381600000000001</v>
      </c>
      <c r="AZ940">
        <v>637.327</v>
      </c>
      <c r="BA940">
        <v>695.4</v>
      </c>
      <c r="BB940">
        <v>32973.4</v>
      </c>
      <c r="BC940">
        <v>0.176145</v>
      </c>
      <c r="BD940">
        <v>4.34089E-2</v>
      </c>
      <c r="BE940">
        <v>0.24645</v>
      </c>
      <c r="BF940">
        <v>0.97319900000000004</v>
      </c>
      <c r="BG940">
        <v>12.842000000000001</v>
      </c>
      <c r="BH940">
        <v>48.865099999999998</v>
      </c>
      <c r="BI940">
        <v>37.029899999999998</v>
      </c>
      <c r="BJ940">
        <v>34.423000000000002</v>
      </c>
      <c r="BK940">
        <v>0</v>
      </c>
      <c r="BL940">
        <v>28.749300000000002</v>
      </c>
      <c r="BM940">
        <v>57.665900000000001</v>
      </c>
      <c r="BN940">
        <v>11.0364</v>
      </c>
      <c r="BO940">
        <v>1.5571200000000001</v>
      </c>
      <c r="BP940">
        <v>0.99140200000000001</v>
      </c>
      <c r="BQ940">
        <v>32.253700000000002</v>
      </c>
      <c r="BR940">
        <v>142828</v>
      </c>
    </row>
    <row r="941" spans="1:70" x14ac:dyDescent="0.25">
      <c r="A941">
        <v>55</v>
      </c>
      <c r="B941" s="7">
        <v>45994.546215277776</v>
      </c>
      <c r="C941" t="s">
        <v>210</v>
      </c>
      <c r="D941" s="6" t="s">
        <v>446</v>
      </c>
      <c r="E941" s="6" t="str">
        <f>VLOOKUP(F941,Germplasm!$A$1:$B$21,2,FALSE)</f>
        <v>Bamse</v>
      </c>
      <c r="F941" t="s">
        <v>69</v>
      </c>
      <c r="G941" s="6" t="s">
        <v>113</v>
      </c>
      <c r="H941">
        <v>52751.1</v>
      </c>
      <c r="I941">
        <v>466.803</v>
      </c>
      <c r="J941">
        <v>143794</v>
      </c>
      <c r="K941">
        <v>20.195399999999999</v>
      </c>
      <c r="L941">
        <v>71.259399999999999</v>
      </c>
      <c r="M941">
        <v>1445.4</v>
      </c>
      <c r="N941">
        <v>517.62199999999996</v>
      </c>
      <c r="O941">
        <v>33924300</v>
      </c>
      <c r="P941">
        <v>0.13885800000000001</v>
      </c>
      <c r="Q941">
        <v>1.0376399999999999</v>
      </c>
      <c r="R941">
        <v>15.7316</v>
      </c>
      <c r="S941">
        <v>36.524099999999997</v>
      </c>
      <c r="T941">
        <v>32.947299999999998</v>
      </c>
      <c r="U941">
        <v>13.4084</v>
      </c>
      <c r="V941">
        <v>0.350966</v>
      </c>
      <c r="W941">
        <v>69.2303</v>
      </c>
      <c r="X941">
        <v>8.3392499999999998</v>
      </c>
      <c r="Y941">
        <v>24.591999999999999</v>
      </c>
      <c r="Z941">
        <v>15.1617</v>
      </c>
      <c r="AA941">
        <v>28.974499999999999</v>
      </c>
      <c r="AB941">
        <v>14.3141</v>
      </c>
      <c r="AC941">
        <v>8.6184899999999995</v>
      </c>
      <c r="AD941">
        <v>1.8165100000000001</v>
      </c>
      <c r="AE941">
        <v>10.178800000000001</v>
      </c>
      <c r="AF941">
        <v>0</v>
      </c>
      <c r="AG941">
        <v>95.138400000000004</v>
      </c>
      <c r="AH941">
        <v>4.8570599999999997</v>
      </c>
      <c r="AI941">
        <v>4.5778099999999999E-3</v>
      </c>
      <c r="AJ941">
        <v>0</v>
      </c>
      <c r="AK941">
        <v>0</v>
      </c>
      <c r="AL941">
        <v>0.27332000000000001</v>
      </c>
      <c r="AM941">
        <v>4.2977999999999996</v>
      </c>
      <c r="AN941">
        <v>28.435099999999998</v>
      </c>
      <c r="AO941">
        <v>23.9236</v>
      </c>
      <c r="AP941">
        <v>22.821899999999999</v>
      </c>
      <c r="AQ941">
        <v>15.301299999999999</v>
      </c>
      <c r="AR941">
        <v>5.2202299999999999</v>
      </c>
      <c r="AS941">
        <v>0.24557699999999999</v>
      </c>
      <c r="AT941">
        <v>0.82095399999999996</v>
      </c>
      <c r="AU941">
        <v>6.9735300000000002</v>
      </c>
      <c r="AV941">
        <v>30.981100000000001</v>
      </c>
      <c r="AW941">
        <v>45.214300000000001</v>
      </c>
      <c r="AX941">
        <v>13.038399999999999</v>
      </c>
      <c r="AY941">
        <v>2.9717600000000002</v>
      </c>
      <c r="AZ941">
        <v>643.101</v>
      </c>
      <c r="BA941">
        <v>703.2</v>
      </c>
      <c r="BB941">
        <v>29039.9</v>
      </c>
      <c r="BC941">
        <v>0.22947100000000001</v>
      </c>
      <c r="BD941">
        <v>5.3407799999999998E-2</v>
      </c>
      <c r="BE941">
        <v>0.20600199999999999</v>
      </c>
      <c r="BF941">
        <v>0.68209399999999998</v>
      </c>
      <c r="BG941">
        <v>6.8529799999999996</v>
      </c>
      <c r="BH941">
        <v>40.384700000000002</v>
      </c>
      <c r="BI941">
        <v>51.820799999999998</v>
      </c>
      <c r="BJ941">
        <v>33.905900000000003</v>
      </c>
      <c r="BK941">
        <v>0</v>
      </c>
      <c r="BL941">
        <v>27.5867</v>
      </c>
      <c r="BM941">
        <v>60.855899999999998</v>
      </c>
      <c r="BN941">
        <v>9.5554199999999998</v>
      </c>
      <c r="BO941">
        <v>1.3496900000000001</v>
      </c>
      <c r="BP941">
        <v>0.65233799999999997</v>
      </c>
      <c r="BQ941">
        <v>33.440600000000003</v>
      </c>
      <c r="BR941">
        <v>131067</v>
      </c>
    </row>
    <row r="942" spans="1:70" x14ac:dyDescent="0.25">
      <c r="A942">
        <v>55</v>
      </c>
      <c r="B942" s="7">
        <v>46002.554236111115</v>
      </c>
      <c r="C942" t="s">
        <v>210</v>
      </c>
      <c r="D942" s="6" t="s">
        <v>447</v>
      </c>
      <c r="E942" s="6" t="str">
        <f>VLOOKUP(F942,Germplasm!$A$1:$B$21,2,FALSE)</f>
        <v>Bamse</v>
      </c>
      <c r="F942" t="s">
        <v>69</v>
      </c>
      <c r="G942" s="6" t="s">
        <v>113</v>
      </c>
      <c r="H942">
        <v>43975.9</v>
      </c>
      <c r="I942">
        <v>438.81200000000001</v>
      </c>
      <c r="J942">
        <v>140664</v>
      </c>
      <c r="K942">
        <v>17.233799999999999</v>
      </c>
      <c r="L942">
        <v>92.862200000000001</v>
      </c>
      <c r="M942">
        <v>1397.6</v>
      </c>
      <c r="N942">
        <v>473.01</v>
      </c>
      <c r="O942">
        <v>26940300</v>
      </c>
      <c r="P942">
        <v>7.1744299999999997E-2</v>
      </c>
      <c r="Q942">
        <v>1.11273</v>
      </c>
      <c r="R942">
        <v>25.3</v>
      </c>
      <c r="S942">
        <v>50.247700000000002</v>
      </c>
      <c r="T942">
        <v>17.9026</v>
      </c>
      <c r="U942">
        <v>5.3342000000000001</v>
      </c>
      <c r="V942">
        <v>0.102729</v>
      </c>
      <c r="W942">
        <v>47.8247</v>
      </c>
      <c r="X942">
        <v>13.226100000000001</v>
      </c>
      <c r="Y942">
        <v>44.728200000000001</v>
      </c>
      <c r="Z942">
        <v>17.6904</v>
      </c>
      <c r="AA942">
        <v>14.774699999999999</v>
      </c>
      <c r="AB942">
        <v>3.8239999999999998</v>
      </c>
      <c r="AC942">
        <v>5.75664</v>
      </c>
      <c r="AD942">
        <v>1.8140499999999999</v>
      </c>
      <c r="AE942">
        <v>13.620900000000001</v>
      </c>
      <c r="AF942">
        <v>0</v>
      </c>
      <c r="AG942">
        <v>87.934700000000007</v>
      </c>
      <c r="AH942">
        <v>11.9549</v>
      </c>
      <c r="AI942">
        <v>0.11040899999999999</v>
      </c>
      <c r="AJ942">
        <v>0</v>
      </c>
      <c r="AK942">
        <v>0</v>
      </c>
      <c r="AL942">
        <v>0.14602799999999999</v>
      </c>
      <c r="AM942">
        <v>13.407500000000001</v>
      </c>
      <c r="AN942">
        <v>49.033200000000001</v>
      </c>
      <c r="AO942">
        <v>19.218900000000001</v>
      </c>
      <c r="AP942">
        <v>12.2813</v>
      </c>
      <c r="AQ942">
        <v>4.8647200000000002</v>
      </c>
      <c r="AR942">
        <v>1.19434</v>
      </c>
      <c r="AS942">
        <v>0.28651700000000002</v>
      </c>
      <c r="AT942">
        <v>0.47331899999999999</v>
      </c>
      <c r="AU942">
        <v>3.1567400000000001</v>
      </c>
      <c r="AV942">
        <v>22.6492</v>
      </c>
      <c r="AW942">
        <v>55.316899999999997</v>
      </c>
      <c r="AX942">
        <v>14.797700000000001</v>
      </c>
      <c r="AY942">
        <v>3.6060599999999998</v>
      </c>
      <c r="AZ942">
        <v>612.61599999999999</v>
      </c>
      <c r="BA942">
        <v>665.399</v>
      </c>
      <c r="BB942">
        <v>24241.8</v>
      </c>
      <c r="BC942">
        <v>0.33183699999999999</v>
      </c>
      <c r="BD942">
        <v>7.6806399999999997E-2</v>
      </c>
      <c r="BE942">
        <v>0.18529499999999999</v>
      </c>
      <c r="BF942">
        <v>0.47811999999999999</v>
      </c>
      <c r="BG942">
        <v>2.88984</v>
      </c>
      <c r="BH942">
        <v>19.470400000000001</v>
      </c>
      <c r="BI942">
        <v>76.899500000000003</v>
      </c>
      <c r="BJ942">
        <v>32.497799999999998</v>
      </c>
      <c r="BK942">
        <v>0</v>
      </c>
      <c r="BL942">
        <v>31.197800000000001</v>
      </c>
      <c r="BM942">
        <v>58.221200000000003</v>
      </c>
      <c r="BN942">
        <v>8.9508200000000002</v>
      </c>
      <c r="BO942">
        <v>1.1319300000000001</v>
      </c>
      <c r="BP942">
        <v>0.49828099999999997</v>
      </c>
      <c r="BQ942">
        <v>33.487299999999998</v>
      </c>
      <c r="BR942">
        <v>104158</v>
      </c>
    </row>
    <row r="943" spans="1:70" x14ac:dyDescent="0.25">
      <c r="A943">
        <v>55</v>
      </c>
      <c r="B943" s="7">
        <v>46013.579131944447</v>
      </c>
      <c r="C943" t="s">
        <v>210</v>
      </c>
      <c r="D943" s="6" t="s">
        <v>448</v>
      </c>
      <c r="E943" s="6" t="str">
        <f>VLOOKUP(F943,Germplasm!$A$1:$B$21,2,FALSE)</f>
        <v>Bamse</v>
      </c>
      <c r="F943" t="s">
        <v>69</v>
      </c>
      <c r="G943" s="6" t="s">
        <v>113</v>
      </c>
      <c r="H943">
        <v>38363.199999999997</v>
      </c>
      <c r="I943">
        <v>476.01100000000002</v>
      </c>
      <c r="J943">
        <v>133598</v>
      </c>
      <c r="K943">
        <v>15.3909</v>
      </c>
      <c r="L943">
        <v>58.476700000000001</v>
      </c>
      <c r="M943">
        <v>1476.24</v>
      </c>
      <c r="N943">
        <v>562.34699999999998</v>
      </c>
      <c r="O943">
        <v>22210000</v>
      </c>
      <c r="P943">
        <v>2.1319299999999999E-2</v>
      </c>
      <c r="Q943">
        <v>1.29352</v>
      </c>
      <c r="R943">
        <v>33.257300000000001</v>
      </c>
      <c r="S943">
        <v>60.125399999999999</v>
      </c>
      <c r="T943">
        <v>3.9791400000000001</v>
      </c>
      <c r="U943">
        <v>1.2543200000000001</v>
      </c>
      <c r="V943">
        <v>9.0273099999999995E-2</v>
      </c>
      <c r="W943">
        <v>37.288200000000003</v>
      </c>
      <c r="X943">
        <v>17.2362</v>
      </c>
      <c r="Y943">
        <v>58.891300000000001</v>
      </c>
      <c r="Z943">
        <v>11.005000000000001</v>
      </c>
      <c r="AA943">
        <v>4.7666599999999999</v>
      </c>
      <c r="AB943">
        <v>1.53939</v>
      </c>
      <c r="AC943">
        <v>6.5614299999999997</v>
      </c>
      <c r="AD943">
        <v>1.8657300000000001</v>
      </c>
      <c r="AE943">
        <v>16.509899999999998</v>
      </c>
      <c r="AF943">
        <v>0</v>
      </c>
      <c r="AG943">
        <v>81.888400000000004</v>
      </c>
      <c r="AH943">
        <v>18.018999999999998</v>
      </c>
      <c r="AI943">
        <v>9.1460899999999998E-2</v>
      </c>
      <c r="AJ943">
        <v>1.1877999999999999E-3</v>
      </c>
      <c r="AK943">
        <v>0</v>
      </c>
      <c r="AL943">
        <v>9.4914499999999999E-2</v>
      </c>
      <c r="AM943">
        <v>15.4391</v>
      </c>
      <c r="AN943">
        <v>61.963000000000001</v>
      </c>
      <c r="AO943">
        <v>16.092400000000001</v>
      </c>
      <c r="AP943">
        <v>4.54216</v>
      </c>
      <c r="AQ943">
        <v>1.48594</v>
      </c>
      <c r="AR943">
        <v>0.477497</v>
      </c>
      <c r="AS943">
        <v>0.26558999999999999</v>
      </c>
      <c r="AT943">
        <v>0.53569900000000004</v>
      </c>
      <c r="AU943">
        <v>3.22607</v>
      </c>
      <c r="AV943">
        <v>25.312100000000001</v>
      </c>
      <c r="AW943">
        <v>57.9375</v>
      </c>
      <c r="AX943">
        <v>10.7057</v>
      </c>
      <c r="AY943">
        <v>2.2829600000000001</v>
      </c>
      <c r="AZ943">
        <v>578.94200000000001</v>
      </c>
      <c r="BA943">
        <v>596.99900000000002</v>
      </c>
      <c r="BB943">
        <v>20562</v>
      </c>
      <c r="BC943">
        <v>0.33593899999999999</v>
      </c>
      <c r="BD943">
        <v>7.0080400000000001E-2</v>
      </c>
      <c r="BE943">
        <v>0.288636</v>
      </c>
      <c r="BF943">
        <v>0.63903799999999999</v>
      </c>
      <c r="BG943">
        <v>2.7640199999999999</v>
      </c>
      <c r="BH943">
        <v>12.8378</v>
      </c>
      <c r="BI943">
        <v>83.400400000000005</v>
      </c>
      <c r="BJ943">
        <v>28.493500000000001</v>
      </c>
      <c r="BK943">
        <v>0</v>
      </c>
      <c r="BL943">
        <v>42.569699999999997</v>
      </c>
      <c r="BM943">
        <v>52.122</v>
      </c>
      <c r="BN943">
        <v>3.9090600000000002</v>
      </c>
      <c r="BO943">
        <v>0.77088500000000004</v>
      </c>
      <c r="BP943">
        <v>0.62834800000000002</v>
      </c>
      <c r="BQ943">
        <v>32.439500000000002</v>
      </c>
      <c r="BR943">
        <v>84189</v>
      </c>
    </row>
    <row r="944" spans="1:70" x14ac:dyDescent="0.25">
      <c r="A944">
        <v>55</v>
      </c>
      <c r="B944" s="7">
        <v>46024.557962962965</v>
      </c>
      <c r="C944" t="s">
        <v>210</v>
      </c>
      <c r="D944" s="6" t="s">
        <v>449</v>
      </c>
      <c r="E944" s="6" t="str">
        <f>VLOOKUP(F944,Germplasm!$A$1:$B$21,2,FALSE)</f>
        <v>Bamse</v>
      </c>
      <c r="F944" t="s">
        <v>69</v>
      </c>
      <c r="G944" s="6" t="s">
        <v>113</v>
      </c>
      <c r="H944">
        <v>38928</v>
      </c>
      <c r="I944">
        <v>404.78199999999998</v>
      </c>
      <c r="J944">
        <v>139758</v>
      </c>
      <c r="K944">
        <v>14.3003</v>
      </c>
      <c r="L944">
        <v>56.314599999999999</v>
      </c>
      <c r="M944">
        <v>1538.69</v>
      </c>
      <c r="N944">
        <v>603.37599999999998</v>
      </c>
      <c r="O944">
        <v>18401000</v>
      </c>
      <c r="P944">
        <v>8.1353999999999992E-3</v>
      </c>
      <c r="Q944">
        <v>1.06105</v>
      </c>
      <c r="R944">
        <v>37.215400000000002</v>
      </c>
      <c r="S944">
        <v>60.386400000000002</v>
      </c>
      <c r="T944">
        <v>1.1395599999999999</v>
      </c>
      <c r="U944">
        <v>0.17726500000000001</v>
      </c>
      <c r="V944">
        <v>2.02588E-2</v>
      </c>
      <c r="W944">
        <v>34.671399999999998</v>
      </c>
      <c r="X944">
        <v>19.564900000000002</v>
      </c>
      <c r="Y944">
        <v>62.890900000000002</v>
      </c>
      <c r="Z944">
        <v>8.5086999999999993</v>
      </c>
      <c r="AA944">
        <v>2.1752899999999999</v>
      </c>
      <c r="AB944">
        <v>0.95849499999999999</v>
      </c>
      <c r="AC944">
        <v>5.9016400000000004</v>
      </c>
      <c r="AD944">
        <v>1.94777</v>
      </c>
      <c r="AE944">
        <v>18.696200000000001</v>
      </c>
      <c r="AF944">
        <v>0</v>
      </c>
      <c r="AG944">
        <v>77.578599999999994</v>
      </c>
      <c r="AH944">
        <v>22.259399999999999</v>
      </c>
      <c r="AI944">
        <v>0.16206999999999999</v>
      </c>
      <c r="AJ944">
        <v>0</v>
      </c>
      <c r="AK944">
        <v>0</v>
      </c>
      <c r="AL944">
        <v>6.7536399999999996E-2</v>
      </c>
      <c r="AM944">
        <v>19.1281</v>
      </c>
      <c r="AN944">
        <v>65.744900000000001</v>
      </c>
      <c r="AO944">
        <v>11.850099999999999</v>
      </c>
      <c r="AP944">
        <v>2.4690400000000001</v>
      </c>
      <c r="AQ944">
        <v>0.577376</v>
      </c>
      <c r="AR944">
        <v>0.23044400000000001</v>
      </c>
      <c r="AS944">
        <v>0.26034299999999999</v>
      </c>
      <c r="AT944">
        <v>0.53685799999999995</v>
      </c>
      <c r="AU944">
        <v>3.0388199999999999</v>
      </c>
      <c r="AV944">
        <v>27.0227</v>
      </c>
      <c r="AW944">
        <v>57.299500000000002</v>
      </c>
      <c r="AX944">
        <v>9.4038799999999991</v>
      </c>
      <c r="AY944">
        <v>2.6982200000000001</v>
      </c>
      <c r="AZ944">
        <v>472.69299999999998</v>
      </c>
      <c r="BA944">
        <v>487.79899999999998</v>
      </c>
      <c r="BB944">
        <v>19985.900000000001</v>
      </c>
      <c r="BC944">
        <v>0.34147300000000003</v>
      </c>
      <c r="BD944">
        <v>0.11142299999999999</v>
      </c>
      <c r="BE944">
        <v>0.37478800000000001</v>
      </c>
      <c r="BF944">
        <v>0.72425200000000001</v>
      </c>
      <c r="BG944">
        <v>2.3626800000000001</v>
      </c>
      <c r="BH944">
        <v>10.421900000000001</v>
      </c>
      <c r="BI944">
        <v>86.004999999999995</v>
      </c>
      <c r="BJ944">
        <v>27.3523</v>
      </c>
      <c r="BK944">
        <v>0</v>
      </c>
      <c r="BL944">
        <v>47.6145</v>
      </c>
      <c r="BM944">
        <v>47.019399999999997</v>
      </c>
      <c r="BN944">
        <v>4.0201099999999999</v>
      </c>
      <c r="BO944">
        <v>0.90404899999999999</v>
      </c>
      <c r="BP944">
        <v>0.44189499999999998</v>
      </c>
      <c r="BQ944">
        <v>30.916599999999999</v>
      </c>
      <c r="BR944">
        <v>78978</v>
      </c>
    </row>
    <row r="945" spans="1:70" x14ac:dyDescent="0.25">
      <c r="A945">
        <v>55</v>
      </c>
      <c r="B945" s="7">
        <v>45952.584849537037</v>
      </c>
      <c r="C945" t="s">
        <v>211</v>
      </c>
      <c r="D945" s="6" t="s">
        <v>441</v>
      </c>
      <c r="E945" s="6" t="str">
        <f>VLOOKUP(F945,Germplasm!$A$1:$B$21,2,FALSE)</f>
        <v>Kinnan</v>
      </c>
      <c r="F945" t="s">
        <v>71</v>
      </c>
      <c r="G945" s="6" t="s">
        <v>113</v>
      </c>
      <c r="H945">
        <v>37884.9</v>
      </c>
      <c r="I945">
        <v>234.346</v>
      </c>
      <c r="J945">
        <v>170311</v>
      </c>
      <c r="K945">
        <v>12.929600000000001</v>
      </c>
      <c r="L945">
        <v>81.016099999999994</v>
      </c>
      <c r="M945">
        <v>1587.5</v>
      </c>
      <c r="N945">
        <v>579.84</v>
      </c>
      <c r="O945">
        <v>10209200</v>
      </c>
      <c r="P945">
        <v>0.224302</v>
      </c>
      <c r="Q945">
        <v>0.43469799999999997</v>
      </c>
      <c r="R945">
        <v>4.2340900000000001</v>
      </c>
      <c r="S945">
        <v>21.319700000000001</v>
      </c>
      <c r="T945">
        <v>46.206400000000002</v>
      </c>
      <c r="U945">
        <v>27.633800000000001</v>
      </c>
      <c r="V945">
        <v>0.17128399999999999</v>
      </c>
      <c r="W945">
        <v>116.136</v>
      </c>
      <c r="X945">
        <v>0.934276</v>
      </c>
      <c r="Y945">
        <v>2.1579199999999998</v>
      </c>
      <c r="Z945">
        <v>4.6090999999999998</v>
      </c>
      <c r="AA945">
        <v>18.800999999999998</v>
      </c>
      <c r="AB945">
        <v>35.6556</v>
      </c>
      <c r="AC945">
        <v>37.842100000000002</v>
      </c>
      <c r="AD945">
        <v>1.72044</v>
      </c>
      <c r="AE945">
        <v>7.7609700000000004</v>
      </c>
      <c r="AF945">
        <v>0</v>
      </c>
      <c r="AG945">
        <v>99.754800000000003</v>
      </c>
      <c r="AH945">
        <v>0.22448599999999999</v>
      </c>
      <c r="AI945">
        <v>1.55713E-2</v>
      </c>
      <c r="AJ945">
        <v>5.1904200000000003E-3</v>
      </c>
      <c r="AK945">
        <v>0</v>
      </c>
      <c r="AL945">
        <v>0.506023</v>
      </c>
      <c r="AM945">
        <v>0.49568499999999999</v>
      </c>
      <c r="AN945">
        <v>2.2954599999999998</v>
      </c>
      <c r="AO945">
        <v>5.9897499999999999</v>
      </c>
      <c r="AP945">
        <v>19.063099999999999</v>
      </c>
      <c r="AQ945">
        <v>45.985900000000001</v>
      </c>
      <c r="AR945">
        <v>26.170100000000001</v>
      </c>
      <c r="AS945">
        <v>3.5208999999999997E-2</v>
      </c>
      <c r="AT945">
        <v>7.38727</v>
      </c>
      <c r="AU945">
        <v>35.593299999999999</v>
      </c>
      <c r="AV945">
        <v>42.026899999999998</v>
      </c>
      <c r="AW945">
        <v>11.938000000000001</v>
      </c>
      <c r="AX945">
        <v>2.1228799999999999</v>
      </c>
      <c r="AY945">
        <v>0.93168099999999998</v>
      </c>
      <c r="AZ945">
        <v>269.48</v>
      </c>
      <c r="BA945">
        <v>302.399</v>
      </c>
      <c r="BB945">
        <v>22020.5</v>
      </c>
      <c r="BC945">
        <v>1.5911600000000001E-2</v>
      </c>
      <c r="BD945">
        <v>3.5035400000000001E-2</v>
      </c>
      <c r="BE945">
        <v>0.31661600000000001</v>
      </c>
      <c r="BF945">
        <v>2.9287000000000001</v>
      </c>
      <c r="BG945">
        <v>39.700299999999999</v>
      </c>
      <c r="BH945">
        <v>52.093699999999998</v>
      </c>
      <c r="BI945">
        <v>4.9257099999999996</v>
      </c>
      <c r="BJ945">
        <v>30.632000000000001</v>
      </c>
      <c r="BK945">
        <v>0</v>
      </c>
      <c r="BL945">
        <v>36.002099999999999</v>
      </c>
      <c r="BM945">
        <v>56.006</v>
      </c>
      <c r="BN945">
        <v>7.2497199999999999</v>
      </c>
      <c r="BO945">
        <v>0.60987499999999994</v>
      </c>
      <c r="BP945">
        <v>0.132356</v>
      </c>
      <c r="BQ945">
        <v>35.573099999999997</v>
      </c>
      <c r="BR945">
        <v>77065</v>
      </c>
    </row>
    <row r="946" spans="1:70" x14ac:dyDescent="0.25">
      <c r="A946">
        <v>55</v>
      </c>
      <c r="B946" s="7">
        <v>45959.558599537035</v>
      </c>
      <c r="C946" t="s">
        <v>211</v>
      </c>
      <c r="D946" s="6" t="s">
        <v>442</v>
      </c>
      <c r="E946" s="6" t="str">
        <f>VLOOKUP(F946,Germplasm!$A$1:$B$21,2,FALSE)</f>
        <v>Kinnan</v>
      </c>
      <c r="F946" t="s">
        <v>71</v>
      </c>
      <c r="G946" s="6" t="s">
        <v>113</v>
      </c>
      <c r="H946">
        <v>64927.8</v>
      </c>
      <c r="I946">
        <v>335.685</v>
      </c>
      <c r="J946">
        <v>228795</v>
      </c>
      <c r="K946">
        <v>16.042000000000002</v>
      </c>
      <c r="L946">
        <v>66.655199999999994</v>
      </c>
      <c r="M946">
        <v>1839.86</v>
      </c>
      <c r="N946">
        <v>669.30399999999997</v>
      </c>
      <c r="O946">
        <v>25198100</v>
      </c>
      <c r="P946">
        <v>0.23221600000000001</v>
      </c>
      <c r="Q946">
        <v>0.721252</v>
      </c>
      <c r="R946">
        <v>3.6312600000000002</v>
      </c>
      <c r="S946">
        <v>19.2394</v>
      </c>
      <c r="T946">
        <v>46.0976</v>
      </c>
      <c r="U946">
        <v>29.712</v>
      </c>
      <c r="V946">
        <v>0.59856799999999999</v>
      </c>
      <c r="W946">
        <v>118.381</v>
      </c>
      <c r="X946">
        <v>0.99865599999999999</v>
      </c>
      <c r="Y946">
        <v>2.1825100000000002</v>
      </c>
      <c r="Z946">
        <v>3.7930199999999998</v>
      </c>
      <c r="AA946">
        <v>15.598699999999999</v>
      </c>
      <c r="AB946">
        <v>36.6111</v>
      </c>
      <c r="AC946">
        <v>40.816000000000003</v>
      </c>
      <c r="AD946">
        <v>1.7689900000000001</v>
      </c>
      <c r="AE946">
        <v>6.9958799999999997</v>
      </c>
      <c r="AF946">
        <v>0</v>
      </c>
      <c r="AG946">
        <v>99.672600000000003</v>
      </c>
      <c r="AH946">
        <v>0.32116400000000001</v>
      </c>
      <c r="AI946">
        <v>4.6885299999999998E-3</v>
      </c>
      <c r="AJ946">
        <v>1.56284E-3</v>
      </c>
      <c r="AK946">
        <v>0</v>
      </c>
      <c r="AL946">
        <v>0.51508200000000004</v>
      </c>
      <c r="AM946">
        <v>0.81658500000000001</v>
      </c>
      <c r="AN946">
        <v>3.4280900000000001</v>
      </c>
      <c r="AO946">
        <v>6.4709500000000002</v>
      </c>
      <c r="AP946">
        <v>15.4909</v>
      </c>
      <c r="AQ946">
        <v>40.820599999999999</v>
      </c>
      <c r="AR946">
        <v>32.972799999999999</v>
      </c>
      <c r="AS946">
        <v>2.76759E-2</v>
      </c>
      <c r="AT946">
        <v>7.48367</v>
      </c>
      <c r="AU946">
        <v>39.3125</v>
      </c>
      <c r="AV946">
        <v>39.368000000000002</v>
      </c>
      <c r="AW946">
        <v>10.171799999999999</v>
      </c>
      <c r="AX946">
        <v>2.11531</v>
      </c>
      <c r="AY946">
        <v>1.54878</v>
      </c>
      <c r="AZ946">
        <v>388.09399999999999</v>
      </c>
      <c r="BA946">
        <v>458.4</v>
      </c>
      <c r="BB946">
        <v>36703.300000000003</v>
      </c>
      <c r="BC946">
        <v>1.02539E-2</v>
      </c>
      <c r="BD946">
        <v>8.1267800000000001E-2</v>
      </c>
      <c r="BE946">
        <v>0.51730100000000001</v>
      </c>
      <c r="BF946">
        <v>2.90767</v>
      </c>
      <c r="BG946">
        <v>43.289200000000001</v>
      </c>
      <c r="BH946">
        <v>47.726799999999997</v>
      </c>
      <c r="BI946">
        <v>5.47776</v>
      </c>
      <c r="BJ946">
        <v>31.760200000000001</v>
      </c>
      <c r="BK946">
        <v>0</v>
      </c>
      <c r="BL946">
        <v>33.616700000000002</v>
      </c>
      <c r="BM946">
        <v>57.334400000000002</v>
      </c>
      <c r="BN946">
        <v>7.3195699999999997</v>
      </c>
      <c r="BO946">
        <v>0.88691299999999995</v>
      </c>
      <c r="BP946">
        <v>0.84237200000000001</v>
      </c>
      <c r="BQ946">
        <v>34.468000000000004</v>
      </c>
      <c r="BR946">
        <v>127972</v>
      </c>
    </row>
    <row r="947" spans="1:70" x14ac:dyDescent="0.25">
      <c r="A947">
        <v>55</v>
      </c>
      <c r="B947" s="7">
        <v>45966.52103009259</v>
      </c>
      <c r="C947" t="s">
        <v>211</v>
      </c>
      <c r="D947" s="6" t="s">
        <v>443</v>
      </c>
      <c r="E947" s="6" t="str">
        <f>VLOOKUP(F947,Germplasm!$A$1:$B$21,2,FALSE)</f>
        <v>Kinnan</v>
      </c>
      <c r="F947" t="s">
        <v>71</v>
      </c>
      <c r="G947" s="6" t="s">
        <v>113</v>
      </c>
      <c r="H947">
        <v>70551</v>
      </c>
      <c r="I947">
        <v>456.91</v>
      </c>
      <c r="J947">
        <v>241366</v>
      </c>
      <c r="K947">
        <v>16.647099999999998</v>
      </c>
      <c r="L947">
        <v>87.608699999999999</v>
      </c>
      <c r="M947">
        <v>1869.49</v>
      </c>
      <c r="N947">
        <v>625.74099999999999</v>
      </c>
      <c r="O947">
        <v>37122500</v>
      </c>
      <c r="P947">
        <v>0.22065599999999999</v>
      </c>
      <c r="Q947">
        <v>0.53918500000000003</v>
      </c>
      <c r="R947">
        <v>4.1050300000000002</v>
      </c>
      <c r="S947">
        <v>22.0426</v>
      </c>
      <c r="T947">
        <v>46.755499999999998</v>
      </c>
      <c r="U947">
        <v>26.157399999999999</v>
      </c>
      <c r="V947">
        <v>0.40022000000000002</v>
      </c>
      <c r="W947">
        <v>108.69799999999999</v>
      </c>
      <c r="X947">
        <v>1.4452400000000001</v>
      </c>
      <c r="Y947">
        <v>5.0909899999999997</v>
      </c>
      <c r="Z947">
        <v>7.3672399999999998</v>
      </c>
      <c r="AA947">
        <v>21.481200000000001</v>
      </c>
      <c r="AB947">
        <v>33.447499999999998</v>
      </c>
      <c r="AC947">
        <v>31.1678</v>
      </c>
      <c r="AD947">
        <v>1.75586</v>
      </c>
      <c r="AE947">
        <v>7.3359800000000002</v>
      </c>
      <c r="AF947">
        <v>0</v>
      </c>
      <c r="AG947">
        <v>99.649100000000004</v>
      </c>
      <c r="AH947">
        <v>0.34254899999999999</v>
      </c>
      <c r="AI947">
        <v>4.1689500000000003E-3</v>
      </c>
      <c r="AJ947">
        <v>4.1689500000000003E-3</v>
      </c>
      <c r="AK947">
        <v>0</v>
      </c>
      <c r="AL947">
        <v>0.46480300000000002</v>
      </c>
      <c r="AM947">
        <v>1.34935</v>
      </c>
      <c r="AN947">
        <v>6.76065</v>
      </c>
      <c r="AO947">
        <v>9.5642700000000005</v>
      </c>
      <c r="AP947">
        <v>19.1675</v>
      </c>
      <c r="AQ947">
        <v>40.314500000000002</v>
      </c>
      <c r="AR947">
        <v>22.843800000000002</v>
      </c>
      <c r="AS947">
        <v>9.30927E-2</v>
      </c>
      <c r="AT947">
        <v>4.10433</v>
      </c>
      <c r="AU947">
        <v>31.592300000000002</v>
      </c>
      <c r="AV947">
        <v>38.944299999999998</v>
      </c>
      <c r="AW947">
        <v>16.575800000000001</v>
      </c>
      <c r="AX947">
        <v>6.4729999999999999</v>
      </c>
      <c r="AY947">
        <v>2.3102999999999998</v>
      </c>
      <c r="AZ947">
        <v>526.17899999999997</v>
      </c>
      <c r="BA947">
        <v>577.19899999999996</v>
      </c>
      <c r="BB947">
        <v>40180.300000000003</v>
      </c>
      <c r="BC947">
        <v>6.0183199999999999E-2</v>
      </c>
      <c r="BD947">
        <v>4.3774E-2</v>
      </c>
      <c r="BE947">
        <v>0.330737</v>
      </c>
      <c r="BF947">
        <v>2.1150500000000001</v>
      </c>
      <c r="BG947">
        <v>33.206400000000002</v>
      </c>
      <c r="BH947">
        <v>50.148299999999999</v>
      </c>
      <c r="BI947">
        <v>14.1557</v>
      </c>
      <c r="BJ947">
        <v>32.476799999999997</v>
      </c>
      <c r="BK947">
        <v>0</v>
      </c>
      <c r="BL947">
        <v>32.660299999999999</v>
      </c>
      <c r="BM947">
        <v>56.075899999999997</v>
      </c>
      <c r="BN947">
        <v>9.60318</v>
      </c>
      <c r="BO947">
        <v>1.07281</v>
      </c>
      <c r="BP947">
        <v>0.58782199999999996</v>
      </c>
      <c r="BQ947">
        <v>34.765900000000002</v>
      </c>
      <c r="BR947">
        <v>143921</v>
      </c>
    </row>
    <row r="948" spans="1:70" x14ac:dyDescent="0.25">
      <c r="A948">
        <v>55</v>
      </c>
      <c r="B948" s="7">
        <v>45973.582233796296</v>
      </c>
      <c r="C948" t="s">
        <v>211</v>
      </c>
      <c r="D948" s="6" t="s">
        <v>444</v>
      </c>
      <c r="E948" s="6" t="str">
        <f>VLOOKUP(F948,Germplasm!$A$1:$B$21,2,FALSE)</f>
        <v>Kinnan</v>
      </c>
      <c r="F948" t="s">
        <v>71</v>
      </c>
      <c r="G948" s="6" t="s">
        <v>113</v>
      </c>
      <c r="H948">
        <v>76703</v>
      </c>
      <c r="I948">
        <v>460.31700000000001</v>
      </c>
      <c r="J948">
        <v>251132</v>
      </c>
      <c r="K948">
        <v>16.278199999999998</v>
      </c>
      <c r="L948">
        <v>80.648799999999994</v>
      </c>
      <c r="M948">
        <v>1881.9</v>
      </c>
      <c r="N948">
        <v>665.63499999999999</v>
      </c>
      <c r="O948">
        <v>43543900</v>
      </c>
      <c r="P948">
        <v>0.210504</v>
      </c>
      <c r="Q948">
        <v>0.71048900000000004</v>
      </c>
      <c r="R948">
        <v>6.06386</v>
      </c>
      <c r="S948">
        <v>23.125599999999999</v>
      </c>
      <c r="T948">
        <v>44.439</v>
      </c>
      <c r="U948">
        <v>25.2164</v>
      </c>
      <c r="V948">
        <v>0.44472299999999998</v>
      </c>
      <c r="W948">
        <v>108.544</v>
      </c>
      <c r="X948">
        <v>2.6543199999999998</v>
      </c>
      <c r="Y948">
        <v>5.37608</v>
      </c>
      <c r="Z948">
        <v>5.7433399999999999</v>
      </c>
      <c r="AA948">
        <v>19.670000000000002</v>
      </c>
      <c r="AB948">
        <v>36.582799999999999</v>
      </c>
      <c r="AC948">
        <v>29.973400000000002</v>
      </c>
      <c r="AD948">
        <v>1.8763099999999999</v>
      </c>
      <c r="AE948">
        <v>7.2732700000000001</v>
      </c>
      <c r="AF948">
        <v>0</v>
      </c>
      <c r="AG948">
        <v>99.57</v>
      </c>
      <c r="AH948">
        <v>0.42602600000000002</v>
      </c>
      <c r="AI948">
        <v>4.0065200000000004E-3</v>
      </c>
      <c r="AJ948">
        <v>0</v>
      </c>
      <c r="AK948">
        <v>0</v>
      </c>
      <c r="AL948">
        <v>0.47099299999999999</v>
      </c>
      <c r="AM948">
        <v>1.36355</v>
      </c>
      <c r="AN948">
        <v>6.8237699999999997</v>
      </c>
      <c r="AO948">
        <v>10.248699999999999</v>
      </c>
      <c r="AP948">
        <v>17.2454</v>
      </c>
      <c r="AQ948">
        <v>37.7941</v>
      </c>
      <c r="AR948">
        <v>26.5245</v>
      </c>
      <c r="AS948">
        <v>8.5459400000000005E-2</v>
      </c>
      <c r="AT948">
        <v>3.36815</v>
      </c>
      <c r="AU948">
        <v>31.329599999999999</v>
      </c>
      <c r="AV948">
        <v>43.035299999999999</v>
      </c>
      <c r="AW948">
        <v>16.0488</v>
      </c>
      <c r="AX948">
        <v>4.2035</v>
      </c>
      <c r="AY948">
        <v>2.0146099999999998</v>
      </c>
      <c r="AZ948">
        <v>567.69500000000005</v>
      </c>
      <c r="BA948">
        <v>656.399</v>
      </c>
      <c r="BB948">
        <v>40879.599999999999</v>
      </c>
      <c r="BC948">
        <v>5.1603900000000001E-2</v>
      </c>
      <c r="BD948">
        <v>6.27688E-2</v>
      </c>
      <c r="BE948">
        <v>0.40399000000000002</v>
      </c>
      <c r="BF948">
        <v>2.0339800000000001</v>
      </c>
      <c r="BG948">
        <v>32.197000000000003</v>
      </c>
      <c r="BH948">
        <v>53.294699999999999</v>
      </c>
      <c r="BI948">
        <v>12.0075</v>
      </c>
      <c r="BJ948">
        <v>31.179500000000001</v>
      </c>
      <c r="BK948">
        <v>0</v>
      </c>
      <c r="BL948">
        <v>35.220599999999997</v>
      </c>
      <c r="BM948">
        <v>56.039200000000001</v>
      </c>
      <c r="BN948">
        <v>6.8985500000000002</v>
      </c>
      <c r="BO948">
        <v>1.01966</v>
      </c>
      <c r="BP948">
        <v>0.82200399999999996</v>
      </c>
      <c r="BQ948">
        <v>32.252299999999998</v>
      </c>
      <c r="BR948">
        <v>149756</v>
      </c>
    </row>
    <row r="949" spans="1:70" x14ac:dyDescent="0.25">
      <c r="A949">
        <v>55</v>
      </c>
      <c r="B949" s="7">
        <v>45988.60527777778</v>
      </c>
      <c r="C949" t="s">
        <v>211</v>
      </c>
      <c r="D949" s="6" t="s">
        <v>445</v>
      </c>
      <c r="E949" s="6" t="str">
        <f>VLOOKUP(F949,Germplasm!$A$1:$B$21,2,FALSE)</f>
        <v>Kinnan</v>
      </c>
      <c r="F949" t="s">
        <v>71</v>
      </c>
      <c r="G949" s="6" t="s">
        <v>113</v>
      </c>
      <c r="H949">
        <v>72223.100000000006</v>
      </c>
      <c r="I949">
        <v>469.91199999999998</v>
      </c>
      <c r="J949">
        <v>227159</v>
      </c>
      <c r="K949">
        <v>18.014500000000002</v>
      </c>
      <c r="L949">
        <v>89.4345</v>
      </c>
      <c r="M949">
        <v>1765.98</v>
      </c>
      <c r="N949">
        <v>604.27599999999995</v>
      </c>
      <c r="O949">
        <v>43259700</v>
      </c>
      <c r="P949">
        <v>0.17419799999999999</v>
      </c>
      <c r="Q949">
        <v>0.81918299999999999</v>
      </c>
      <c r="R949">
        <v>8.5354200000000002</v>
      </c>
      <c r="S949">
        <v>30.8689</v>
      </c>
      <c r="T949">
        <v>43.2502</v>
      </c>
      <c r="U949">
        <v>16.2178</v>
      </c>
      <c r="V949">
        <v>0.30843700000000002</v>
      </c>
      <c r="W949">
        <v>95.193200000000004</v>
      </c>
      <c r="X949">
        <v>3.93208</v>
      </c>
      <c r="Y949">
        <v>10.7064</v>
      </c>
      <c r="Z949">
        <v>10.417199999999999</v>
      </c>
      <c r="AA949">
        <v>26.9315</v>
      </c>
      <c r="AB949">
        <v>25.159199999999998</v>
      </c>
      <c r="AC949">
        <v>22.8535</v>
      </c>
      <c r="AD949">
        <v>1.76492</v>
      </c>
      <c r="AE949">
        <v>8.7386800000000004</v>
      </c>
      <c r="AF949">
        <v>0</v>
      </c>
      <c r="AG949">
        <v>98.563900000000004</v>
      </c>
      <c r="AH949">
        <v>1.43407</v>
      </c>
      <c r="AI949">
        <v>1.9899200000000001E-3</v>
      </c>
      <c r="AJ949">
        <v>0</v>
      </c>
      <c r="AK949">
        <v>0</v>
      </c>
      <c r="AL949">
        <v>0.37932100000000002</v>
      </c>
      <c r="AM949">
        <v>2.4960200000000001</v>
      </c>
      <c r="AN949">
        <v>13.0419</v>
      </c>
      <c r="AO949">
        <v>17.069500000000001</v>
      </c>
      <c r="AP949">
        <v>24.541699999999999</v>
      </c>
      <c r="AQ949">
        <v>32.8887</v>
      </c>
      <c r="AR949">
        <v>9.9621899999999997</v>
      </c>
      <c r="AS949">
        <v>0.14796599999999999</v>
      </c>
      <c r="AT949">
        <v>2.0376799999999999</v>
      </c>
      <c r="AU949">
        <v>22.858799999999999</v>
      </c>
      <c r="AV949">
        <v>38.102899999999998</v>
      </c>
      <c r="AW949">
        <v>26.456</v>
      </c>
      <c r="AX949">
        <v>8.0326299999999993</v>
      </c>
      <c r="AY949">
        <v>2.5119400000000001</v>
      </c>
      <c r="AZ949">
        <v>598.97299999999996</v>
      </c>
      <c r="BA949">
        <v>636</v>
      </c>
      <c r="BB949">
        <v>40921.5</v>
      </c>
      <c r="BC949">
        <v>0.111582</v>
      </c>
      <c r="BD949">
        <v>0.11143500000000001</v>
      </c>
      <c r="BE949">
        <v>0.38140099999999999</v>
      </c>
      <c r="BF949">
        <v>1.72393</v>
      </c>
      <c r="BG949">
        <v>22.676400000000001</v>
      </c>
      <c r="BH949">
        <v>49.983400000000003</v>
      </c>
      <c r="BI949">
        <v>25.1234</v>
      </c>
      <c r="BJ949">
        <v>30.977799999999998</v>
      </c>
      <c r="BK949">
        <v>0</v>
      </c>
      <c r="BL949">
        <v>37.055599999999998</v>
      </c>
      <c r="BM949">
        <v>53.2834</v>
      </c>
      <c r="BN949">
        <v>7.8409399999999998</v>
      </c>
      <c r="BO949">
        <v>1.0486899999999999</v>
      </c>
      <c r="BP949">
        <v>0.77142500000000003</v>
      </c>
      <c r="BQ949">
        <v>34.562600000000003</v>
      </c>
      <c r="BR949">
        <v>150760</v>
      </c>
    </row>
    <row r="950" spans="1:70" x14ac:dyDescent="0.25">
      <c r="A950">
        <v>55</v>
      </c>
      <c r="B950" s="7">
        <v>45994.546215277776</v>
      </c>
      <c r="C950" t="s">
        <v>211</v>
      </c>
      <c r="D950" s="6" t="s">
        <v>446</v>
      </c>
      <c r="E950" s="6" t="str">
        <f>VLOOKUP(F950,Germplasm!$A$1:$B$21,2,FALSE)</f>
        <v>Kinnan</v>
      </c>
      <c r="F950" t="s">
        <v>71</v>
      </c>
      <c r="G950" s="6" t="s">
        <v>113</v>
      </c>
      <c r="H950">
        <v>55229.9</v>
      </c>
      <c r="I950">
        <v>499.053</v>
      </c>
      <c r="J950">
        <v>215511</v>
      </c>
      <c r="K950">
        <v>13.739100000000001</v>
      </c>
      <c r="L950">
        <v>70.8095</v>
      </c>
      <c r="M950">
        <v>1780.37</v>
      </c>
      <c r="N950">
        <v>672.84900000000005</v>
      </c>
      <c r="O950">
        <v>35985700</v>
      </c>
      <c r="P950">
        <v>0.16494200000000001</v>
      </c>
      <c r="Q950">
        <v>0.97582199999999997</v>
      </c>
      <c r="R950">
        <v>8.5071200000000005</v>
      </c>
      <c r="S950">
        <v>33.999499999999998</v>
      </c>
      <c r="T950">
        <v>42.487000000000002</v>
      </c>
      <c r="U950">
        <v>13.679399999999999</v>
      </c>
      <c r="V950">
        <v>0.35112500000000002</v>
      </c>
      <c r="W950">
        <v>81.410700000000006</v>
      </c>
      <c r="X950">
        <v>4.5765599999999997</v>
      </c>
      <c r="Y950">
        <v>13.9598</v>
      </c>
      <c r="Z950">
        <v>15.4146</v>
      </c>
      <c r="AA950">
        <v>37.115299999999998</v>
      </c>
      <c r="AB950">
        <v>18.619900000000001</v>
      </c>
      <c r="AC950">
        <v>10.3139</v>
      </c>
      <c r="AD950">
        <v>1.8652899999999999</v>
      </c>
      <c r="AE950">
        <v>9.0090800000000009</v>
      </c>
      <c r="AF950">
        <v>0</v>
      </c>
      <c r="AG950">
        <v>99.054000000000002</v>
      </c>
      <c r="AH950">
        <v>0.94428900000000004</v>
      </c>
      <c r="AI950">
        <v>1.7044899999999999E-3</v>
      </c>
      <c r="AJ950">
        <v>0</v>
      </c>
      <c r="AK950">
        <v>0</v>
      </c>
      <c r="AL950">
        <v>0.327407</v>
      </c>
      <c r="AM950">
        <v>3.1558700000000002</v>
      </c>
      <c r="AN950">
        <v>15.606299999999999</v>
      </c>
      <c r="AO950">
        <v>22.8462</v>
      </c>
      <c r="AP950">
        <v>30.777200000000001</v>
      </c>
      <c r="AQ950">
        <v>23.7896</v>
      </c>
      <c r="AR950">
        <v>3.8248799999999998</v>
      </c>
      <c r="AS950">
        <v>0.210483</v>
      </c>
      <c r="AT950">
        <v>0.76361299999999999</v>
      </c>
      <c r="AU950">
        <v>9.39175</v>
      </c>
      <c r="AV950">
        <v>40.105899999999998</v>
      </c>
      <c r="AW950">
        <v>36.707099999999997</v>
      </c>
      <c r="AX950">
        <v>10.1196</v>
      </c>
      <c r="AY950">
        <v>2.9121199999999998</v>
      </c>
      <c r="AZ950">
        <v>651.56200000000001</v>
      </c>
      <c r="BA950">
        <v>709.8</v>
      </c>
      <c r="BB950">
        <v>29609.3</v>
      </c>
      <c r="BC950">
        <v>0.17300299999999999</v>
      </c>
      <c r="BD950">
        <v>3.8351099999999999E-2</v>
      </c>
      <c r="BE950">
        <v>0.16533600000000001</v>
      </c>
      <c r="BF950">
        <v>0.749977</v>
      </c>
      <c r="BG950">
        <v>9.2008500000000009</v>
      </c>
      <c r="BH950">
        <v>54.878700000000002</v>
      </c>
      <c r="BI950">
        <v>34.966799999999999</v>
      </c>
      <c r="BJ950">
        <v>32.392499999999998</v>
      </c>
      <c r="BK950">
        <v>0</v>
      </c>
      <c r="BL950">
        <v>33.250399999999999</v>
      </c>
      <c r="BM950">
        <v>56.507300000000001</v>
      </c>
      <c r="BN950">
        <v>8.3213299999999997</v>
      </c>
      <c r="BO950">
        <v>1.03633</v>
      </c>
      <c r="BP950">
        <v>0.88463099999999995</v>
      </c>
      <c r="BQ950">
        <v>32.457900000000002</v>
      </c>
      <c r="BR950">
        <v>117337</v>
      </c>
    </row>
    <row r="951" spans="1:70" x14ac:dyDescent="0.25">
      <c r="A951">
        <v>55</v>
      </c>
      <c r="B951" s="7">
        <v>46002.554236111115</v>
      </c>
      <c r="C951" t="s">
        <v>211</v>
      </c>
      <c r="D951" s="6" t="s">
        <v>447</v>
      </c>
      <c r="E951" s="6" t="str">
        <f>VLOOKUP(F951,Germplasm!$A$1:$B$21,2,FALSE)</f>
        <v>Kinnan</v>
      </c>
      <c r="F951" t="s">
        <v>71</v>
      </c>
      <c r="G951" s="6" t="s">
        <v>113</v>
      </c>
      <c r="H951">
        <v>50335.4</v>
      </c>
      <c r="I951">
        <v>521.06799999999998</v>
      </c>
      <c r="J951">
        <v>163942</v>
      </c>
      <c r="K951">
        <v>15.724600000000001</v>
      </c>
      <c r="L951">
        <v>60.119300000000003</v>
      </c>
      <c r="M951">
        <v>1618.95</v>
      </c>
      <c r="N951">
        <v>654.48900000000003</v>
      </c>
      <c r="O951">
        <v>31790100</v>
      </c>
      <c r="P951">
        <v>0.12648599999999999</v>
      </c>
      <c r="Q951">
        <v>0.98455000000000004</v>
      </c>
      <c r="R951">
        <v>13.546099999999999</v>
      </c>
      <c r="S951">
        <v>43.279499999999999</v>
      </c>
      <c r="T951">
        <v>33.027900000000002</v>
      </c>
      <c r="U951">
        <v>8.9196500000000007</v>
      </c>
      <c r="V951">
        <v>0.24235100000000001</v>
      </c>
      <c r="W951">
        <v>78.184700000000007</v>
      </c>
      <c r="X951">
        <v>7.0300700000000003</v>
      </c>
      <c r="Y951">
        <v>21.526599999999998</v>
      </c>
      <c r="Z951">
        <v>16.256399999999999</v>
      </c>
      <c r="AA951">
        <v>21.118600000000001</v>
      </c>
      <c r="AB951">
        <v>14.1084</v>
      </c>
      <c r="AC951">
        <v>19.959900000000001</v>
      </c>
      <c r="AD951">
        <v>1.9525600000000001</v>
      </c>
      <c r="AE951">
        <v>10.180899999999999</v>
      </c>
      <c r="AF951">
        <v>0</v>
      </c>
      <c r="AG951">
        <v>98.069699999999997</v>
      </c>
      <c r="AH951">
        <v>1.9293400000000001</v>
      </c>
      <c r="AI951">
        <v>9.4668300000000003E-4</v>
      </c>
      <c r="AJ951">
        <v>0</v>
      </c>
      <c r="AK951">
        <v>0</v>
      </c>
      <c r="AL951">
        <v>0.274532</v>
      </c>
      <c r="AM951">
        <v>5.0278299999999998</v>
      </c>
      <c r="AN951">
        <v>25.565200000000001</v>
      </c>
      <c r="AO951">
        <v>25.725200000000001</v>
      </c>
      <c r="AP951">
        <v>23.277000000000001</v>
      </c>
      <c r="AQ951">
        <v>15.8437</v>
      </c>
      <c r="AR951">
        <v>4.5611199999999998</v>
      </c>
      <c r="AS951">
        <v>0.198243</v>
      </c>
      <c r="AT951">
        <v>1.74</v>
      </c>
      <c r="AU951">
        <v>18.496300000000002</v>
      </c>
      <c r="AV951">
        <v>29.935099999999998</v>
      </c>
      <c r="AW951">
        <v>32.814900000000002</v>
      </c>
      <c r="AX951">
        <v>14.115</v>
      </c>
      <c r="AY951">
        <v>2.8987400000000001</v>
      </c>
      <c r="AZ951">
        <v>631.56500000000005</v>
      </c>
      <c r="BA951">
        <v>732.59900000000005</v>
      </c>
      <c r="BB951">
        <v>25779.200000000001</v>
      </c>
      <c r="BC951">
        <v>0.18444199999999999</v>
      </c>
      <c r="BD951">
        <v>9.7508300000000006E-2</v>
      </c>
      <c r="BE951">
        <v>0.27359099999999997</v>
      </c>
      <c r="BF951">
        <v>1.68794</v>
      </c>
      <c r="BG951">
        <v>18.176300000000001</v>
      </c>
      <c r="BH951">
        <v>34.3504</v>
      </c>
      <c r="BI951">
        <v>45.414299999999997</v>
      </c>
      <c r="BJ951">
        <v>30.7257</v>
      </c>
      <c r="BK951">
        <v>0</v>
      </c>
      <c r="BL951">
        <v>39.744599999999998</v>
      </c>
      <c r="BM951">
        <v>49.5655</v>
      </c>
      <c r="BN951">
        <v>8.8619000000000003</v>
      </c>
      <c r="BO951">
        <v>1.09626</v>
      </c>
      <c r="BP951">
        <v>0.73178600000000005</v>
      </c>
      <c r="BQ951">
        <v>30.8401</v>
      </c>
      <c r="BR951">
        <v>105632</v>
      </c>
    </row>
    <row r="952" spans="1:70" x14ac:dyDescent="0.25">
      <c r="A952">
        <v>55</v>
      </c>
      <c r="B952" s="7">
        <v>46013.579131944447</v>
      </c>
      <c r="C952" t="s">
        <v>211</v>
      </c>
      <c r="D952" s="6" t="s">
        <v>448</v>
      </c>
      <c r="E952" s="6" t="str">
        <f>VLOOKUP(F952,Germplasm!$A$1:$B$21,2,FALSE)</f>
        <v>Kinnan</v>
      </c>
      <c r="F952" t="s">
        <v>71</v>
      </c>
      <c r="G952" s="6" t="s">
        <v>113</v>
      </c>
      <c r="H952">
        <v>45395.8</v>
      </c>
      <c r="I952">
        <v>545.48900000000003</v>
      </c>
      <c r="J952">
        <v>192092</v>
      </c>
      <c r="K952">
        <v>11.5199</v>
      </c>
      <c r="L952">
        <v>80.143500000000003</v>
      </c>
      <c r="M952">
        <v>1661.04</v>
      </c>
      <c r="N952">
        <v>606.82399999999996</v>
      </c>
      <c r="O952">
        <v>30627000</v>
      </c>
      <c r="P952">
        <v>7.0871199999999995E-2</v>
      </c>
      <c r="Q952">
        <v>1.1467700000000001</v>
      </c>
      <c r="R952">
        <v>22.0535</v>
      </c>
      <c r="S952">
        <v>56.216500000000003</v>
      </c>
      <c r="T952">
        <v>16.4922</v>
      </c>
      <c r="U952">
        <v>3.8450500000000001</v>
      </c>
      <c r="V952">
        <v>0.24601999999999999</v>
      </c>
      <c r="W952">
        <v>65.509500000000003</v>
      </c>
      <c r="X952">
        <v>10.8348</v>
      </c>
      <c r="Y952">
        <v>33.860399999999998</v>
      </c>
      <c r="Z952">
        <v>11.2951</v>
      </c>
      <c r="AA952">
        <v>10.9221</v>
      </c>
      <c r="AB952">
        <v>10.3675</v>
      </c>
      <c r="AC952">
        <v>22.720099999999999</v>
      </c>
      <c r="AD952">
        <v>2.05145</v>
      </c>
      <c r="AE952">
        <v>12.347</v>
      </c>
      <c r="AF952">
        <v>0</v>
      </c>
      <c r="AG952">
        <v>92.560900000000004</v>
      </c>
      <c r="AH952">
        <v>7.3746299999999998</v>
      </c>
      <c r="AI952">
        <v>6.4480899999999994E-2</v>
      </c>
      <c r="AJ952">
        <v>0</v>
      </c>
      <c r="AK952">
        <v>0</v>
      </c>
      <c r="AL952">
        <v>0.192631</v>
      </c>
      <c r="AM952">
        <v>10.1533</v>
      </c>
      <c r="AN952">
        <v>38.700499999999998</v>
      </c>
      <c r="AO952">
        <v>25.934200000000001</v>
      </c>
      <c r="AP952">
        <v>14.250299999999999</v>
      </c>
      <c r="AQ952">
        <v>8.1632899999999999</v>
      </c>
      <c r="AR952">
        <v>2.79847</v>
      </c>
      <c r="AS952">
        <v>0.177006</v>
      </c>
      <c r="AT952">
        <v>1.7618199999999999</v>
      </c>
      <c r="AU952">
        <v>19.872</v>
      </c>
      <c r="AV952">
        <v>33.335599999999999</v>
      </c>
      <c r="AW952">
        <v>32.1432</v>
      </c>
      <c r="AX952">
        <v>10.441000000000001</v>
      </c>
      <c r="AY952">
        <v>2.44631</v>
      </c>
      <c r="AZ952">
        <v>674.66600000000005</v>
      </c>
      <c r="BA952">
        <v>748.19899999999996</v>
      </c>
      <c r="BB952">
        <v>22128.7</v>
      </c>
      <c r="BC952">
        <v>0.199658</v>
      </c>
      <c r="BD952">
        <v>0.115074</v>
      </c>
      <c r="BE952">
        <v>0.43251800000000001</v>
      </c>
      <c r="BF952">
        <v>2.0792600000000001</v>
      </c>
      <c r="BG952">
        <v>19.004999999999999</v>
      </c>
      <c r="BH952">
        <v>27.491700000000002</v>
      </c>
      <c r="BI952">
        <v>50.876399999999997</v>
      </c>
      <c r="BJ952">
        <v>26.234100000000002</v>
      </c>
      <c r="BK952">
        <v>0</v>
      </c>
      <c r="BL952">
        <v>53.628300000000003</v>
      </c>
      <c r="BM952">
        <v>39.421700000000001</v>
      </c>
      <c r="BN952">
        <v>5.3211599999999999</v>
      </c>
      <c r="BO952">
        <v>1.0812999999999999</v>
      </c>
      <c r="BP952">
        <v>0.54759199999999997</v>
      </c>
      <c r="BQ952">
        <v>29.2011</v>
      </c>
      <c r="BR952">
        <v>100805</v>
      </c>
    </row>
    <row r="953" spans="1:70" x14ac:dyDescent="0.25">
      <c r="A953">
        <v>55</v>
      </c>
      <c r="B953" s="7">
        <v>46024.557962962965</v>
      </c>
      <c r="C953" t="s">
        <v>211</v>
      </c>
      <c r="D953" s="6" t="s">
        <v>449</v>
      </c>
      <c r="E953" s="6" t="str">
        <f>VLOOKUP(F953,Germplasm!$A$1:$B$21,2,FALSE)</f>
        <v>Kinnan</v>
      </c>
      <c r="F953" t="s">
        <v>71</v>
      </c>
      <c r="G953" s="6" t="s">
        <v>113</v>
      </c>
      <c r="H953">
        <v>55356.4</v>
      </c>
      <c r="I953">
        <v>553.54</v>
      </c>
      <c r="J953">
        <v>215268</v>
      </c>
      <c r="K953">
        <v>13.6419</v>
      </c>
      <c r="L953">
        <v>87.691699999999997</v>
      </c>
      <c r="M953">
        <v>1782.9</v>
      </c>
      <c r="N953">
        <v>632.48199999999997</v>
      </c>
      <c r="O953">
        <v>35955000</v>
      </c>
      <c r="P953">
        <v>5.6705400000000003E-2</v>
      </c>
      <c r="Q953">
        <v>0.83155800000000002</v>
      </c>
      <c r="R953">
        <v>26.953399999999998</v>
      </c>
      <c r="S953">
        <v>55.685499999999998</v>
      </c>
      <c r="T953">
        <v>13.475</v>
      </c>
      <c r="U953">
        <v>2.9488500000000002</v>
      </c>
      <c r="V953">
        <v>0.1057</v>
      </c>
      <c r="W953">
        <v>54.6995</v>
      </c>
      <c r="X953">
        <v>14.221500000000001</v>
      </c>
      <c r="Y953">
        <v>40.747199999999999</v>
      </c>
      <c r="Z953">
        <v>10.559200000000001</v>
      </c>
      <c r="AA953">
        <v>10.9985</v>
      </c>
      <c r="AB953">
        <v>8.9051799999999997</v>
      </c>
      <c r="AC953">
        <v>14.5684</v>
      </c>
      <c r="AD953">
        <v>1.885</v>
      </c>
      <c r="AE953">
        <v>16.164300000000001</v>
      </c>
      <c r="AF953">
        <v>0</v>
      </c>
      <c r="AG953">
        <v>82.728899999999996</v>
      </c>
      <c r="AH953">
        <v>16.859100000000002</v>
      </c>
      <c r="AI953">
        <v>0.41206300000000001</v>
      </c>
      <c r="AJ953">
        <v>0</v>
      </c>
      <c r="AK953">
        <v>0</v>
      </c>
      <c r="AL953">
        <v>0.15884200000000001</v>
      </c>
      <c r="AM953">
        <v>12.7376</v>
      </c>
      <c r="AN953">
        <v>44.400399999999998</v>
      </c>
      <c r="AO953">
        <v>23.623799999999999</v>
      </c>
      <c r="AP953">
        <v>11.897</v>
      </c>
      <c r="AQ953">
        <v>5.6780499999999998</v>
      </c>
      <c r="AR953">
        <v>1.6631199999999999</v>
      </c>
      <c r="AS953">
        <v>0.20139799999999999</v>
      </c>
      <c r="AT953">
        <v>1.0553399999999999</v>
      </c>
      <c r="AU953">
        <v>12.458500000000001</v>
      </c>
      <c r="AV953">
        <v>36.4754</v>
      </c>
      <c r="AW953">
        <v>38.630699999999997</v>
      </c>
      <c r="AX953">
        <v>8.8135200000000005</v>
      </c>
      <c r="AY953">
        <v>2.5665200000000001</v>
      </c>
      <c r="AZ953">
        <v>649.51900000000001</v>
      </c>
      <c r="BA953">
        <v>721.19899999999996</v>
      </c>
      <c r="BB953">
        <v>29366.7</v>
      </c>
      <c r="BC953">
        <v>0.23620099999999999</v>
      </c>
      <c r="BD953">
        <v>5.5327099999999997E-2</v>
      </c>
      <c r="BE953">
        <v>0.47564800000000002</v>
      </c>
      <c r="BF953">
        <v>1.7110099999999999</v>
      </c>
      <c r="BG953">
        <v>11.2719</v>
      </c>
      <c r="BH953">
        <v>27.369599999999998</v>
      </c>
      <c r="BI953">
        <v>59.116599999999998</v>
      </c>
      <c r="BJ953">
        <v>26.033999999999999</v>
      </c>
      <c r="BK953">
        <v>0</v>
      </c>
      <c r="BL953">
        <v>53.813400000000001</v>
      </c>
      <c r="BM953">
        <v>40.2121</v>
      </c>
      <c r="BN953">
        <v>4.62601</v>
      </c>
      <c r="BO953">
        <v>1.0066200000000001</v>
      </c>
      <c r="BP953">
        <v>0.34187200000000001</v>
      </c>
      <c r="BQ953">
        <v>32.076099999999997</v>
      </c>
      <c r="BR953">
        <v>121098</v>
      </c>
    </row>
  </sheetData>
  <autoFilter ref="A1:BR953" xr:uid="{AE45A67E-100D-466B-AA30-03ED5970C071}">
    <sortState xmlns:xlrd2="http://schemas.microsoft.com/office/spreadsheetml/2017/richdata2" ref="A2:BR323">
      <sortCondition ref="D1:D95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B240-5854-474A-8569-2BAC4671A2F5}">
  <dimension ref="A1:BS10"/>
  <sheetViews>
    <sheetView workbookViewId="0">
      <selection activeCell="G14" sqref="G14"/>
    </sheetView>
  </sheetViews>
  <sheetFormatPr defaultRowHeight="15" x14ac:dyDescent="0.25"/>
  <cols>
    <col min="1" max="1" width="4.42578125" bestFit="1" customWidth="1"/>
    <col min="2" max="2" width="18.28515625" bestFit="1" customWidth="1"/>
    <col min="3" max="3" width="14.85546875" bestFit="1" customWidth="1"/>
    <col min="4" max="4" width="26.28515625" bestFit="1" customWidth="1"/>
    <col min="5" max="5" width="18.140625" customWidth="1"/>
    <col min="6" max="6" width="11.28515625" bestFit="1" customWidth="1"/>
    <col min="7" max="7" width="7.28515625" bestFit="1" customWidth="1"/>
    <col min="8" max="8" width="10.5703125" bestFit="1" customWidth="1"/>
  </cols>
  <sheetData>
    <row r="1" spans="1:71" x14ac:dyDescent="0.25">
      <c r="A1" s="3" t="s">
        <v>0</v>
      </c>
      <c r="B1" s="3" t="s">
        <v>1</v>
      </c>
      <c r="C1" s="11" t="s">
        <v>88</v>
      </c>
      <c r="D1" s="11" t="s">
        <v>453</v>
      </c>
      <c r="E1" s="11" t="s">
        <v>705</v>
      </c>
      <c r="F1" s="11" t="s">
        <v>214</v>
      </c>
      <c r="G1" s="3" t="s">
        <v>3</v>
      </c>
      <c r="H1" s="11" t="s">
        <v>2</v>
      </c>
      <c r="I1" s="3" t="s">
        <v>83</v>
      </c>
      <c r="J1" s="3" t="s">
        <v>4</v>
      </c>
      <c r="K1" s="3" t="s">
        <v>84</v>
      </c>
      <c r="L1" s="3" t="s">
        <v>5</v>
      </c>
      <c r="M1" s="3" t="s">
        <v>6</v>
      </c>
      <c r="N1" s="3" t="s">
        <v>7</v>
      </c>
      <c r="O1" s="3" t="s">
        <v>8</v>
      </c>
      <c r="P1" s="3" t="s">
        <v>85</v>
      </c>
      <c r="Q1" s="3" t="s">
        <v>9</v>
      </c>
      <c r="R1" s="3" t="s">
        <v>10</v>
      </c>
      <c r="S1" s="3" t="s">
        <v>11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20</v>
      </c>
      <c r="AC1" s="3" t="s">
        <v>21</v>
      </c>
      <c r="AD1" s="3" t="s">
        <v>22</v>
      </c>
      <c r="AE1" s="3" t="s">
        <v>23</v>
      </c>
      <c r="AF1" s="3" t="s">
        <v>24</v>
      </c>
      <c r="AG1" s="3" t="s">
        <v>25</v>
      </c>
      <c r="AH1" s="3" t="s">
        <v>26</v>
      </c>
      <c r="AI1" s="3" t="s">
        <v>27</v>
      </c>
      <c r="AJ1" s="3" t="s">
        <v>28</v>
      </c>
      <c r="AK1" s="3" t="s">
        <v>29</v>
      </c>
      <c r="AL1" s="3" t="s">
        <v>30</v>
      </c>
      <c r="AM1" s="3" t="s">
        <v>31</v>
      </c>
      <c r="AN1" s="3" t="s">
        <v>32</v>
      </c>
      <c r="AO1" s="3" t="s">
        <v>33</v>
      </c>
      <c r="AP1" s="3" t="s">
        <v>34</v>
      </c>
      <c r="AQ1" s="3" t="s">
        <v>35</v>
      </c>
      <c r="AR1" s="3" t="s">
        <v>36</v>
      </c>
      <c r="AS1" s="3" t="s">
        <v>37</v>
      </c>
      <c r="AT1" s="3" t="s">
        <v>38</v>
      </c>
      <c r="AU1" s="3" t="s">
        <v>39</v>
      </c>
      <c r="AV1" s="3" t="s">
        <v>40</v>
      </c>
      <c r="AW1" s="3" t="s">
        <v>41</v>
      </c>
      <c r="AX1" s="3" t="s">
        <v>42</v>
      </c>
      <c r="AY1" s="3" t="s">
        <v>43</v>
      </c>
      <c r="AZ1" s="3" t="s">
        <v>44</v>
      </c>
      <c r="BA1" s="3" t="s">
        <v>45</v>
      </c>
      <c r="BB1" s="3" t="s">
        <v>46</v>
      </c>
      <c r="BC1" s="3" t="s">
        <v>47</v>
      </c>
      <c r="BD1" s="3" t="s">
        <v>48</v>
      </c>
      <c r="BE1" s="3" t="s">
        <v>49</v>
      </c>
      <c r="BF1" s="3" t="s">
        <v>50</v>
      </c>
      <c r="BG1" s="3" t="s">
        <v>51</v>
      </c>
      <c r="BH1" s="3" t="s">
        <v>52</v>
      </c>
      <c r="BI1" s="3" t="s">
        <v>53</v>
      </c>
      <c r="BJ1" s="3" t="s">
        <v>54</v>
      </c>
      <c r="BK1" s="3" t="s">
        <v>55</v>
      </c>
      <c r="BL1" s="3" t="s">
        <v>56</v>
      </c>
      <c r="BM1" s="3" t="s">
        <v>57</v>
      </c>
      <c r="BN1" s="3" t="s">
        <v>58</v>
      </c>
      <c r="BO1" s="3" t="s">
        <v>59</v>
      </c>
      <c r="BP1" s="3" t="s">
        <v>60</v>
      </c>
      <c r="BQ1" s="3" t="s">
        <v>61</v>
      </c>
      <c r="BR1" s="3" t="s">
        <v>86</v>
      </c>
      <c r="BS1" s="3" t="s">
        <v>87</v>
      </c>
    </row>
    <row r="2" spans="1:71" x14ac:dyDescent="0.25">
      <c r="A2" s="3">
        <v>31</v>
      </c>
      <c r="B2" s="12">
        <v>45952.555254629631</v>
      </c>
      <c r="C2" s="3" t="s">
        <v>133</v>
      </c>
      <c r="D2" s="11" t="s">
        <v>450</v>
      </c>
      <c r="E2" s="14" t="str">
        <f>VLOOKUP(D2,ImgName!$H$2:$I$10,2,FALSE)</f>
        <v>https://helsinkifi.sharepoint.com/:u:/s/NaPPIteam-NaPPICoreMembers/IQD0hI0UsHVAQKPBg5GXaCTVAd9pnEvkpFQZIblma1-F2GU</v>
      </c>
      <c r="F2" s="11" t="str">
        <f>VLOOKUP(G2,Germplasm!$A$1:$B$21,2,FALSE)</f>
        <v>Olve</v>
      </c>
      <c r="G2" s="3" t="s">
        <v>62</v>
      </c>
      <c r="H2" s="11" t="s">
        <v>113</v>
      </c>
      <c r="I2" s="3">
        <v>30114</v>
      </c>
      <c r="J2" s="3">
        <v>268.45499999999998</v>
      </c>
      <c r="K2" s="3">
        <v>117197</v>
      </c>
      <c r="L2" s="3">
        <v>14.3147</v>
      </c>
      <c r="M2" s="3">
        <v>63.055500000000002</v>
      </c>
      <c r="N2" s="3">
        <v>1346.97</v>
      </c>
      <c r="O2" s="3">
        <v>535.12</v>
      </c>
      <c r="P2" s="3">
        <v>10553200</v>
      </c>
      <c r="Q2" s="3">
        <v>0.20250799999999999</v>
      </c>
      <c r="R2" s="3">
        <v>0.49717600000000001</v>
      </c>
      <c r="S2" s="3">
        <v>7.9801799999999998</v>
      </c>
      <c r="T2" s="3">
        <v>26.79</v>
      </c>
      <c r="U2" s="3">
        <v>37.250999999999998</v>
      </c>
      <c r="V2" s="3">
        <v>27.163699999999999</v>
      </c>
      <c r="W2" s="3">
        <v>0.31792199999999998</v>
      </c>
      <c r="X2" s="3">
        <v>118.583</v>
      </c>
      <c r="Y2" s="3">
        <v>2.4300700000000002</v>
      </c>
      <c r="Z2" s="3">
        <v>3.8150599999999999</v>
      </c>
      <c r="AA2" s="3">
        <v>4.6031000000000004</v>
      </c>
      <c r="AB2" s="3">
        <v>13.961499999999999</v>
      </c>
      <c r="AC2" s="3">
        <v>32.436500000000002</v>
      </c>
      <c r="AD2" s="3">
        <v>42.753700000000002</v>
      </c>
      <c r="AE2" s="3">
        <v>1.7950200000000001</v>
      </c>
      <c r="AF2" s="3">
        <v>15.223599999999999</v>
      </c>
      <c r="AG2" s="3">
        <v>0</v>
      </c>
      <c r="AH2" s="3">
        <v>87.900400000000005</v>
      </c>
      <c r="AI2" s="3">
        <v>1.20235</v>
      </c>
      <c r="AJ2" s="3">
        <v>1.8145199999999999</v>
      </c>
      <c r="AK2" s="3">
        <v>9.0827600000000004</v>
      </c>
      <c r="AL2" s="3">
        <v>0</v>
      </c>
      <c r="AM2" s="3">
        <v>0.454347</v>
      </c>
      <c r="AN2" s="3">
        <v>10.975099999999999</v>
      </c>
      <c r="AO2" s="3">
        <v>5.4621700000000004</v>
      </c>
      <c r="AP2" s="3">
        <v>5.5162800000000001</v>
      </c>
      <c r="AQ2" s="3">
        <v>11.5517</v>
      </c>
      <c r="AR2" s="3">
        <v>33.522199999999998</v>
      </c>
      <c r="AS2" s="3">
        <v>32.9726</v>
      </c>
      <c r="AT2" s="3">
        <v>1.71212E-2</v>
      </c>
      <c r="AU2" s="3">
        <v>8.8358600000000003</v>
      </c>
      <c r="AV2" s="3">
        <v>38.7256</v>
      </c>
      <c r="AW2" s="3">
        <v>39.520400000000002</v>
      </c>
      <c r="AX2" s="3">
        <v>9.6137599999999992</v>
      </c>
      <c r="AY2" s="3">
        <v>2.0834000000000001</v>
      </c>
      <c r="AZ2" s="3">
        <v>1.22096</v>
      </c>
      <c r="BA2" s="3">
        <v>350.44299999999998</v>
      </c>
      <c r="BB2" s="3">
        <v>415.2</v>
      </c>
      <c r="BC2" s="3">
        <v>16776.400000000001</v>
      </c>
      <c r="BD2" s="3">
        <v>-7.9694199999999996E-3</v>
      </c>
      <c r="BE2" s="3">
        <v>0.926709</v>
      </c>
      <c r="BF2" s="3">
        <v>0.94531100000000001</v>
      </c>
      <c r="BG2" s="3">
        <v>3.9300600000000001</v>
      </c>
      <c r="BH2" s="3">
        <v>41.759399999999999</v>
      </c>
      <c r="BI2" s="3">
        <v>46.956099999999999</v>
      </c>
      <c r="BJ2" s="3">
        <v>5.4824599999999997</v>
      </c>
      <c r="BK2" s="3">
        <v>32.227200000000003</v>
      </c>
      <c r="BL2" s="3">
        <v>0</v>
      </c>
      <c r="BM2" s="3">
        <v>35.069499999999998</v>
      </c>
      <c r="BN2" s="3">
        <v>54.146500000000003</v>
      </c>
      <c r="BO2" s="3">
        <v>7.7687999999999997</v>
      </c>
      <c r="BP2" s="3">
        <v>1.60145</v>
      </c>
      <c r="BQ2" s="3">
        <v>1.41374</v>
      </c>
      <c r="BR2" s="3">
        <v>33.878500000000003</v>
      </c>
      <c r="BS2" s="3">
        <v>59134</v>
      </c>
    </row>
    <row r="3" spans="1:71" x14ac:dyDescent="0.25">
      <c r="A3" s="3">
        <v>31</v>
      </c>
      <c r="B3" s="12">
        <v>45952.555254629631</v>
      </c>
      <c r="C3" s="3" t="s">
        <v>130</v>
      </c>
      <c r="D3" s="11" t="s">
        <v>450</v>
      </c>
      <c r="E3" s="14" t="str">
        <f>VLOOKUP(D3,ImgName!$H$2:$I$10,2,FALSE)</f>
        <v>https://helsinkifi.sharepoint.com/:u:/s/NaPPIteam-NaPPICoreMembers/IQD0hI0UsHVAQKPBg5GXaCTVAd9pnEvkpFQZIblma1-F2GU</v>
      </c>
      <c r="F3" s="11" t="str">
        <f>VLOOKUP(G3,Germplasm!$A$1:$B$21,2,FALSE)</f>
        <v>Ismena</v>
      </c>
      <c r="G3" s="3" t="s">
        <v>63</v>
      </c>
      <c r="H3" s="11" t="s">
        <v>113</v>
      </c>
      <c r="I3" s="3">
        <v>40164.400000000001</v>
      </c>
      <c r="J3" s="3">
        <v>309.03100000000001</v>
      </c>
      <c r="K3" s="3">
        <v>214025</v>
      </c>
      <c r="L3" s="3">
        <v>10.436400000000001</v>
      </c>
      <c r="M3" s="3">
        <v>78.244100000000003</v>
      </c>
      <c r="N3" s="3">
        <v>1745.11</v>
      </c>
      <c r="O3" s="3">
        <v>636.20000000000005</v>
      </c>
      <c r="P3" s="3">
        <v>14481000</v>
      </c>
      <c r="Q3" s="3">
        <v>0.22941600000000001</v>
      </c>
      <c r="R3" s="3">
        <v>0.52825100000000003</v>
      </c>
      <c r="S3" s="3">
        <v>4.5583799999999997</v>
      </c>
      <c r="T3" s="3">
        <v>20.7193</v>
      </c>
      <c r="U3" s="3">
        <v>43.286299999999997</v>
      </c>
      <c r="V3" s="3">
        <v>30.486899999999999</v>
      </c>
      <c r="W3" s="3">
        <v>0.42083199999999998</v>
      </c>
      <c r="X3" s="3">
        <v>118.58199999999999</v>
      </c>
      <c r="Y3" s="3">
        <v>0.99963299999999999</v>
      </c>
      <c r="Z3" s="3">
        <v>2.1711399999999998</v>
      </c>
      <c r="AA3" s="3">
        <v>3.7925399999999998</v>
      </c>
      <c r="AB3" s="3">
        <v>16.109100000000002</v>
      </c>
      <c r="AC3" s="3">
        <v>36.918199999999999</v>
      </c>
      <c r="AD3" s="3">
        <v>40.009399999999999</v>
      </c>
      <c r="AE3" s="3">
        <v>1.7981499999999999</v>
      </c>
      <c r="AF3" s="3">
        <v>7.0561299999999996</v>
      </c>
      <c r="AG3" s="3">
        <v>0</v>
      </c>
      <c r="AH3" s="3">
        <v>99.590500000000006</v>
      </c>
      <c r="AI3" s="3">
        <v>0.39050200000000002</v>
      </c>
      <c r="AJ3" s="3">
        <v>1.5165100000000001E-2</v>
      </c>
      <c r="AK3" s="3">
        <v>3.7912800000000002E-3</v>
      </c>
      <c r="AL3" s="3">
        <v>0</v>
      </c>
      <c r="AM3" s="3">
        <v>0.50915900000000003</v>
      </c>
      <c r="AN3" s="3">
        <v>1.0881000000000001</v>
      </c>
      <c r="AO3" s="3">
        <v>3.4247899999999998</v>
      </c>
      <c r="AP3" s="3">
        <v>6.4792899999999998</v>
      </c>
      <c r="AQ3" s="3">
        <v>16.436499999999999</v>
      </c>
      <c r="AR3" s="3">
        <v>40.550199999999997</v>
      </c>
      <c r="AS3" s="3">
        <v>32.021099999999997</v>
      </c>
      <c r="AT3" s="3">
        <v>2.78493E-2</v>
      </c>
      <c r="AU3" s="3">
        <v>7.9427300000000001</v>
      </c>
      <c r="AV3" s="3">
        <v>37.732100000000003</v>
      </c>
      <c r="AW3" s="3">
        <v>40.361899999999999</v>
      </c>
      <c r="AX3" s="3">
        <v>10.519500000000001</v>
      </c>
      <c r="AY3" s="3">
        <v>2.1496499999999998</v>
      </c>
      <c r="AZ3" s="3">
        <v>1.29409</v>
      </c>
      <c r="BA3" s="3">
        <v>360.54300000000001</v>
      </c>
      <c r="BB3" s="3">
        <v>422.4</v>
      </c>
      <c r="BC3" s="3">
        <v>22336.400000000001</v>
      </c>
      <c r="BD3" s="3">
        <v>6.8837600000000001E-3</v>
      </c>
      <c r="BE3" s="3">
        <v>8.5935600000000001E-2</v>
      </c>
      <c r="BF3" s="3">
        <v>0.71528800000000003</v>
      </c>
      <c r="BG3" s="3">
        <v>3.6611099999999999</v>
      </c>
      <c r="BH3" s="3">
        <v>41.212499999999999</v>
      </c>
      <c r="BI3" s="3">
        <v>49.535600000000002</v>
      </c>
      <c r="BJ3" s="3">
        <v>4.78965</v>
      </c>
      <c r="BK3" s="3">
        <v>31.370899999999999</v>
      </c>
      <c r="BL3" s="3">
        <v>0</v>
      </c>
      <c r="BM3" s="3">
        <v>34.4071</v>
      </c>
      <c r="BN3" s="3">
        <v>56.784500000000001</v>
      </c>
      <c r="BO3" s="3">
        <v>7.5876099999999997</v>
      </c>
      <c r="BP3" s="3">
        <v>0.92759899999999995</v>
      </c>
      <c r="BQ3" s="3">
        <v>0.29319200000000001</v>
      </c>
      <c r="BR3" s="3">
        <v>33.821899999999999</v>
      </c>
      <c r="BS3" s="3">
        <v>79129</v>
      </c>
    </row>
    <row r="4" spans="1:71" x14ac:dyDescent="0.25">
      <c r="A4" s="3">
        <v>31</v>
      </c>
      <c r="B4" s="12">
        <v>45952.555254629631</v>
      </c>
      <c r="C4" s="3" t="s">
        <v>131</v>
      </c>
      <c r="D4" s="11" t="s">
        <v>450</v>
      </c>
      <c r="E4" s="14" t="str">
        <f>VLOOKUP(D4,ImgName!$H$2:$I$10,2,FALSE)</f>
        <v>https://helsinkifi.sharepoint.com/:u:/s/NaPPIteam-NaPPICoreMembers/IQD0hI0UsHVAQKPBg5GXaCTVAd9pnEvkpFQZIblma1-F2GU</v>
      </c>
      <c r="F4" s="11" t="str">
        <f>VLOOKUP(G4,Germplasm!$A$1:$B$21,2,FALSE)</f>
        <v>Tiril</v>
      </c>
      <c r="G4" s="3" t="s">
        <v>64</v>
      </c>
      <c r="H4" s="11" t="s">
        <v>113</v>
      </c>
      <c r="I4" s="3">
        <v>25529.8</v>
      </c>
      <c r="J4" s="3">
        <v>204.85400000000001</v>
      </c>
      <c r="K4" s="3">
        <v>52173</v>
      </c>
      <c r="L4" s="3">
        <v>28.267800000000001</v>
      </c>
      <c r="M4" s="3">
        <v>63.339399999999998</v>
      </c>
      <c r="N4" s="3">
        <v>878.97699999999998</v>
      </c>
      <c r="O4" s="3">
        <v>323.214</v>
      </c>
      <c r="P4" s="3">
        <v>7213770</v>
      </c>
      <c r="Q4" s="3">
        <v>0.25590000000000002</v>
      </c>
      <c r="R4" s="3">
        <v>0.50231300000000001</v>
      </c>
      <c r="S4" s="3">
        <v>2.92652</v>
      </c>
      <c r="T4" s="3">
        <v>15.248100000000001</v>
      </c>
      <c r="U4" s="3">
        <v>43.522500000000001</v>
      </c>
      <c r="V4" s="3">
        <v>37.306199999999997</v>
      </c>
      <c r="W4" s="3">
        <v>0.494371</v>
      </c>
      <c r="X4" s="3">
        <v>117.358</v>
      </c>
      <c r="Y4" s="3">
        <v>0.74255000000000004</v>
      </c>
      <c r="Z4" s="3">
        <v>1.44936</v>
      </c>
      <c r="AA4" s="3">
        <v>3.03572</v>
      </c>
      <c r="AB4" s="3">
        <v>17.132200000000001</v>
      </c>
      <c r="AC4" s="3">
        <v>41.596699999999998</v>
      </c>
      <c r="AD4" s="3">
        <v>36.043399999999998</v>
      </c>
      <c r="AE4" s="3">
        <v>1.73105</v>
      </c>
      <c r="AF4" s="3">
        <v>6.7096499999999999</v>
      </c>
      <c r="AG4" s="3">
        <v>0</v>
      </c>
      <c r="AH4" s="3">
        <v>99.988100000000003</v>
      </c>
      <c r="AI4" s="3">
        <v>1.1912600000000001E-2</v>
      </c>
      <c r="AJ4" s="3">
        <v>0</v>
      </c>
      <c r="AK4" s="3">
        <v>0</v>
      </c>
      <c r="AL4" s="3">
        <v>0</v>
      </c>
      <c r="AM4" s="3">
        <v>0.54436399999999996</v>
      </c>
      <c r="AN4" s="3">
        <v>0.25612000000000001</v>
      </c>
      <c r="AO4" s="3">
        <v>1.4235500000000001</v>
      </c>
      <c r="AP4" s="3">
        <v>3.6234000000000002</v>
      </c>
      <c r="AQ4" s="3">
        <v>13.659700000000001</v>
      </c>
      <c r="AR4" s="3">
        <v>44.328600000000002</v>
      </c>
      <c r="AS4" s="3">
        <v>36.708599999999997</v>
      </c>
      <c r="AT4" s="3">
        <v>4.1831899999999998E-2</v>
      </c>
      <c r="AU4" s="3">
        <v>7.4949899999999996</v>
      </c>
      <c r="AV4" s="3">
        <v>34.760899999999999</v>
      </c>
      <c r="AW4" s="3">
        <v>41.195599999999999</v>
      </c>
      <c r="AX4" s="3">
        <v>12.589600000000001</v>
      </c>
      <c r="AY4" s="3">
        <v>2.4778099999999998</v>
      </c>
      <c r="AZ4" s="3">
        <v>1.4811300000000001</v>
      </c>
      <c r="BA4" s="3">
        <v>282.56299999999999</v>
      </c>
      <c r="BB4" s="3">
        <v>288.60000000000002</v>
      </c>
      <c r="BC4" s="3">
        <v>14748.2</v>
      </c>
      <c r="BD4" s="3">
        <v>1.1736999999999999E-2</v>
      </c>
      <c r="BE4" s="3">
        <v>1.3898000000000001E-2</v>
      </c>
      <c r="BF4" s="3">
        <v>0.32561000000000001</v>
      </c>
      <c r="BG4" s="3">
        <v>3.2163900000000001</v>
      </c>
      <c r="BH4" s="3">
        <v>38.6999</v>
      </c>
      <c r="BI4" s="3">
        <v>53.9818</v>
      </c>
      <c r="BJ4" s="3">
        <v>3.7623799999999998</v>
      </c>
      <c r="BK4" s="3">
        <v>33.9056</v>
      </c>
      <c r="BL4" s="3">
        <v>0</v>
      </c>
      <c r="BM4" s="3">
        <v>27.476299999999998</v>
      </c>
      <c r="BN4" s="3">
        <v>60.694499999999998</v>
      </c>
      <c r="BO4" s="3">
        <v>10.3977</v>
      </c>
      <c r="BP4" s="3">
        <v>1.0344100000000001</v>
      </c>
      <c r="BQ4" s="3">
        <v>0.39708500000000002</v>
      </c>
      <c r="BR4" s="3">
        <v>35.307600000000001</v>
      </c>
      <c r="BS4" s="3">
        <v>50367</v>
      </c>
    </row>
    <row r="5" spans="1:71" x14ac:dyDescent="0.25">
      <c r="A5" s="3">
        <v>31</v>
      </c>
      <c r="B5" s="12">
        <v>45952.555254629631</v>
      </c>
      <c r="C5" s="3" t="s">
        <v>132</v>
      </c>
      <c r="D5" s="11" t="s">
        <v>450</v>
      </c>
      <c r="E5" s="14" t="str">
        <f>VLOOKUP(D5,ImgName!$H$2:$I$10,2,FALSE)</f>
        <v>https://helsinkifi.sharepoint.com/:u:/s/NaPPIteam-NaPPICoreMembers/IQD0hI0UsHVAQKPBg5GXaCTVAd9pnEvkpFQZIblma1-F2GU</v>
      </c>
      <c r="F5" s="11" t="str">
        <f>VLOOKUP(G5,Germplasm!$A$1:$B$21,2,FALSE)</f>
        <v>Sunnita</v>
      </c>
      <c r="G5" s="3" t="s">
        <v>65</v>
      </c>
      <c r="H5" s="11" t="s">
        <v>113</v>
      </c>
      <c r="I5" s="3">
        <v>25279.9</v>
      </c>
      <c r="J5" s="3">
        <v>316.49799999999999</v>
      </c>
      <c r="K5" s="3">
        <v>105862</v>
      </c>
      <c r="L5" s="3">
        <v>13.2074</v>
      </c>
      <c r="M5" s="3">
        <v>64.130499999999998</v>
      </c>
      <c r="N5" s="3">
        <v>1258.47</v>
      </c>
      <c r="O5" s="3">
        <v>464.11399999999998</v>
      </c>
      <c r="P5" s="3">
        <v>10683200</v>
      </c>
      <c r="Q5" s="3">
        <v>0.21584200000000001</v>
      </c>
      <c r="R5" s="3">
        <v>0.66260600000000003</v>
      </c>
      <c r="S5" s="3">
        <v>5.0746900000000004</v>
      </c>
      <c r="T5" s="3">
        <v>23.215</v>
      </c>
      <c r="U5" s="3">
        <v>44.418399999999998</v>
      </c>
      <c r="V5" s="3">
        <v>26.264199999999999</v>
      </c>
      <c r="W5" s="3">
        <v>0.36502899999999999</v>
      </c>
      <c r="X5" s="3">
        <v>122.66800000000001</v>
      </c>
      <c r="Y5" s="3">
        <v>1.0613600000000001</v>
      </c>
      <c r="Z5" s="3">
        <v>1.9282999999999999</v>
      </c>
      <c r="AA5" s="3">
        <v>3.5709300000000002</v>
      </c>
      <c r="AB5" s="3">
        <v>13.7263</v>
      </c>
      <c r="AC5" s="3">
        <v>33.955599999999997</v>
      </c>
      <c r="AD5" s="3">
        <v>45.7575</v>
      </c>
      <c r="AE5" s="3">
        <v>1.8080799999999999</v>
      </c>
      <c r="AF5" s="3">
        <v>6.3531899999999997</v>
      </c>
      <c r="AG5" s="3">
        <v>0</v>
      </c>
      <c r="AH5" s="3">
        <v>99.870999999999995</v>
      </c>
      <c r="AI5" s="3">
        <v>0.11308</v>
      </c>
      <c r="AJ5" s="3">
        <v>1.5870800000000001E-2</v>
      </c>
      <c r="AK5" s="3">
        <v>0</v>
      </c>
      <c r="AL5" s="3">
        <v>0</v>
      </c>
      <c r="AM5" s="3">
        <v>0.50931899999999997</v>
      </c>
      <c r="AN5" s="3">
        <v>0.56341399999999997</v>
      </c>
      <c r="AO5" s="3">
        <v>3.26939</v>
      </c>
      <c r="AP5" s="3">
        <v>6.8561899999999998</v>
      </c>
      <c r="AQ5" s="3">
        <v>17.493600000000001</v>
      </c>
      <c r="AR5" s="3">
        <v>41.099400000000003</v>
      </c>
      <c r="AS5" s="3">
        <v>30.718</v>
      </c>
      <c r="AT5" s="3">
        <v>6.3903600000000003E-3</v>
      </c>
      <c r="AU5" s="3">
        <v>10.0442</v>
      </c>
      <c r="AV5" s="3">
        <v>40.754300000000001</v>
      </c>
      <c r="AW5" s="3">
        <v>37.2012</v>
      </c>
      <c r="AX5" s="3">
        <v>9.1118299999999994</v>
      </c>
      <c r="AY5" s="3">
        <v>1.9025099999999999</v>
      </c>
      <c r="AZ5" s="3">
        <v>0.98597400000000002</v>
      </c>
      <c r="BA5" s="3">
        <v>422.596</v>
      </c>
      <c r="BB5" s="3">
        <v>520.79999999999995</v>
      </c>
      <c r="BC5" s="3">
        <v>13981.6</v>
      </c>
      <c r="BD5" s="3">
        <v>-8.4827400000000008E-3</v>
      </c>
      <c r="BE5" s="3">
        <v>6.3483200000000004E-2</v>
      </c>
      <c r="BF5" s="3">
        <v>0.84313700000000003</v>
      </c>
      <c r="BG5" s="3">
        <v>4.8148099999999996</v>
      </c>
      <c r="BH5" s="3">
        <v>45.077100000000002</v>
      </c>
      <c r="BI5" s="3">
        <v>44.9422</v>
      </c>
      <c r="BJ5" s="3">
        <v>4.2593300000000003</v>
      </c>
      <c r="BK5" s="3">
        <v>30.1648</v>
      </c>
      <c r="BL5" s="3">
        <v>0</v>
      </c>
      <c r="BM5" s="3">
        <v>37.768599999999999</v>
      </c>
      <c r="BN5" s="3">
        <v>54.766199999999998</v>
      </c>
      <c r="BO5" s="3">
        <v>6.48719</v>
      </c>
      <c r="BP5" s="3">
        <v>0.63284899999999999</v>
      </c>
      <c r="BQ5" s="3">
        <v>0.34519</v>
      </c>
      <c r="BR5" s="3">
        <v>33.593499999999999</v>
      </c>
      <c r="BS5" s="3">
        <v>50407</v>
      </c>
    </row>
    <row r="6" spans="1:71" x14ac:dyDescent="0.25">
      <c r="A6" s="3">
        <v>31</v>
      </c>
      <c r="B6" s="13">
        <v>45988.516157407408</v>
      </c>
      <c r="C6" s="3" t="s">
        <v>133</v>
      </c>
      <c r="D6" s="11" t="s">
        <v>216</v>
      </c>
      <c r="E6" s="14" t="str">
        <f>VLOOKUP(D6,ImgName!$H$2:$I$10,2,FALSE)</f>
        <v>https://helsinkifi.sharepoint.com/:u:/s/NaPPIteam-NaPPICoreMembers/IQBAoapu5hi-QaWcqnTjhAYeAcVUc3P-v1hydeRtnmLvJi0?e=Oi7zSq</v>
      </c>
      <c r="F6" s="11" t="str">
        <f>VLOOKUP(G6,Germplasm!$A$1:$B$21,2,FALSE)</f>
        <v>Olve</v>
      </c>
      <c r="G6" s="3" t="s">
        <v>62</v>
      </c>
      <c r="H6" s="11" t="s">
        <v>113</v>
      </c>
      <c r="I6" s="3">
        <v>39769.9</v>
      </c>
      <c r="J6" s="3">
        <v>484.32</v>
      </c>
      <c r="K6" s="3">
        <v>120703</v>
      </c>
      <c r="L6" s="3">
        <v>18.188099999999999</v>
      </c>
      <c r="M6" s="3">
        <v>72.534499999999994</v>
      </c>
      <c r="N6" s="3">
        <v>1344.84</v>
      </c>
      <c r="O6" s="3">
        <v>490.74</v>
      </c>
      <c r="P6" s="3">
        <v>22503800</v>
      </c>
      <c r="Q6" s="3">
        <v>9.7233600000000003E-2</v>
      </c>
      <c r="R6" s="3">
        <v>0.78948799999999997</v>
      </c>
      <c r="S6" s="3">
        <v>20.749300000000002</v>
      </c>
      <c r="T6" s="3">
        <v>47.297600000000003</v>
      </c>
      <c r="U6" s="3">
        <v>23.317599999999999</v>
      </c>
      <c r="V6" s="3">
        <v>7.5842999999999998</v>
      </c>
      <c r="W6" s="3">
        <v>0.26171499999999998</v>
      </c>
      <c r="X6" s="3">
        <v>64.963899999999995</v>
      </c>
      <c r="Y6" s="3">
        <v>10.703200000000001</v>
      </c>
      <c r="Z6" s="3">
        <v>30.027699999999999</v>
      </c>
      <c r="AA6" s="3">
        <v>14.182499999999999</v>
      </c>
      <c r="AB6" s="3">
        <v>19.415800000000001</v>
      </c>
      <c r="AC6" s="3">
        <v>12.500400000000001</v>
      </c>
      <c r="AD6" s="3">
        <v>13.170400000000001</v>
      </c>
      <c r="AE6" s="3">
        <v>1.81155</v>
      </c>
      <c r="AF6" s="3">
        <v>16.713200000000001</v>
      </c>
      <c r="AG6" s="3">
        <v>0</v>
      </c>
      <c r="AH6" s="3">
        <v>86.762200000000007</v>
      </c>
      <c r="AI6" s="3">
        <v>5.9662300000000004</v>
      </c>
      <c r="AJ6" s="3">
        <v>1.32812</v>
      </c>
      <c r="AK6" s="3">
        <v>5.9434199999999997</v>
      </c>
      <c r="AL6" s="3">
        <v>0</v>
      </c>
      <c r="AM6" s="3">
        <v>0.21649499999999999</v>
      </c>
      <c r="AN6" s="3">
        <v>12.0617</v>
      </c>
      <c r="AO6" s="3">
        <v>33.526600000000002</v>
      </c>
      <c r="AP6" s="3">
        <v>22.921199999999999</v>
      </c>
      <c r="AQ6" s="3">
        <v>15.9505</v>
      </c>
      <c r="AR6" s="3">
        <v>11.1126</v>
      </c>
      <c r="AS6" s="3">
        <v>4.4274300000000002</v>
      </c>
      <c r="AT6" s="3">
        <v>0.21731500000000001</v>
      </c>
      <c r="AU6" s="3">
        <v>1.46604</v>
      </c>
      <c r="AV6" s="3">
        <v>11.321099999999999</v>
      </c>
      <c r="AW6" s="3">
        <v>32.766500000000001</v>
      </c>
      <c r="AX6" s="3">
        <v>38.183199999999999</v>
      </c>
      <c r="AY6" s="3">
        <v>13.708</v>
      </c>
      <c r="AZ6" s="3">
        <v>2.55525</v>
      </c>
      <c r="BA6" s="3">
        <v>565.851</v>
      </c>
      <c r="BB6" s="3">
        <v>610.79999999999995</v>
      </c>
      <c r="BC6" s="3">
        <v>21953.599999999999</v>
      </c>
      <c r="BD6" s="3">
        <v>0.218857</v>
      </c>
      <c r="BE6" s="3">
        <v>0.445241</v>
      </c>
      <c r="BF6" s="3">
        <v>0.42135</v>
      </c>
      <c r="BG6" s="3">
        <v>1.3520099999999999</v>
      </c>
      <c r="BH6" s="3">
        <v>10.5685</v>
      </c>
      <c r="BI6" s="3">
        <v>35.891800000000003</v>
      </c>
      <c r="BJ6" s="3">
        <v>51.321100000000001</v>
      </c>
      <c r="BK6" s="3">
        <v>31.828900000000001</v>
      </c>
      <c r="BL6" s="3">
        <v>0</v>
      </c>
      <c r="BM6" s="3">
        <v>35.463999999999999</v>
      </c>
      <c r="BN6" s="3">
        <v>54.118499999999997</v>
      </c>
      <c r="BO6" s="3">
        <v>7.7276400000000001</v>
      </c>
      <c r="BP6" s="3">
        <v>1.4041399999999999</v>
      </c>
      <c r="BQ6" s="3">
        <v>1.2857700000000001</v>
      </c>
      <c r="BR6" s="3">
        <v>33.5366</v>
      </c>
      <c r="BS6" s="3">
        <v>92085</v>
      </c>
    </row>
    <row r="7" spans="1:71" x14ac:dyDescent="0.25">
      <c r="A7" s="3">
        <v>31</v>
      </c>
      <c r="B7" s="13">
        <v>45994.530671296299</v>
      </c>
      <c r="C7" s="3" t="s">
        <v>133</v>
      </c>
      <c r="D7" s="11" t="s">
        <v>217</v>
      </c>
      <c r="E7" s="14" t="str">
        <f>VLOOKUP(D7,ImgName!$H$2:$I$10,2,FALSE)</f>
        <v>https://helsinkifi.sharepoint.com/:u:/s/NaPPIteam-NaPPICoreMembers/IQCXNPQVX0TbTpSPBKTyHRDAAZxhlxnFMUVDQHE8c-gy-9Y?e=5wuv26</v>
      </c>
      <c r="F7" s="11" t="str">
        <f>VLOOKUP(G7,Germplasm!$A$1:$B$21,2,FALSE)</f>
        <v>Olve</v>
      </c>
      <c r="G7" s="3" t="s">
        <v>62</v>
      </c>
      <c r="H7" s="11" t="s">
        <v>113</v>
      </c>
      <c r="I7" s="3">
        <v>39651.1</v>
      </c>
      <c r="J7" s="3">
        <v>475.93599999999998</v>
      </c>
      <c r="K7" s="3">
        <v>139087</v>
      </c>
      <c r="L7" s="3">
        <v>15.7476</v>
      </c>
      <c r="M7" s="3">
        <v>67.722300000000004</v>
      </c>
      <c r="N7" s="3">
        <v>1443.02</v>
      </c>
      <c r="O7" s="3">
        <v>544.31799999999998</v>
      </c>
      <c r="P7" s="3">
        <v>22010300</v>
      </c>
      <c r="Q7" s="3">
        <v>5.5518600000000001E-2</v>
      </c>
      <c r="R7" s="3">
        <v>0.80579599999999996</v>
      </c>
      <c r="S7" s="3">
        <v>28.943899999999999</v>
      </c>
      <c r="T7" s="3">
        <v>52.963000000000001</v>
      </c>
      <c r="U7" s="3">
        <v>13.641500000000001</v>
      </c>
      <c r="V7" s="3">
        <v>3.50752</v>
      </c>
      <c r="W7" s="3">
        <v>0.138325</v>
      </c>
      <c r="X7" s="3">
        <v>51.3157</v>
      </c>
      <c r="Y7" s="3">
        <v>14.9072</v>
      </c>
      <c r="Z7" s="3">
        <v>40.974899999999998</v>
      </c>
      <c r="AA7" s="3">
        <v>12.908099999999999</v>
      </c>
      <c r="AB7" s="3">
        <v>12.0793</v>
      </c>
      <c r="AC7" s="3">
        <v>6.9579500000000003</v>
      </c>
      <c r="AD7" s="3">
        <v>12.172599999999999</v>
      </c>
      <c r="AE7" s="3">
        <v>1.8103100000000001</v>
      </c>
      <c r="AF7" s="3">
        <v>19.542400000000001</v>
      </c>
      <c r="AG7" s="3">
        <v>0</v>
      </c>
      <c r="AH7" s="3">
        <v>80.712500000000006</v>
      </c>
      <c r="AI7" s="3">
        <v>11.7159</v>
      </c>
      <c r="AJ7" s="3">
        <v>1.4787600000000001</v>
      </c>
      <c r="AK7" s="3">
        <v>6.0928800000000001</v>
      </c>
      <c r="AL7" s="3">
        <v>0</v>
      </c>
      <c r="AM7" s="3">
        <v>0.147864</v>
      </c>
      <c r="AN7" s="3">
        <v>18.366499999999998</v>
      </c>
      <c r="AO7" s="3">
        <v>42.288899999999998</v>
      </c>
      <c r="AP7" s="3">
        <v>21.029800000000002</v>
      </c>
      <c r="AQ7" s="3">
        <v>10.8826</v>
      </c>
      <c r="AR7" s="3">
        <v>4.8249000000000004</v>
      </c>
      <c r="AS7" s="3">
        <v>2.60731</v>
      </c>
      <c r="AT7" s="3">
        <v>0.23705899999999999</v>
      </c>
      <c r="AU7" s="3">
        <v>1.3393299999999999</v>
      </c>
      <c r="AV7" s="3">
        <v>9.5762400000000003</v>
      </c>
      <c r="AW7" s="3">
        <v>28.6782</v>
      </c>
      <c r="AX7" s="3">
        <v>42.984999999999999</v>
      </c>
      <c r="AY7" s="3">
        <v>14.6416</v>
      </c>
      <c r="AZ7" s="3">
        <v>2.7796699999999999</v>
      </c>
      <c r="BA7" s="3">
        <v>555.1</v>
      </c>
      <c r="BB7" s="3">
        <v>614.399</v>
      </c>
      <c r="BC7" s="3">
        <v>21902.9</v>
      </c>
      <c r="BD7" s="3">
        <v>0.26744200000000001</v>
      </c>
      <c r="BE7" s="3">
        <v>0.42156100000000002</v>
      </c>
      <c r="BF7" s="3">
        <v>0.49621300000000002</v>
      </c>
      <c r="BG7" s="3">
        <v>1.37446</v>
      </c>
      <c r="BH7" s="3">
        <v>8.6233400000000007</v>
      </c>
      <c r="BI7" s="3">
        <v>25.887599999999999</v>
      </c>
      <c r="BJ7" s="3">
        <v>63.196800000000003</v>
      </c>
      <c r="BK7" s="3">
        <v>30.930299999999999</v>
      </c>
      <c r="BL7" s="3">
        <v>0</v>
      </c>
      <c r="BM7" s="3">
        <v>37.894399999999997</v>
      </c>
      <c r="BN7" s="3">
        <v>52.833500000000001</v>
      </c>
      <c r="BO7" s="3">
        <v>6.6615399999999996</v>
      </c>
      <c r="BP7" s="3">
        <v>1.40411</v>
      </c>
      <c r="BQ7" s="3">
        <v>1.2064999999999999</v>
      </c>
      <c r="BR7" s="3">
        <v>33.562600000000003</v>
      </c>
      <c r="BS7" s="3">
        <v>91090</v>
      </c>
    </row>
    <row r="8" spans="1:71" x14ac:dyDescent="0.25">
      <c r="A8" s="3">
        <v>31</v>
      </c>
      <c r="B8" s="13">
        <v>46002.579004629632</v>
      </c>
      <c r="C8" s="3" t="s">
        <v>133</v>
      </c>
      <c r="D8" s="11" t="s">
        <v>218</v>
      </c>
      <c r="E8" s="14" t="str">
        <f>VLOOKUP(D8,ImgName!$H$2:$I$10,2,FALSE)</f>
        <v>https://helsinkifi.sharepoint.com/:u:/s/NaPPIteam-NaPPICoreMembers/IQATI2NZ50qsR4lItw1F8Lo-AdvZMq0_4I9zA4vxwNGUnRA?e=3u2aFZ</v>
      </c>
      <c r="F8" s="11" t="str">
        <f>VLOOKUP(G8,Germplasm!$A$1:$B$21,2,FALSE)</f>
        <v>Olve</v>
      </c>
      <c r="G8" s="3" t="s">
        <v>62</v>
      </c>
      <c r="H8" s="11" t="s">
        <v>113</v>
      </c>
      <c r="I8" s="3">
        <v>34381.1</v>
      </c>
      <c r="J8" s="3">
        <v>480.99700000000001</v>
      </c>
      <c r="K8" s="3">
        <v>106245</v>
      </c>
      <c r="L8" s="3">
        <v>18.116900000000001</v>
      </c>
      <c r="M8" s="3">
        <v>65.062299999999993</v>
      </c>
      <c r="N8" s="3">
        <v>1295.58</v>
      </c>
      <c r="O8" s="3">
        <v>500.04300000000001</v>
      </c>
      <c r="P8" s="3">
        <v>19212500</v>
      </c>
      <c r="Q8" s="3">
        <v>3.2397000000000002E-2</v>
      </c>
      <c r="R8" s="3">
        <v>1.1709000000000001</v>
      </c>
      <c r="S8" s="3">
        <v>31.5639</v>
      </c>
      <c r="T8" s="3">
        <v>58.061999999999998</v>
      </c>
      <c r="U8" s="3">
        <v>7.2411799999999999</v>
      </c>
      <c r="V8" s="3">
        <v>1.8913599999999999</v>
      </c>
      <c r="W8" s="3">
        <v>7.0657999999999999E-2</v>
      </c>
      <c r="X8" s="3">
        <v>42.715899999999998</v>
      </c>
      <c r="Y8" s="3">
        <v>16.527699999999999</v>
      </c>
      <c r="Z8" s="3">
        <v>48.198900000000002</v>
      </c>
      <c r="AA8" s="3">
        <v>14.6477</v>
      </c>
      <c r="AB8" s="3">
        <v>7.9338800000000003</v>
      </c>
      <c r="AC8" s="3">
        <v>2.6408399999999999</v>
      </c>
      <c r="AD8" s="3">
        <v>10.0511</v>
      </c>
      <c r="AE8" s="3">
        <v>1.7861800000000001</v>
      </c>
      <c r="AF8" s="3">
        <v>21.193200000000001</v>
      </c>
      <c r="AG8" s="3">
        <v>0</v>
      </c>
      <c r="AH8" s="3">
        <v>78.282799999999995</v>
      </c>
      <c r="AI8" s="3">
        <v>13.355600000000001</v>
      </c>
      <c r="AJ8" s="3">
        <v>1.6491100000000001</v>
      </c>
      <c r="AK8" s="3">
        <v>6.71251</v>
      </c>
      <c r="AL8" s="3">
        <v>0</v>
      </c>
      <c r="AM8" s="3">
        <v>9.7150500000000001E-2</v>
      </c>
      <c r="AN8" s="3">
        <v>22.999199999999998</v>
      </c>
      <c r="AO8" s="3">
        <v>49.888300000000001</v>
      </c>
      <c r="AP8" s="3">
        <v>17.794499999999999</v>
      </c>
      <c r="AQ8" s="3">
        <v>6.2166399999999999</v>
      </c>
      <c r="AR8" s="3">
        <v>2.3228800000000001</v>
      </c>
      <c r="AS8" s="3">
        <v>0.77849999999999997</v>
      </c>
      <c r="AT8" s="3">
        <v>0.259598</v>
      </c>
      <c r="AU8" s="3">
        <v>1.43082</v>
      </c>
      <c r="AV8" s="3">
        <v>6.5106299999999999</v>
      </c>
      <c r="AW8" s="3">
        <v>25.364999999999998</v>
      </c>
      <c r="AX8" s="3">
        <v>48.432299999999998</v>
      </c>
      <c r="AY8" s="3">
        <v>14.8483</v>
      </c>
      <c r="AZ8" s="3">
        <v>3.41303</v>
      </c>
      <c r="BA8" s="3">
        <v>558.81100000000004</v>
      </c>
      <c r="BB8" s="3">
        <v>599.99900000000002</v>
      </c>
      <c r="BC8" s="3">
        <v>19248.400000000001</v>
      </c>
      <c r="BD8" s="3">
        <v>0.30596400000000001</v>
      </c>
      <c r="BE8" s="3">
        <v>0.642231</v>
      </c>
      <c r="BF8" s="3">
        <v>0.719198</v>
      </c>
      <c r="BG8" s="3">
        <v>1.26427</v>
      </c>
      <c r="BH8" s="3">
        <v>5.3132299999999999</v>
      </c>
      <c r="BI8" s="3">
        <v>18.137699999999999</v>
      </c>
      <c r="BJ8" s="3">
        <v>73.923400000000001</v>
      </c>
      <c r="BK8" s="3">
        <v>31.508299999999998</v>
      </c>
      <c r="BL8" s="3">
        <v>0</v>
      </c>
      <c r="BM8" s="3">
        <v>36.392699999999998</v>
      </c>
      <c r="BN8" s="3">
        <v>54.1051</v>
      </c>
      <c r="BO8" s="3">
        <v>6.1914100000000003</v>
      </c>
      <c r="BP8" s="3">
        <v>1.75383</v>
      </c>
      <c r="BQ8" s="3">
        <v>1.5569999999999999</v>
      </c>
      <c r="BR8" s="3">
        <v>34.0732</v>
      </c>
      <c r="BS8" s="3">
        <v>79255</v>
      </c>
    </row>
    <row r="9" spans="1:71" x14ac:dyDescent="0.25">
      <c r="A9" s="3">
        <v>31</v>
      </c>
      <c r="B9" s="13">
        <v>46013.591331018521</v>
      </c>
      <c r="C9" s="3" t="s">
        <v>133</v>
      </c>
      <c r="D9" s="11" t="s">
        <v>219</v>
      </c>
      <c r="E9" s="14" t="str">
        <f>VLOOKUP(D9,ImgName!$H$2:$I$10,2,FALSE)</f>
        <v>https://helsinkifi.sharepoint.com/:u:/s/NaPPIteam-NaPPICoreMembers/IQDSP0xC3TTCToUgl6EDdIqpAbXNRKboGLP2oj-Xf0bb0eg?e=UehBT6</v>
      </c>
      <c r="F9" s="11" t="str">
        <f>VLOOKUP(G9,Germplasm!$A$1:$B$21,2,FALSE)</f>
        <v>Olve</v>
      </c>
      <c r="G9" s="3" t="s">
        <v>62</v>
      </c>
      <c r="H9" s="11" t="s">
        <v>113</v>
      </c>
      <c r="I9" s="3">
        <v>33453.800000000003</v>
      </c>
      <c r="J9" s="3">
        <v>481.358</v>
      </c>
      <c r="K9" s="3">
        <v>131558</v>
      </c>
      <c r="L9" s="3">
        <v>14.1837</v>
      </c>
      <c r="M9" s="3">
        <v>48.966799999999999</v>
      </c>
      <c r="N9" s="3">
        <v>1491.1</v>
      </c>
      <c r="O9" s="3">
        <v>603.40599999999995</v>
      </c>
      <c r="P9" s="3">
        <v>18324600</v>
      </c>
      <c r="Q9" s="3">
        <v>1.1576299999999999E-2</v>
      </c>
      <c r="R9" s="3">
        <v>1.20733</v>
      </c>
      <c r="S9" s="3">
        <v>34.997999999999998</v>
      </c>
      <c r="T9" s="3">
        <v>61.591900000000003</v>
      </c>
      <c r="U9" s="3">
        <v>1.9764600000000001</v>
      </c>
      <c r="V9" s="3">
        <v>0.18704999999999999</v>
      </c>
      <c r="W9" s="3">
        <v>3.92413E-2</v>
      </c>
      <c r="X9" s="3">
        <v>38.085799999999999</v>
      </c>
      <c r="Y9" s="3">
        <v>17.789400000000001</v>
      </c>
      <c r="Z9" s="3">
        <v>53.246600000000001</v>
      </c>
      <c r="AA9" s="3">
        <v>11.1341</v>
      </c>
      <c r="AB9" s="3">
        <v>4.51668</v>
      </c>
      <c r="AC9" s="3">
        <v>1.9306700000000001</v>
      </c>
      <c r="AD9" s="3">
        <v>11.3826</v>
      </c>
      <c r="AE9" s="3">
        <v>1.7928200000000001</v>
      </c>
      <c r="AF9" s="3">
        <v>23.607099999999999</v>
      </c>
      <c r="AG9" s="3">
        <v>0</v>
      </c>
      <c r="AH9" s="3">
        <v>71.417900000000003</v>
      </c>
      <c r="AI9" s="3">
        <v>19.614100000000001</v>
      </c>
      <c r="AJ9" s="3">
        <v>1.91629</v>
      </c>
      <c r="AK9" s="3">
        <v>7.0516699999999997</v>
      </c>
      <c r="AL9" s="3">
        <v>0</v>
      </c>
      <c r="AM9" s="3">
        <v>6.0342899999999998E-2</v>
      </c>
      <c r="AN9" s="3">
        <v>30.149100000000001</v>
      </c>
      <c r="AO9" s="3">
        <v>51.376100000000001</v>
      </c>
      <c r="AP9" s="3">
        <v>13.6691</v>
      </c>
      <c r="AQ9" s="3">
        <v>3.56311</v>
      </c>
      <c r="AR9" s="3">
        <v>0.94179199999999996</v>
      </c>
      <c r="AS9" s="3">
        <v>0.30085000000000001</v>
      </c>
      <c r="AT9" s="3">
        <v>0.23180300000000001</v>
      </c>
      <c r="AU9" s="3">
        <v>1.42577</v>
      </c>
      <c r="AV9" s="3">
        <v>7.0411999999999999</v>
      </c>
      <c r="AW9" s="3">
        <v>31.008500000000002</v>
      </c>
      <c r="AX9" s="3">
        <v>47.679499999999997</v>
      </c>
      <c r="AY9" s="3">
        <v>10.4133</v>
      </c>
      <c r="AZ9" s="3">
        <v>2.4316499999999999</v>
      </c>
      <c r="BA9" s="3">
        <v>547.75699999999995</v>
      </c>
      <c r="BB9" s="3">
        <v>591</v>
      </c>
      <c r="BC9" s="3">
        <v>18659.900000000001</v>
      </c>
      <c r="BD9" s="3">
        <v>0.301954</v>
      </c>
      <c r="BE9" s="3">
        <v>0.56376700000000002</v>
      </c>
      <c r="BF9" s="3">
        <v>0.81491199999999997</v>
      </c>
      <c r="BG9" s="3">
        <v>1.5840399999999999</v>
      </c>
      <c r="BH9" s="3">
        <v>5.5029399999999997</v>
      </c>
      <c r="BI9" s="3">
        <v>17.322399999999998</v>
      </c>
      <c r="BJ9" s="3">
        <v>74.2119</v>
      </c>
      <c r="BK9" s="3">
        <v>28.222000000000001</v>
      </c>
      <c r="BL9" s="3">
        <v>0</v>
      </c>
      <c r="BM9" s="3">
        <v>46.833199999999998</v>
      </c>
      <c r="BN9" s="3">
        <v>46.393700000000003</v>
      </c>
      <c r="BO9" s="3">
        <v>3.9175900000000001</v>
      </c>
      <c r="BP9" s="3">
        <v>1.3852199999999999</v>
      </c>
      <c r="BQ9" s="3">
        <v>1.47024</v>
      </c>
      <c r="BR9" s="3">
        <v>33.928899999999999</v>
      </c>
      <c r="BS9" s="3">
        <v>76450</v>
      </c>
    </row>
    <row r="10" spans="1:71" x14ac:dyDescent="0.25">
      <c r="A10" s="3">
        <v>31</v>
      </c>
      <c r="B10" s="13">
        <v>46024.538738425923</v>
      </c>
      <c r="C10" s="3" t="s">
        <v>133</v>
      </c>
      <c r="D10" s="11" t="s">
        <v>220</v>
      </c>
      <c r="E10" s="14" t="str">
        <f>VLOOKUP(D10,ImgName!$H$2:$I$10,2,FALSE)</f>
        <v>https://helsinkifi.sharepoint.com/:u:/s/NaPPIteam-NaPPICoreMembers/IQA5SAj1kUaHR5ZmSqq4D9WWAbmBzjGIdx3Mavbb_s9E4nc?e=yt4dER</v>
      </c>
      <c r="F10" s="11" t="str">
        <f>VLOOKUP(G10,Germplasm!$A$1:$B$21,2,FALSE)</f>
        <v>Olve</v>
      </c>
      <c r="G10" s="3" t="s">
        <v>62</v>
      </c>
      <c r="H10" s="11" t="s">
        <v>113</v>
      </c>
      <c r="I10" s="3">
        <v>32649.3</v>
      </c>
      <c r="J10" s="3">
        <v>475.41199999999998</v>
      </c>
      <c r="K10" s="3">
        <v>125965</v>
      </c>
      <c r="L10" s="3">
        <v>14.536099999999999</v>
      </c>
      <c r="M10" s="3">
        <v>61.3566</v>
      </c>
      <c r="N10" s="3">
        <v>1377.84</v>
      </c>
      <c r="O10" s="3">
        <v>523.44100000000003</v>
      </c>
      <c r="P10" s="3">
        <v>17792200</v>
      </c>
      <c r="Q10" s="3">
        <v>1.15812E-2</v>
      </c>
      <c r="R10" s="3">
        <v>1.2438</v>
      </c>
      <c r="S10" s="3">
        <v>33.885100000000001</v>
      </c>
      <c r="T10" s="3">
        <v>62.813800000000001</v>
      </c>
      <c r="U10" s="3">
        <v>1.86771</v>
      </c>
      <c r="V10" s="3">
        <v>0.173459</v>
      </c>
      <c r="W10" s="3">
        <v>1.6135799999999999E-2</v>
      </c>
      <c r="X10" s="3">
        <v>38.598399999999998</v>
      </c>
      <c r="Y10" s="3">
        <v>16.4222</v>
      </c>
      <c r="Z10" s="3">
        <v>53.305799999999998</v>
      </c>
      <c r="AA10" s="3">
        <v>10.8688</v>
      </c>
      <c r="AB10" s="3">
        <v>4.4185100000000004</v>
      </c>
      <c r="AC10" s="3">
        <v>2.1621899999999998</v>
      </c>
      <c r="AD10" s="3">
        <v>12.8225</v>
      </c>
      <c r="AE10" s="3">
        <v>1.7830999999999999</v>
      </c>
      <c r="AF10" s="3">
        <v>23.853100000000001</v>
      </c>
      <c r="AG10" s="3">
        <v>0</v>
      </c>
      <c r="AH10" s="3">
        <v>70.187799999999996</v>
      </c>
      <c r="AI10" s="3">
        <v>20.7761</v>
      </c>
      <c r="AJ10" s="3">
        <v>1.97797</v>
      </c>
      <c r="AK10" s="3">
        <v>7.0580499999999997</v>
      </c>
      <c r="AL10" s="3">
        <v>0</v>
      </c>
      <c r="AM10" s="3">
        <v>5.8296899999999999E-2</v>
      </c>
      <c r="AN10" s="3">
        <v>30.612200000000001</v>
      </c>
      <c r="AO10" s="3">
        <v>51.427300000000002</v>
      </c>
      <c r="AP10" s="3">
        <v>13.414199999999999</v>
      </c>
      <c r="AQ10" s="3">
        <v>3.3871600000000002</v>
      </c>
      <c r="AR10" s="3">
        <v>0.88208799999999998</v>
      </c>
      <c r="AS10" s="3">
        <v>0.27699699999999999</v>
      </c>
      <c r="AT10" s="3">
        <v>0.220415</v>
      </c>
      <c r="AU10" s="3">
        <v>1.8946099999999999</v>
      </c>
      <c r="AV10" s="3">
        <v>8.15259</v>
      </c>
      <c r="AW10" s="3">
        <v>32.048299999999998</v>
      </c>
      <c r="AX10" s="3">
        <v>46.243699999999997</v>
      </c>
      <c r="AY10" s="3">
        <v>9.4205900000000007</v>
      </c>
      <c r="AZ10" s="3">
        <v>2.2401800000000001</v>
      </c>
      <c r="BA10" s="3">
        <v>544.947</v>
      </c>
      <c r="BB10" s="3">
        <v>587.399</v>
      </c>
      <c r="BC10" s="3">
        <v>18310.400000000001</v>
      </c>
      <c r="BD10" s="3">
        <v>0.28547600000000001</v>
      </c>
      <c r="BE10" s="3">
        <v>0.76644800000000002</v>
      </c>
      <c r="BF10" s="3">
        <v>1.01386</v>
      </c>
      <c r="BG10" s="3">
        <v>1.97394</v>
      </c>
      <c r="BH10" s="3">
        <v>6.2929399999999998</v>
      </c>
      <c r="BI10" s="3">
        <v>17.353999999999999</v>
      </c>
      <c r="BJ10" s="3">
        <v>72.598799999999997</v>
      </c>
      <c r="BK10" s="3">
        <v>27.632400000000001</v>
      </c>
      <c r="BL10" s="3">
        <v>0</v>
      </c>
      <c r="BM10" s="3">
        <v>48.822800000000001</v>
      </c>
      <c r="BN10" s="3">
        <v>44.825099999999999</v>
      </c>
      <c r="BO10" s="3">
        <v>3.62113</v>
      </c>
      <c r="BP10" s="3">
        <v>1.29355</v>
      </c>
      <c r="BQ10" s="3">
        <v>1.43743</v>
      </c>
      <c r="BR10" s="3">
        <v>34.138800000000003</v>
      </c>
      <c r="BS10" s="3">
        <v>74369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43D07-4468-4B5E-BA9F-3C5215D72C44}">
  <dimension ref="A1:I239"/>
  <sheetViews>
    <sheetView workbookViewId="0">
      <selection activeCell="D6" sqref="D6"/>
    </sheetView>
  </sheetViews>
  <sheetFormatPr defaultRowHeight="15" x14ac:dyDescent="0.25"/>
  <cols>
    <col min="1" max="2" width="18.28515625" bestFit="1" customWidth="1"/>
    <col min="3" max="3" width="26.28515625" bestFit="1" customWidth="1"/>
    <col min="4" max="4" width="44.28515625" customWidth="1"/>
    <col min="5" max="5" width="5.85546875" customWidth="1"/>
    <col min="6" max="6" width="18.28515625" bestFit="1" customWidth="1"/>
    <col min="7" max="7" width="18.28515625" customWidth="1"/>
    <col min="8" max="8" width="29.28515625" customWidth="1"/>
    <col min="9" max="9" width="128.42578125" bestFit="1" customWidth="1"/>
  </cols>
  <sheetData>
    <row r="1" spans="1:9" x14ac:dyDescent="0.25">
      <c r="A1" t="s">
        <v>694</v>
      </c>
      <c r="B1" s="10" t="s">
        <v>695</v>
      </c>
      <c r="C1" t="s">
        <v>453</v>
      </c>
      <c r="E1" t="s">
        <v>454</v>
      </c>
      <c r="F1" t="s">
        <v>455</v>
      </c>
      <c r="I1" s="9"/>
    </row>
    <row r="2" spans="1:9" x14ac:dyDescent="0.25">
      <c r="A2" t="s">
        <v>460</v>
      </c>
      <c r="B2" s="7">
        <v>45952.555254629631</v>
      </c>
      <c r="C2" s="6" t="s">
        <v>450</v>
      </c>
      <c r="D2" t="str">
        <f t="shared" ref="D2:D65" si="0">VLOOKUP(C2,$H$2:$I$10,2,FALSE)</f>
        <v>https://helsinkifi.sharepoint.com/:u:/s/NaPPIteam-NaPPICoreMembers/IQD0hI0UsHVAQKPBg5GXaCTVAd9pnEvkpFQZIblma1-F2GU</v>
      </c>
      <c r="E2" s="6">
        <v>31</v>
      </c>
      <c r="F2" s="8">
        <v>45952.471921296295</v>
      </c>
      <c r="G2" s="8"/>
      <c r="H2" t="s">
        <v>450</v>
      </c>
      <c r="I2" t="s">
        <v>696</v>
      </c>
    </row>
    <row r="3" spans="1:9" x14ac:dyDescent="0.25">
      <c r="A3" t="s">
        <v>483</v>
      </c>
      <c r="B3" s="7">
        <v>45959.510034722218</v>
      </c>
      <c r="C3" s="6" t="s">
        <v>451</v>
      </c>
      <c r="D3" t="str">
        <f t="shared" si="0"/>
        <v>https://helsinkifi.sharepoint.com/:u:/s/NaPPIteam-NaPPICoreMembers/IQBJ-2RdlB1VT7arI8DwuyeTAReTDKV5ANGsFg6TxIKvSTM?e=JOOhD5</v>
      </c>
      <c r="E3" s="6">
        <v>31</v>
      </c>
      <c r="F3" s="8">
        <v>45959.468368055554</v>
      </c>
      <c r="G3" s="8"/>
      <c r="H3" t="s">
        <v>451</v>
      </c>
      <c r="I3" t="s">
        <v>697</v>
      </c>
    </row>
    <row r="4" spans="1:9" x14ac:dyDescent="0.25">
      <c r="A4" t="s">
        <v>532</v>
      </c>
      <c r="B4" s="7">
        <v>45966.573206018518</v>
      </c>
      <c r="C4" s="6" t="s">
        <v>452</v>
      </c>
      <c r="D4" t="str">
        <f t="shared" si="0"/>
        <v>https://helsinkifi.sharepoint.com/:u:/s/NaPPIteam-NaPPICoreMembers/IQB01lYJVRzzS5SAXrbIefqoAc2h2bWs0wYgxkY7nC8YY0Q?e=BEtYzq</v>
      </c>
      <c r="E4" s="6">
        <v>31</v>
      </c>
      <c r="F4" s="8">
        <v>45966.531539351854</v>
      </c>
      <c r="G4" s="8"/>
      <c r="H4" t="s">
        <v>452</v>
      </c>
      <c r="I4" t="s">
        <v>698</v>
      </c>
    </row>
    <row r="5" spans="1:9" x14ac:dyDescent="0.25">
      <c r="A5" t="s">
        <v>534</v>
      </c>
      <c r="B5" s="7">
        <v>45973.546956018516</v>
      </c>
      <c r="C5" s="6" t="s">
        <v>215</v>
      </c>
      <c r="D5" t="str">
        <f t="shared" si="0"/>
        <v>https://helsinkifi.sharepoint.com/:u:/s/NaPPIteam-NaPPICoreMembers/IQCalv-IcIINQq8CHWpbq54fATwkIco1v3tYzRsXUALeJR8?e=Upm4bh</v>
      </c>
      <c r="E5" s="6">
        <v>31</v>
      </c>
      <c r="F5" s="8">
        <v>45973.505289351851</v>
      </c>
      <c r="G5" s="8"/>
      <c r="H5" t="s">
        <v>215</v>
      </c>
      <c r="I5" t="s">
        <v>699</v>
      </c>
    </row>
    <row r="6" spans="1:9" x14ac:dyDescent="0.25">
      <c r="A6" t="s">
        <v>559</v>
      </c>
      <c r="B6" s="7">
        <v>45988.516157407408</v>
      </c>
      <c r="C6" s="6" t="s">
        <v>216</v>
      </c>
      <c r="D6" t="str">
        <f t="shared" si="0"/>
        <v>https://helsinkifi.sharepoint.com/:u:/s/NaPPIteam-NaPPICoreMembers/IQBAoapu5hi-QaWcqnTjhAYeAcVUc3P-v1hydeRtnmLvJi0?e=Oi7zSq</v>
      </c>
      <c r="E6" s="6">
        <v>31</v>
      </c>
      <c r="F6" s="8">
        <v>45988.474490740744</v>
      </c>
      <c r="G6" s="8"/>
      <c r="H6" t="s">
        <v>216</v>
      </c>
      <c r="I6" t="s">
        <v>700</v>
      </c>
    </row>
    <row r="7" spans="1:9" x14ac:dyDescent="0.25">
      <c r="A7" t="s">
        <v>585</v>
      </c>
      <c r="B7" s="7">
        <v>45994.530671296292</v>
      </c>
      <c r="C7" s="6" t="s">
        <v>217</v>
      </c>
      <c r="D7" t="str">
        <f t="shared" si="0"/>
        <v>https://helsinkifi.sharepoint.com/:u:/s/NaPPIteam-NaPPICoreMembers/IQCXNPQVX0TbTpSPBKTyHRDAAZxhlxnFMUVDQHE8c-gy-9Y?e=5wuv26</v>
      </c>
      <c r="E7" s="6">
        <v>31</v>
      </c>
      <c r="F7" s="8">
        <v>45994.489004629628</v>
      </c>
      <c r="G7" s="8"/>
      <c r="H7" t="s">
        <v>217</v>
      </c>
      <c r="I7" t="s">
        <v>701</v>
      </c>
    </row>
    <row r="8" spans="1:9" x14ac:dyDescent="0.25">
      <c r="A8" t="s">
        <v>630</v>
      </c>
      <c r="B8" s="7">
        <v>46002.579004629624</v>
      </c>
      <c r="C8" s="6" t="s">
        <v>218</v>
      </c>
      <c r="D8" t="str">
        <f t="shared" si="0"/>
        <v>https://helsinkifi.sharepoint.com/:u:/s/NaPPIteam-NaPPICoreMembers/IQATI2NZ50qsR4lItw1F8Lo-AdvZMq0_4I9zA4vxwNGUnRA?e=3u2aFZ</v>
      </c>
      <c r="E8" s="6">
        <v>31</v>
      </c>
      <c r="F8" s="8">
        <v>46002.53733796296</v>
      </c>
      <c r="G8" s="8"/>
      <c r="H8" t="s">
        <v>218</v>
      </c>
      <c r="I8" t="s">
        <v>702</v>
      </c>
    </row>
    <row r="9" spans="1:9" x14ac:dyDescent="0.25">
      <c r="A9" t="s">
        <v>657</v>
      </c>
      <c r="B9" s="7">
        <v>46013.591331018513</v>
      </c>
      <c r="C9" s="6" t="s">
        <v>219</v>
      </c>
      <c r="D9" t="str">
        <f t="shared" si="0"/>
        <v>https://helsinkifi.sharepoint.com/:u:/s/NaPPIteam-NaPPICoreMembers/IQDSP0xC3TTCToUgl6EDdIqpAbXNRKboGLP2oj-Xf0bb0eg?e=UehBT6</v>
      </c>
      <c r="E9" s="6">
        <v>31</v>
      </c>
      <c r="F9" s="8">
        <v>46013.549664351849</v>
      </c>
      <c r="G9" s="8"/>
      <c r="H9" t="s">
        <v>219</v>
      </c>
      <c r="I9" t="s">
        <v>703</v>
      </c>
    </row>
    <row r="10" spans="1:9" x14ac:dyDescent="0.25">
      <c r="A10" t="s">
        <v>678</v>
      </c>
      <c r="B10" s="7">
        <v>46024.538738425923</v>
      </c>
      <c r="C10" s="6" t="s">
        <v>220</v>
      </c>
      <c r="D10" t="str">
        <f t="shared" si="0"/>
        <v>https://helsinkifi.sharepoint.com/:u:/s/NaPPIteam-NaPPICoreMembers/IQA5SAj1kUaHR5ZmSqq4D9WWAbmBzjGIdx3Mavbb_s9E4nc?e=yt4dER</v>
      </c>
      <c r="E10" s="6">
        <v>31</v>
      </c>
      <c r="F10" s="8">
        <v>46024.497071759259</v>
      </c>
      <c r="G10" s="8"/>
      <c r="H10" t="s">
        <v>220</v>
      </c>
      <c r="I10" t="s">
        <v>704</v>
      </c>
    </row>
    <row r="11" spans="1:9" x14ac:dyDescent="0.25">
      <c r="A11" t="s">
        <v>459</v>
      </c>
      <c r="B11" s="7">
        <v>45952.554155092592</v>
      </c>
      <c r="C11" t="s">
        <v>221</v>
      </c>
      <c r="D11" t="e">
        <f t="shared" si="0"/>
        <v>#N/A</v>
      </c>
      <c r="E11">
        <v>32</v>
      </c>
      <c r="F11" s="8">
        <v>45952.470821759256</v>
      </c>
      <c r="G11" s="8"/>
    </row>
    <row r="12" spans="1:9" x14ac:dyDescent="0.25">
      <c r="A12" t="s">
        <v>484</v>
      </c>
      <c r="B12" s="7">
        <v>45959.511377314811</v>
      </c>
      <c r="C12" t="s">
        <v>222</v>
      </c>
      <c r="D12" t="e">
        <f t="shared" si="0"/>
        <v>#N/A</v>
      </c>
      <c r="E12">
        <v>32</v>
      </c>
      <c r="F12" s="8">
        <v>45959.469710648147</v>
      </c>
      <c r="G12" s="8"/>
    </row>
    <row r="13" spans="1:9" x14ac:dyDescent="0.25">
      <c r="A13" t="s">
        <v>528</v>
      </c>
      <c r="B13" s="7">
        <v>45966.56695601852</v>
      </c>
      <c r="C13" t="s">
        <v>223</v>
      </c>
      <c r="D13" t="e">
        <f t="shared" si="0"/>
        <v>#N/A</v>
      </c>
      <c r="E13">
        <v>32</v>
      </c>
      <c r="F13" s="8">
        <v>45966.525289351855</v>
      </c>
      <c r="G13" s="8"/>
    </row>
    <row r="14" spans="1:9" x14ac:dyDescent="0.25">
      <c r="A14" t="s">
        <v>533</v>
      </c>
      <c r="B14" s="7">
        <v>45973.545034722221</v>
      </c>
      <c r="C14" t="s">
        <v>224</v>
      </c>
      <c r="D14" t="e">
        <f t="shared" si="0"/>
        <v>#N/A</v>
      </c>
      <c r="E14">
        <v>32</v>
      </c>
      <c r="F14" s="8">
        <v>45973.503368055557</v>
      </c>
      <c r="G14" s="8"/>
    </row>
    <row r="15" spans="1:9" x14ac:dyDescent="0.25">
      <c r="A15" t="s">
        <v>560</v>
      </c>
      <c r="B15" s="7">
        <v>45988.519780092589</v>
      </c>
      <c r="C15" t="s">
        <v>225</v>
      </c>
      <c r="D15" t="e">
        <f t="shared" si="0"/>
        <v>#N/A</v>
      </c>
      <c r="E15">
        <v>32</v>
      </c>
      <c r="F15" s="8">
        <v>45988.478113425925</v>
      </c>
      <c r="G15" s="8"/>
    </row>
    <row r="16" spans="1:9" x14ac:dyDescent="0.25">
      <c r="A16" t="s">
        <v>586</v>
      </c>
      <c r="B16" s="7">
        <v>45994.531909722216</v>
      </c>
      <c r="C16" t="s">
        <v>226</v>
      </c>
      <c r="D16" t="e">
        <f t="shared" si="0"/>
        <v>#N/A</v>
      </c>
      <c r="E16">
        <v>32</v>
      </c>
      <c r="F16" s="8">
        <v>45994.490243055552</v>
      </c>
      <c r="G16" s="8"/>
    </row>
    <row r="17" spans="1:7" x14ac:dyDescent="0.25">
      <c r="A17" t="s">
        <v>587</v>
      </c>
      <c r="B17" s="7">
        <v>45994.532407407401</v>
      </c>
      <c r="C17" t="s">
        <v>227</v>
      </c>
      <c r="D17" t="e">
        <f t="shared" si="0"/>
        <v>#N/A</v>
      </c>
      <c r="E17">
        <v>32</v>
      </c>
      <c r="F17" s="8">
        <v>45994.490740740737</v>
      </c>
      <c r="G17" s="8"/>
    </row>
    <row r="18" spans="1:7" x14ac:dyDescent="0.25">
      <c r="A18" t="s">
        <v>629</v>
      </c>
      <c r="B18" s="7">
        <v>46002.577800925923</v>
      </c>
      <c r="C18" t="s">
        <v>228</v>
      </c>
      <c r="D18" t="e">
        <f t="shared" si="0"/>
        <v>#N/A</v>
      </c>
      <c r="E18">
        <v>32</v>
      </c>
      <c r="F18" s="8">
        <v>46002.536134259259</v>
      </c>
      <c r="G18" s="8"/>
    </row>
    <row r="19" spans="1:7" x14ac:dyDescent="0.25">
      <c r="A19" t="s">
        <v>658</v>
      </c>
      <c r="B19" s="7">
        <v>46013.592499999999</v>
      </c>
      <c r="C19" t="s">
        <v>229</v>
      </c>
      <c r="D19" t="e">
        <f t="shared" si="0"/>
        <v>#N/A</v>
      </c>
      <c r="E19">
        <v>32</v>
      </c>
      <c r="F19" s="8">
        <v>46013.550833333335</v>
      </c>
      <c r="G19" s="8"/>
    </row>
    <row r="20" spans="1:7" x14ac:dyDescent="0.25">
      <c r="A20" t="s">
        <v>679</v>
      </c>
      <c r="B20" s="7">
        <v>46024.540335648147</v>
      </c>
      <c r="C20" t="s">
        <v>230</v>
      </c>
      <c r="D20" t="e">
        <f t="shared" si="0"/>
        <v>#N/A</v>
      </c>
      <c r="E20">
        <v>32</v>
      </c>
      <c r="F20" s="8">
        <v>46024.498668981483</v>
      </c>
      <c r="G20" s="8"/>
    </row>
    <row r="21" spans="1:7" x14ac:dyDescent="0.25">
      <c r="A21" t="s">
        <v>458</v>
      </c>
      <c r="B21" s="7">
        <v>45952.552048611113</v>
      </c>
      <c r="C21" t="s">
        <v>231</v>
      </c>
      <c r="D21" t="e">
        <f t="shared" si="0"/>
        <v>#N/A</v>
      </c>
      <c r="E21">
        <v>33</v>
      </c>
      <c r="F21" s="8">
        <v>45952.468715277777</v>
      </c>
      <c r="G21" s="8"/>
    </row>
    <row r="22" spans="1:7" x14ac:dyDescent="0.25">
      <c r="A22" t="s">
        <v>485</v>
      </c>
      <c r="B22" s="7">
        <v>45959.512916666667</v>
      </c>
      <c r="C22" t="s">
        <v>232</v>
      </c>
      <c r="D22" t="e">
        <f t="shared" si="0"/>
        <v>#N/A</v>
      </c>
      <c r="E22">
        <v>33</v>
      </c>
      <c r="F22" s="8">
        <v>45959.471250000002</v>
      </c>
      <c r="G22" s="8"/>
    </row>
    <row r="23" spans="1:7" x14ac:dyDescent="0.25">
      <c r="A23" t="s">
        <v>529</v>
      </c>
      <c r="B23" s="7">
        <v>45966.568796296291</v>
      </c>
      <c r="C23" t="s">
        <v>233</v>
      </c>
      <c r="D23" t="e">
        <f t="shared" si="0"/>
        <v>#N/A</v>
      </c>
      <c r="E23">
        <v>33</v>
      </c>
      <c r="F23" s="8">
        <v>45966.527129629627</v>
      </c>
      <c r="G23" s="8"/>
    </row>
    <row r="24" spans="1:7" x14ac:dyDescent="0.25">
      <c r="A24" t="s">
        <v>535</v>
      </c>
      <c r="B24" s="7">
        <v>45973.548726851848</v>
      </c>
      <c r="C24" t="s">
        <v>234</v>
      </c>
      <c r="D24" t="e">
        <f t="shared" si="0"/>
        <v>#N/A</v>
      </c>
      <c r="E24">
        <v>33</v>
      </c>
      <c r="F24" s="8">
        <v>45973.507060185184</v>
      </c>
      <c r="G24" s="8"/>
    </row>
    <row r="25" spans="1:7" x14ac:dyDescent="0.25">
      <c r="A25" t="s">
        <v>561</v>
      </c>
      <c r="B25" s="7">
        <v>45988.527881944443</v>
      </c>
      <c r="C25" t="s">
        <v>235</v>
      </c>
      <c r="D25" t="e">
        <f t="shared" si="0"/>
        <v>#N/A</v>
      </c>
      <c r="E25">
        <v>33</v>
      </c>
      <c r="F25" s="8">
        <v>45988.486215277779</v>
      </c>
      <c r="G25" s="8"/>
    </row>
    <row r="26" spans="1:7" x14ac:dyDescent="0.25">
      <c r="A26" t="s">
        <v>588</v>
      </c>
      <c r="B26" s="7">
        <v>45994.534386574072</v>
      </c>
      <c r="C26" t="s">
        <v>236</v>
      </c>
      <c r="D26" t="e">
        <f t="shared" si="0"/>
        <v>#N/A</v>
      </c>
      <c r="E26">
        <v>33</v>
      </c>
      <c r="F26" s="8">
        <v>45994.492719907408</v>
      </c>
      <c r="G26" s="8"/>
    </row>
    <row r="27" spans="1:7" x14ac:dyDescent="0.25">
      <c r="A27" t="s">
        <v>631</v>
      </c>
      <c r="B27" s="7">
        <v>46002.58043981481</v>
      </c>
      <c r="C27" t="s">
        <v>237</v>
      </c>
      <c r="D27" t="e">
        <f t="shared" si="0"/>
        <v>#N/A</v>
      </c>
      <c r="E27">
        <v>33</v>
      </c>
      <c r="F27" s="8">
        <v>46002.538773148146</v>
      </c>
      <c r="G27" s="8"/>
    </row>
    <row r="28" spans="1:7" x14ac:dyDescent="0.25">
      <c r="A28" t="s">
        <v>659</v>
      </c>
      <c r="B28" s="7">
        <v>46013.593865740739</v>
      </c>
      <c r="C28" t="s">
        <v>238</v>
      </c>
      <c r="D28" t="e">
        <f t="shared" si="0"/>
        <v>#N/A</v>
      </c>
      <c r="E28">
        <v>33</v>
      </c>
      <c r="F28" s="8">
        <v>46013.552199074074</v>
      </c>
      <c r="G28" s="8"/>
    </row>
    <row r="29" spans="1:7" x14ac:dyDescent="0.25">
      <c r="A29" t="s">
        <v>680</v>
      </c>
      <c r="B29" s="7">
        <v>46024.54206018518</v>
      </c>
      <c r="C29" t="s">
        <v>239</v>
      </c>
      <c r="D29" t="e">
        <f t="shared" si="0"/>
        <v>#N/A</v>
      </c>
      <c r="E29">
        <v>33</v>
      </c>
      <c r="F29" s="8">
        <v>46024.500393518516</v>
      </c>
      <c r="G29" s="8"/>
    </row>
    <row r="30" spans="1:7" x14ac:dyDescent="0.25">
      <c r="A30" t="s">
        <v>456</v>
      </c>
      <c r="B30" s="7">
        <v>45952.538090277783</v>
      </c>
      <c r="C30" t="s">
        <v>240</v>
      </c>
      <c r="D30" t="e">
        <f t="shared" si="0"/>
        <v>#N/A</v>
      </c>
      <c r="E30">
        <v>34</v>
      </c>
      <c r="F30" s="8">
        <v>45952.454756944448</v>
      </c>
      <c r="G30" s="8"/>
    </row>
    <row r="31" spans="1:7" x14ac:dyDescent="0.25">
      <c r="A31" t="s">
        <v>486</v>
      </c>
      <c r="B31" s="7">
        <v>45959.514710648145</v>
      </c>
      <c r="C31" t="s">
        <v>241</v>
      </c>
      <c r="D31" t="e">
        <f t="shared" si="0"/>
        <v>#N/A</v>
      </c>
      <c r="E31">
        <v>34</v>
      </c>
      <c r="F31" s="8">
        <v>45959.473043981481</v>
      </c>
      <c r="G31" s="8"/>
    </row>
    <row r="32" spans="1:7" x14ac:dyDescent="0.25">
      <c r="A32" t="s">
        <v>530</v>
      </c>
      <c r="B32" s="7">
        <v>45966.5705787037</v>
      </c>
      <c r="C32" t="s">
        <v>242</v>
      </c>
      <c r="D32" t="e">
        <f t="shared" si="0"/>
        <v>#N/A</v>
      </c>
      <c r="E32">
        <v>34</v>
      </c>
      <c r="F32" s="8">
        <v>45966.528912037036</v>
      </c>
      <c r="G32" s="8"/>
    </row>
    <row r="33" spans="1:7" x14ac:dyDescent="0.25">
      <c r="A33" t="s">
        <v>536</v>
      </c>
      <c r="B33" s="7">
        <v>45973.550416666665</v>
      </c>
      <c r="C33" t="s">
        <v>243</v>
      </c>
      <c r="D33" t="e">
        <f t="shared" si="0"/>
        <v>#N/A</v>
      </c>
      <c r="E33">
        <v>34</v>
      </c>
      <c r="F33" s="8">
        <v>45973.508750000001</v>
      </c>
      <c r="G33" s="8"/>
    </row>
    <row r="34" spans="1:7" x14ac:dyDescent="0.25">
      <c r="A34" t="s">
        <v>562</v>
      </c>
      <c r="B34" s="7">
        <v>45988.530023148145</v>
      </c>
      <c r="C34" t="s">
        <v>244</v>
      </c>
      <c r="D34" t="e">
        <f t="shared" si="0"/>
        <v>#N/A</v>
      </c>
      <c r="E34">
        <v>34</v>
      </c>
      <c r="F34" s="8">
        <v>45988.488356481481</v>
      </c>
      <c r="G34" s="8"/>
    </row>
    <row r="35" spans="1:7" x14ac:dyDescent="0.25">
      <c r="A35" t="s">
        <v>589</v>
      </c>
      <c r="B35" s="7">
        <v>45994.535682870366</v>
      </c>
      <c r="C35" t="s">
        <v>245</v>
      </c>
      <c r="D35" t="e">
        <f t="shared" si="0"/>
        <v>#N/A</v>
      </c>
      <c r="E35">
        <v>34</v>
      </c>
      <c r="F35" s="8">
        <v>45994.494016203702</v>
      </c>
      <c r="G35" s="8"/>
    </row>
    <row r="36" spans="1:7" x14ac:dyDescent="0.25">
      <c r="A36" t="s">
        <v>632</v>
      </c>
      <c r="B36" s="7">
        <v>46002.581469907404</v>
      </c>
      <c r="C36" t="s">
        <v>246</v>
      </c>
      <c r="D36" t="e">
        <f t="shared" si="0"/>
        <v>#N/A</v>
      </c>
      <c r="E36">
        <v>34</v>
      </c>
      <c r="F36" s="8">
        <v>46002.539803240739</v>
      </c>
      <c r="G36" s="8"/>
    </row>
    <row r="37" spans="1:7" x14ac:dyDescent="0.25">
      <c r="A37" t="s">
        <v>660</v>
      </c>
      <c r="B37" s="7">
        <v>46013.595173611109</v>
      </c>
      <c r="C37" t="s">
        <v>247</v>
      </c>
      <c r="D37" t="e">
        <f t="shared" si="0"/>
        <v>#N/A</v>
      </c>
      <c r="E37">
        <v>34</v>
      </c>
      <c r="F37" s="8">
        <v>46013.553506944445</v>
      </c>
      <c r="G37" s="8"/>
    </row>
    <row r="38" spans="1:7" x14ac:dyDescent="0.25">
      <c r="A38" t="s">
        <v>681</v>
      </c>
      <c r="B38" s="7">
        <v>46024.544074074074</v>
      </c>
      <c r="C38" t="s">
        <v>248</v>
      </c>
      <c r="D38" t="e">
        <f t="shared" si="0"/>
        <v>#N/A</v>
      </c>
      <c r="E38">
        <v>34</v>
      </c>
      <c r="F38" s="8">
        <v>46024.50240740741</v>
      </c>
      <c r="G38" s="8"/>
    </row>
    <row r="39" spans="1:7" x14ac:dyDescent="0.25">
      <c r="A39" t="s">
        <v>457</v>
      </c>
      <c r="B39" s="7">
        <v>45952.549988425926</v>
      </c>
      <c r="C39" t="s">
        <v>249</v>
      </c>
      <c r="D39" t="e">
        <f t="shared" si="0"/>
        <v>#N/A</v>
      </c>
      <c r="E39">
        <v>35</v>
      </c>
      <c r="F39" s="8">
        <v>45952.46665509259</v>
      </c>
      <c r="G39" s="8"/>
    </row>
    <row r="40" spans="1:7" x14ac:dyDescent="0.25">
      <c r="A40" t="s">
        <v>487</v>
      </c>
      <c r="B40" s="7">
        <v>45959.516863425924</v>
      </c>
      <c r="C40" t="s">
        <v>250</v>
      </c>
      <c r="D40" t="e">
        <f t="shared" si="0"/>
        <v>#N/A</v>
      </c>
      <c r="E40">
        <v>35</v>
      </c>
      <c r="F40" s="8">
        <v>45959.47519675926</v>
      </c>
      <c r="G40" s="8"/>
    </row>
    <row r="41" spans="1:7" x14ac:dyDescent="0.25">
      <c r="A41" t="s">
        <v>531</v>
      </c>
      <c r="B41" s="7">
        <v>45966.572152777779</v>
      </c>
      <c r="C41" t="s">
        <v>251</v>
      </c>
      <c r="D41" t="e">
        <f t="shared" si="0"/>
        <v>#N/A</v>
      </c>
      <c r="E41">
        <v>35</v>
      </c>
      <c r="F41" s="8">
        <v>45966.530486111114</v>
      </c>
      <c r="G41" s="8"/>
    </row>
    <row r="42" spans="1:7" x14ac:dyDescent="0.25">
      <c r="A42" t="s">
        <v>537</v>
      </c>
      <c r="B42" s="7">
        <v>45973.551736111105</v>
      </c>
      <c r="C42" t="s">
        <v>252</v>
      </c>
      <c r="D42" t="e">
        <f t="shared" si="0"/>
        <v>#N/A</v>
      </c>
      <c r="E42">
        <v>35</v>
      </c>
      <c r="F42" s="8">
        <v>45973.510069444441</v>
      </c>
      <c r="G42" s="8"/>
    </row>
    <row r="43" spans="1:7" x14ac:dyDescent="0.25">
      <c r="A43" t="s">
        <v>563</v>
      </c>
      <c r="B43" s="7">
        <v>45988.533020833333</v>
      </c>
      <c r="C43" t="s">
        <v>253</v>
      </c>
      <c r="D43" t="e">
        <f t="shared" si="0"/>
        <v>#N/A</v>
      </c>
      <c r="E43">
        <v>35</v>
      </c>
      <c r="F43" s="8">
        <v>45988.491354166668</v>
      </c>
      <c r="G43" s="8"/>
    </row>
    <row r="44" spans="1:7" x14ac:dyDescent="0.25">
      <c r="A44" t="s">
        <v>590</v>
      </c>
      <c r="B44" s="7">
        <v>45994.536944444444</v>
      </c>
      <c r="C44" t="s">
        <v>254</v>
      </c>
      <c r="D44" t="e">
        <f t="shared" si="0"/>
        <v>#N/A</v>
      </c>
      <c r="E44">
        <v>35</v>
      </c>
      <c r="F44" s="8">
        <v>45994.49527777778</v>
      </c>
      <c r="G44" s="8"/>
    </row>
    <row r="45" spans="1:7" x14ac:dyDescent="0.25">
      <c r="A45" t="s">
        <v>633</v>
      </c>
      <c r="B45" s="7">
        <v>46002.58258101852</v>
      </c>
      <c r="C45" t="s">
        <v>255</v>
      </c>
      <c r="D45" t="e">
        <f t="shared" si="0"/>
        <v>#N/A</v>
      </c>
      <c r="E45">
        <v>35</v>
      </c>
      <c r="F45" s="8">
        <v>46002.540914351855</v>
      </c>
      <c r="G45" s="8"/>
    </row>
    <row r="46" spans="1:7" x14ac:dyDescent="0.25">
      <c r="A46" t="s">
        <v>661</v>
      </c>
      <c r="B46" s="7">
        <v>46013.597025462957</v>
      </c>
      <c r="C46" t="s">
        <v>256</v>
      </c>
      <c r="D46" t="e">
        <f t="shared" si="0"/>
        <v>#N/A</v>
      </c>
      <c r="E46">
        <v>35</v>
      </c>
      <c r="F46" s="8">
        <v>46013.555358796293</v>
      </c>
      <c r="G46" s="8"/>
    </row>
    <row r="47" spans="1:7" x14ac:dyDescent="0.25">
      <c r="A47" t="s">
        <v>682</v>
      </c>
      <c r="B47" s="7">
        <v>46024.545254629629</v>
      </c>
      <c r="C47" t="s">
        <v>257</v>
      </c>
      <c r="D47" t="e">
        <f t="shared" si="0"/>
        <v>#N/A</v>
      </c>
      <c r="E47">
        <v>35</v>
      </c>
      <c r="F47" s="8">
        <v>46024.503587962965</v>
      </c>
      <c r="G47" s="8"/>
    </row>
    <row r="48" spans="1:7" x14ac:dyDescent="0.25">
      <c r="A48" t="s">
        <v>461</v>
      </c>
      <c r="B48" s="7">
        <v>45952.557870370372</v>
      </c>
      <c r="C48" t="s">
        <v>258</v>
      </c>
      <c r="D48" t="e">
        <f t="shared" si="0"/>
        <v>#N/A</v>
      </c>
      <c r="E48">
        <v>36</v>
      </c>
      <c r="F48" s="8">
        <v>45952.474537037036</v>
      </c>
      <c r="G48" s="8"/>
    </row>
    <row r="49" spans="1:7" x14ac:dyDescent="0.25">
      <c r="A49" t="s">
        <v>488</v>
      </c>
      <c r="B49" s="7">
        <v>45959.520949074074</v>
      </c>
      <c r="C49" t="s">
        <v>259</v>
      </c>
      <c r="D49" t="e">
        <f t="shared" si="0"/>
        <v>#N/A</v>
      </c>
      <c r="E49">
        <v>36</v>
      </c>
      <c r="F49" s="8">
        <v>45959.47928240741</v>
      </c>
      <c r="G49" s="8"/>
    </row>
    <row r="50" spans="1:7" x14ac:dyDescent="0.25">
      <c r="A50" t="s">
        <v>527</v>
      </c>
      <c r="B50" s="7">
        <v>45966.557581018518</v>
      </c>
      <c r="C50" t="s">
        <v>260</v>
      </c>
      <c r="D50" t="e">
        <f t="shared" si="0"/>
        <v>#N/A</v>
      </c>
      <c r="E50">
        <v>36</v>
      </c>
      <c r="F50" s="8">
        <v>45966.515914351854</v>
      </c>
      <c r="G50" s="8"/>
    </row>
    <row r="51" spans="1:7" x14ac:dyDescent="0.25">
      <c r="A51" t="s">
        <v>538</v>
      </c>
      <c r="B51" s="7">
        <v>45973.55400462963</v>
      </c>
      <c r="C51" t="s">
        <v>261</v>
      </c>
      <c r="D51" t="e">
        <f t="shared" si="0"/>
        <v>#N/A</v>
      </c>
      <c r="E51">
        <v>36</v>
      </c>
      <c r="F51" s="8">
        <v>45973.512337962966</v>
      </c>
      <c r="G51" s="8"/>
    </row>
    <row r="52" spans="1:7" x14ac:dyDescent="0.25">
      <c r="A52" t="s">
        <v>564</v>
      </c>
      <c r="B52" s="7">
        <v>45988.537743055553</v>
      </c>
      <c r="C52" t="s">
        <v>262</v>
      </c>
      <c r="D52" t="e">
        <f t="shared" si="0"/>
        <v>#N/A</v>
      </c>
      <c r="E52">
        <v>36</v>
      </c>
      <c r="F52" s="8">
        <v>45988.496076388888</v>
      </c>
      <c r="G52" s="8"/>
    </row>
    <row r="53" spans="1:7" x14ac:dyDescent="0.25">
      <c r="A53" t="s">
        <v>596</v>
      </c>
      <c r="B53" s="7">
        <v>45994.549166666664</v>
      </c>
      <c r="C53" t="s">
        <v>263</v>
      </c>
      <c r="D53" t="e">
        <f t="shared" si="0"/>
        <v>#N/A</v>
      </c>
      <c r="E53">
        <v>36</v>
      </c>
      <c r="F53" s="8">
        <v>45994.5075</v>
      </c>
      <c r="G53" s="8"/>
    </row>
    <row r="54" spans="1:7" x14ac:dyDescent="0.25">
      <c r="A54" t="s">
        <v>624</v>
      </c>
      <c r="B54" s="7">
        <v>46002.567372685182</v>
      </c>
      <c r="C54" t="s">
        <v>264</v>
      </c>
      <c r="D54" t="e">
        <f t="shared" si="0"/>
        <v>#N/A</v>
      </c>
      <c r="E54">
        <v>36</v>
      </c>
      <c r="F54" s="8">
        <v>46002.525706018518</v>
      </c>
      <c r="G54" s="8"/>
    </row>
    <row r="55" spans="1:7" x14ac:dyDescent="0.25">
      <c r="A55" t="s">
        <v>662</v>
      </c>
      <c r="B55" s="7">
        <v>46013.604143518518</v>
      </c>
      <c r="C55" t="s">
        <v>265</v>
      </c>
      <c r="D55" t="e">
        <f t="shared" si="0"/>
        <v>#N/A</v>
      </c>
      <c r="E55">
        <v>36</v>
      </c>
      <c r="F55" s="8">
        <v>46013.562476851854</v>
      </c>
      <c r="G55" s="8"/>
    </row>
    <row r="56" spans="1:7" x14ac:dyDescent="0.25">
      <c r="A56" t="s">
        <v>673</v>
      </c>
      <c r="B56" s="7">
        <v>46024.530115740738</v>
      </c>
      <c r="C56" t="s">
        <v>266</v>
      </c>
      <c r="D56" t="e">
        <f t="shared" si="0"/>
        <v>#N/A</v>
      </c>
      <c r="E56">
        <v>36</v>
      </c>
      <c r="F56" s="8">
        <v>46024.488449074073</v>
      </c>
      <c r="G56" s="8"/>
    </row>
    <row r="57" spans="1:7" x14ac:dyDescent="0.25">
      <c r="A57" t="s">
        <v>462</v>
      </c>
      <c r="B57" s="7">
        <v>45952.559699074074</v>
      </c>
      <c r="C57" t="s">
        <v>267</v>
      </c>
      <c r="D57" t="e">
        <f t="shared" si="0"/>
        <v>#N/A</v>
      </c>
      <c r="E57">
        <v>37</v>
      </c>
      <c r="F57" s="8">
        <v>45952.476365740738</v>
      </c>
      <c r="G57" s="8"/>
    </row>
    <row r="58" spans="1:7" x14ac:dyDescent="0.25">
      <c r="A58" t="s">
        <v>463</v>
      </c>
      <c r="B58" s="7">
        <v>45952.560266203705</v>
      </c>
      <c r="C58" t="s">
        <v>268</v>
      </c>
      <c r="D58" t="e">
        <f t="shared" si="0"/>
        <v>#N/A</v>
      </c>
      <c r="E58">
        <v>37</v>
      </c>
      <c r="F58" s="8">
        <v>45952.47693287037</v>
      </c>
      <c r="G58" s="8"/>
    </row>
    <row r="59" spans="1:7" x14ac:dyDescent="0.25">
      <c r="A59" t="s">
        <v>464</v>
      </c>
      <c r="B59" s="7">
        <v>45952.560902777783</v>
      </c>
      <c r="C59" t="s">
        <v>269</v>
      </c>
      <c r="D59" t="e">
        <f t="shared" si="0"/>
        <v>#N/A</v>
      </c>
      <c r="E59">
        <v>37</v>
      </c>
      <c r="F59" s="8">
        <v>45952.477569444447</v>
      </c>
      <c r="G59" s="8"/>
    </row>
    <row r="60" spans="1:7" x14ac:dyDescent="0.25">
      <c r="A60" t="s">
        <v>489</v>
      </c>
      <c r="B60" s="7">
        <v>45959.522557870368</v>
      </c>
      <c r="C60" t="s">
        <v>270</v>
      </c>
      <c r="D60" t="e">
        <f t="shared" si="0"/>
        <v>#N/A</v>
      </c>
      <c r="E60">
        <v>37</v>
      </c>
      <c r="F60" s="8">
        <v>45959.480891203704</v>
      </c>
      <c r="G60" s="8"/>
    </row>
    <row r="61" spans="1:7" x14ac:dyDescent="0.25">
      <c r="A61" t="s">
        <v>526</v>
      </c>
      <c r="B61" s="7">
        <v>45966.555752314809</v>
      </c>
      <c r="C61" t="s">
        <v>271</v>
      </c>
      <c r="D61" t="e">
        <f t="shared" si="0"/>
        <v>#N/A</v>
      </c>
      <c r="E61">
        <v>37</v>
      </c>
      <c r="F61" s="8">
        <v>45966.514085648145</v>
      </c>
      <c r="G61" s="8"/>
    </row>
    <row r="62" spans="1:7" x14ac:dyDescent="0.25">
      <c r="A62" t="s">
        <v>539</v>
      </c>
      <c r="B62" s="7">
        <v>45973.555115740739</v>
      </c>
      <c r="C62" t="s">
        <v>272</v>
      </c>
      <c r="D62" t="e">
        <f t="shared" si="0"/>
        <v>#N/A</v>
      </c>
      <c r="E62">
        <v>37</v>
      </c>
      <c r="F62" s="8">
        <v>45973.513449074075</v>
      </c>
      <c r="G62" s="8"/>
    </row>
    <row r="63" spans="1:7" x14ac:dyDescent="0.25">
      <c r="A63" t="s">
        <v>565</v>
      </c>
      <c r="B63" s="7">
        <v>45988.540462962963</v>
      </c>
      <c r="C63" t="s">
        <v>273</v>
      </c>
      <c r="D63" t="e">
        <f t="shared" si="0"/>
        <v>#N/A</v>
      </c>
      <c r="E63">
        <v>37</v>
      </c>
      <c r="F63" s="8">
        <v>45988.498796296299</v>
      </c>
      <c r="G63" s="8"/>
    </row>
    <row r="64" spans="1:7" x14ac:dyDescent="0.25">
      <c r="A64" t="s">
        <v>597</v>
      </c>
      <c r="B64" s="7">
        <v>45994.550462962958</v>
      </c>
      <c r="C64" t="s">
        <v>274</v>
      </c>
      <c r="D64" t="e">
        <f t="shared" si="0"/>
        <v>#N/A</v>
      </c>
      <c r="E64">
        <v>37</v>
      </c>
      <c r="F64" s="8">
        <v>45994.508796296293</v>
      </c>
      <c r="G64" s="8"/>
    </row>
    <row r="65" spans="1:7" x14ac:dyDescent="0.25">
      <c r="A65" t="s">
        <v>625</v>
      </c>
      <c r="B65" s="7">
        <v>46002.568692129629</v>
      </c>
      <c r="C65" t="s">
        <v>275</v>
      </c>
      <c r="D65" t="e">
        <f t="shared" si="0"/>
        <v>#N/A</v>
      </c>
      <c r="E65">
        <v>37</v>
      </c>
      <c r="F65" s="8">
        <v>46002.527025462965</v>
      </c>
      <c r="G65" s="8"/>
    </row>
    <row r="66" spans="1:7" x14ac:dyDescent="0.25">
      <c r="A66" t="s">
        <v>663</v>
      </c>
      <c r="B66" s="7">
        <v>46013.605694444443</v>
      </c>
      <c r="C66" t="s">
        <v>276</v>
      </c>
      <c r="D66" t="e">
        <f t="shared" ref="D66:D129" si="1">VLOOKUP(C66,$H$2:$I$10,2,FALSE)</f>
        <v>#N/A</v>
      </c>
      <c r="E66">
        <v>37</v>
      </c>
      <c r="F66" s="8">
        <v>46013.564027777778</v>
      </c>
      <c r="G66" s="8"/>
    </row>
    <row r="67" spans="1:7" x14ac:dyDescent="0.25">
      <c r="A67" t="s">
        <v>674</v>
      </c>
      <c r="B67" s="7">
        <v>46024.531608796293</v>
      </c>
      <c r="C67" t="s">
        <v>277</v>
      </c>
      <c r="D67" t="e">
        <f t="shared" si="1"/>
        <v>#N/A</v>
      </c>
      <c r="E67">
        <v>37</v>
      </c>
      <c r="F67" s="8">
        <v>46024.489942129629</v>
      </c>
      <c r="G67" s="8"/>
    </row>
    <row r="68" spans="1:7" x14ac:dyDescent="0.25">
      <c r="A68" t="s">
        <v>465</v>
      </c>
      <c r="B68" s="7">
        <v>45952.562222222223</v>
      </c>
      <c r="C68" t="s">
        <v>278</v>
      </c>
      <c r="D68" t="e">
        <f t="shared" si="1"/>
        <v>#N/A</v>
      </c>
      <c r="E68">
        <v>38</v>
      </c>
      <c r="F68" s="8">
        <v>45952.478888888887</v>
      </c>
      <c r="G68" s="8"/>
    </row>
    <row r="69" spans="1:7" x14ac:dyDescent="0.25">
      <c r="A69" t="s">
        <v>490</v>
      </c>
      <c r="B69" s="7">
        <v>45959.524085648147</v>
      </c>
      <c r="C69" t="s">
        <v>279</v>
      </c>
      <c r="D69" t="e">
        <f t="shared" si="1"/>
        <v>#N/A</v>
      </c>
      <c r="E69">
        <v>38</v>
      </c>
      <c r="F69" s="8">
        <v>45959.482418981483</v>
      </c>
      <c r="G69" s="8"/>
    </row>
    <row r="70" spans="1:7" x14ac:dyDescent="0.25">
      <c r="A70" t="s">
        <v>525</v>
      </c>
      <c r="B70" s="7">
        <v>45966.554351851846</v>
      </c>
      <c r="C70" t="s">
        <v>280</v>
      </c>
      <c r="D70" t="e">
        <f t="shared" si="1"/>
        <v>#N/A</v>
      </c>
      <c r="E70">
        <v>38</v>
      </c>
      <c r="F70" s="8">
        <v>45966.512685185182</v>
      </c>
      <c r="G70" s="8"/>
    </row>
    <row r="71" spans="1:7" x14ac:dyDescent="0.25">
      <c r="A71" t="s">
        <v>540</v>
      </c>
      <c r="B71" s="7">
        <v>45973.556273148148</v>
      </c>
      <c r="C71" t="s">
        <v>281</v>
      </c>
      <c r="D71" t="e">
        <f t="shared" si="1"/>
        <v>#N/A</v>
      </c>
      <c r="E71">
        <v>38</v>
      </c>
      <c r="F71" s="8">
        <v>45973.514606481483</v>
      </c>
      <c r="G71" s="8"/>
    </row>
    <row r="72" spans="1:7" x14ac:dyDescent="0.25">
      <c r="A72" t="s">
        <v>566</v>
      </c>
      <c r="B72" s="7">
        <v>45988.544247685182</v>
      </c>
      <c r="C72" t="s">
        <v>282</v>
      </c>
      <c r="D72" t="e">
        <f t="shared" si="1"/>
        <v>#N/A</v>
      </c>
      <c r="E72">
        <v>38</v>
      </c>
      <c r="F72" s="8">
        <v>45988.502581018518</v>
      </c>
      <c r="G72" s="8"/>
    </row>
    <row r="73" spans="1:7" x14ac:dyDescent="0.25">
      <c r="A73" t="s">
        <v>598</v>
      </c>
      <c r="B73" s="7">
        <v>45994.551631944443</v>
      </c>
      <c r="C73" t="s">
        <v>283</v>
      </c>
      <c r="D73" t="e">
        <f t="shared" si="1"/>
        <v>#N/A</v>
      </c>
      <c r="E73">
        <v>38</v>
      </c>
      <c r="F73" s="8">
        <v>45994.509965277779</v>
      </c>
      <c r="G73" s="8"/>
    </row>
    <row r="74" spans="1:7" x14ac:dyDescent="0.25">
      <c r="A74" t="s">
        <v>599</v>
      </c>
      <c r="B74" s="7">
        <v>45994.552152777775</v>
      </c>
      <c r="C74" t="s">
        <v>284</v>
      </c>
      <c r="D74" t="e">
        <f t="shared" si="1"/>
        <v>#N/A</v>
      </c>
      <c r="E74">
        <v>38</v>
      </c>
      <c r="F74" s="8">
        <v>45994.51048611111</v>
      </c>
      <c r="G74" s="8"/>
    </row>
    <row r="75" spans="1:7" x14ac:dyDescent="0.25">
      <c r="A75" t="s">
        <v>626</v>
      </c>
      <c r="B75" s="7">
        <v>46002.5699537037</v>
      </c>
      <c r="C75" t="s">
        <v>285</v>
      </c>
      <c r="D75" t="e">
        <f t="shared" si="1"/>
        <v>#N/A</v>
      </c>
      <c r="E75">
        <v>38</v>
      </c>
      <c r="F75" s="8">
        <v>46002.528287037036</v>
      </c>
      <c r="G75" s="8"/>
    </row>
    <row r="76" spans="1:7" x14ac:dyDescent="0.25">
      <c r="A76" t="s">
        <v>664</v>
      </c>
      <c r="B76" s="7">
        <v>46013.607685185183</v>
      </c>
      <c r="C76" t="s">
        <v>286</v>
      </c>
      <c r="D76" t="e">
        <f t="shared" si="1"/>
        <v>#N/A</v>
      </c>
      <c r="E76">
        <v>38</v>
      </c>
      <c r="F76" s="8">
        <v>46013.566018518519</v>
      </c>
      <c r="G76" s="8"/>
    </row>
    <row r="77" spans="1:7" x14ac:dyDescent="0.25">
      <c r="A77" t="s">
        <v>675</v>
      </c>
      <c r="B77" s="7">
        <v>46024.533067129625</v>
      </c>
      <c r="C77" t="s">
        <v>287</v>
      </c>
      <c r="D77" t="e">
        <f t="shared" si="1"/>
        <v>#N/A</v>
      </c>
      <c r="E77">
        <v>38</v>
      </c>
      <c r="F77" s="8">
        <v>46024.491400462961</v>
      </c>
      <c r="G77" s="8"/>
    </row>
    <row r="78" spans="1:7" x14ac:dyDescent="0.25">
      <c r="A78" t="s">
        <v>466</v>
      </c>
      <c r="B78" s="7">
        <v>45952.563263888893</v>
      </c>
      <c r="C78" t="s">
        <v>288</v>
      </c>
      <c r="D78" t="e">
        <f t="shared" si="1"/>
        <v>#N/A</v>
      </c>
      <c r="E78">
        <v>39</v>
      </c>
      <c r="F78" s="8">
        <v>45952.479930555557</v>
      </c>
      <c r="G78" s="8"/>
    </row>
    <row r="79" spans="1:7" x14ac:dyDescent="0.25">
      <c r="A79" t="s">
        <v>491</v>
      </c>
      <c r="B79" s="7">
        <v>45959.525613425925</v>
      </c>
      <c r="C79" t="s">
        <v>289</v>
      </c>
      <c r="D79" t="e">
        <f t="shared" si="1"/>
        <v>#N/A</v>
      </c>
      <c r="E79">
        <v>39</v>
      </c>
      <c r="F79" s="8">
        <v>45959.483946759261</v>
      </c>
      <c r="G79" s="8"/>
    </row>
    <row r="80" spans="1:7" x14ac:dyDescent="0.25">
      <c r="A80" t="s">
        <v>524</v>
      </c>
      <c r="B80" s="7">
        <v>45966.552627314813</v>
      </c>
      <c r="C80" t="s">
        <v>290</v>
      </c>
      <c r="D80" t="e">
        <f t="shared" si="1"/>
        <v>#N/A</v>
      </c>
      <c r="E80">
        <v>39</v>
      </c>
      <c r="F80" s="8">
        <v>45966.510960648149</v>
      </c>
      <c r="G80" s="8"/>
    </row>
    <row r="81" spans="1:7" x14ac:dyDescent="0.25">
      <c r="A81" t="s">
        <v>541</v>
      </c>
      <c r="B81" s="7">
        <v>45973.55768518518</v>
      </c>
      <c r="C81" t="s">
        <v>291</v>
      </c>
      <c r="D81" t="e">
        <f t="shared" si="1"/>
        <v>#N/A</v>
      </c>
      <c r="E81">
        <v>39</v>
      </c>
      <c r="F81" s="8">
        <v>45973.516018518516</v>
      </c>
      <c r="G81" s="8"/>
    </row>
    <row r="82" spans="1:7" x14ac:dyDescent="0.25">
      <c r="A82" t="s">
        <v>567</v>
      </c>
      <c r="B82" s="7">
        <v>45988.546851851846</v>
      </c>
      <c r="C82" t="s">
        <v>292</v>
      </c>
      <c r="D82" t="e">
        <f t="shared" si="1"/>
        <v>#N/A</v>
      </c>
      <c r="E82">
        <v>39</v>
      </c>
      <c r="F82" s="8">
        <v>45988.505185185182</v>
      </c>
      <c r="G82" s="8"/>
    </row>
    <row r="83" spans="1:7" x14ac:dyDescent="0.25">
      <c r="A83" t="s">
        <v>600</v>
      </c>
      <c r="B83" s="7">
        <v>45994.553611111107</v>
      </c>
      <c r="C83" t="s">
        <v>293</v>
      </c>
      <c r="D83" t="e">
        <f t="shared" si="1"/>
        <v>#N/A</v>
      </c>
      <c r="E83">
        <v>39</v>
      </c>
      <c r="F83" s="8">
        <v>45994.511944444443</v>
      </c>
      <c r="G83" s="8"/>
    </row>
    <row r="84" spans="1:7" x14ac:dyDescent="0.25">
      <c r="A84" t="s">
        <v>627</v>
      </c>
      <c r="B84" s="7">
        <v>46002.572939814811</v>
      </c>
      <c r="C84" t="s">
        <v>294</v>
      </c>
      <c r="D84" t="e">
        <f t="shared" si="1"/>
        <v>#N/A</v>
      </c>
      <c r="E84">
        <v>39</v>
      </c>
      <c r="F84" s="8">
        <v>46002.531273148146</v>
      </c>
      <c r="G84" s="8"/>
    </row>
    <row r="85" spans="1:7" x14ac:dyDescent="0.25">
      <c r="A85" t="s">
        <v>665</v>
      </c>
      <c r="B85" s="7">
        <v>46013.61032407407</v>
      </c>
      <c r="C85" t="s">
        <v>295</v>
      </c>
      <c r="D85" t="e">
        <f t="shared" si="1"/>
        <v>#N/A</v>
      </c>
      <c r="E85">
        <v>39</v>
      </c>
      <c r="F85" s="8">
        <v>46013.568657407406</v>
      </c>
      <c r="G85" s="8"/>
    </row>
    <row r="86" spans="1:7" x14ac:dyDescent="0.25">
      <c r="A86" t="s">
        <v>676</v>
      </c>
      <c r="B86" s="7">
        <v>46024.534479166665</v>
      </c>
      <c r="C86" t="s">
        <v>296</v>
      </c>
      <c r="D86" t="e">
        <f t="shared" si="1"/>
        <v>#N/A</v>
      </c>
      <c r="E86">
        <v>39</v>
      </c>
      <c r="F86" s="8">
        <v>46024.492812500001</v>
      </c>
      <c r="G86" s="8"/>
    </row>
    <row r="87" spans="1:7" x14ac:dyDescent="0.25">
      <c r="A87" t="s">
        <v>467</v>
      </c>
      <c r="B87" s="7">
        <v>45952.564108796301</v>
      </c>
      <c r="C87" t="s">
        <v>297</v>
      </c>
      <c r="D87" t="e">
        <f t="shared" si="1"/>
        <v>#N/A</v>
      </c>
      <c r="E87">
        <v>40</v>
      </c>
      <c r="F87" s="8">
        <v>45952.480775462966</v>
      </c>
      <c r="G87" s="8"/>
    </row>
    <row r="88" spans="1:7" x14ac:dyDescent="0.25">
      <c r="A88" t="s">
        <v>492</v>
      </c>
      <c r="B88" s="7">
        <v>45959.527303240735</v>
      </c>
      <c r="C88" t="s">
        <v>298</v>
      </c>
      <c r="D88" t="e">
        <f t="shared" si="1"/>
        <v>#N/A</v>
      </c>
      <c r="E88">
        <v>40</v>
      </c>
      <c r="F88" s="8">
        <v>45959.485636574071</v>
      </c>
      <c r="G88" s="8"/>
    </row>
    <row r="89" spans="1:7" x14ac:dyDescent="0.25">
      <c r="A89" t="s">
        <v>523</v>
      </c>
      <c r="B89" s="7">
        <v>45966.550995370366</v>
      </c>
      <c r="C89" t="s">
        <v>299</v>
      </c>
      <c r="D89" t="e">
        <f t="shared" si="1"/>
        <v>#N/A</v>
      </c>
      <c r="E89">
        <v>40</v>
      </c>
      <c r="F89" s="8">
        <v>45966.509328703702</v>
      </c>
      <c r="G89" s="8"/>
    </row>
    <row r="90" spans="1:7" x14ac:dyDescent="0.25">
      <c r="A90" t="s">
        <v>542</v>
      </c>
      <c r="B90" s="7">
        <v>45973.559224537035</v>
      </c>
      <c r="C90" t="s">
        <v>300</v>
      </c>
      <c r="D90" t="e">
        <f t="shared" si="1"/>
        <v>#N/A</v>
      </c>
      <c r="E90">
        <v>40</v>
      </c>
      <c r="F90" s="8">
        <v>45973.517557870371</v>
      </c>
      <c r="G90" s="8"/>
    </row>
    <row r="91" spans="1:7" x14ac:dyDescent="0.25">
      <c r="A91" t="s">
        <v>568</v>
      </c>
      <c r="B91" s="7">
        <v>45988.550405092588</v>
      </c>
      <c r="C91" t="s">
        <v>301</v>
      </c>
      <c r="D91" t="e">
        <f t="shared" si="1"/>
        <v>#N/A</v>
      </c>
      <c r="E91">
        <v>40</v>
      </c>
      <c r="F91" s="8">
        <v>45988.508738425924</v>
      </c>
      <c r="G91" s="8"/>
    </row>
    <row r="92" spans="1:7" x14ac:dyDescent="0.25">
      <c r="A92" t="s">
        <v>601</v>
      </c>
      <c r="B92" s="7">
        <v>45994.55569444444</v>
      </c>
      <c r="C92" t="s">
        <v>302</v>
      </c>
      <c r="D92" t="e">
        <f t="shared" si="1"/>
        <v>#N/A</v>
      </c>
      <c r="E92">
        <v>40</v>
      </c>
      <c r="F92" s="8">
        <v>45994.514027777775</v>
      </c>
      <c r="G92" s="8"/>
    </row>
    <row r="93" spans="1:7" x14ac:dyDescent="0.25">
      <c r="A93" t="s">
        <v>628</v>
      </c>
      <c r="B93" s="7">
        <v>46002.574652777774</v>
      </c>
      <c r="C93" t="s">
        <v>303</v>
      </c>
      <c r="D93" t="e">
        <f t="shared" si="1"/>
        <v>#N/A</v>
      </c>
      <c r="E93">
        <v>40</v>
      </c>
      <c r="F93" s="8">
        <v>46002.532986111109</v>
      </c>
      <c r="G93" s="8"/>
    </row>
    <row r="94" spans="1:7" x14ac:dyDescent="0.25">
      <c r="A94" t="s">
        <v>666</v>
      </c>
      <c r="B94" s="7">
        <v>46013.613483796296</v>
      </c>
      <c r="C94" t="s">
        <v>304</v>
      </c>
      <c r="D94" t="e">
        <f t="shared" si="1"/>
        <v>#N/A</v>
      </c>
      <c r="E94">
        <v>40</v>
      </c>
      <c r="F94" s="8">
        <v>46013.571817129632</v>
      </c>
      <c r="G94" s="8"/>
    </row>
    <row r="95" spans="1:7" x14ac:dyDescent="0.25">
      <c r="A95" t="s">
        <v>677</v>
      </c>
      <c r="B95" s="7">
        <v>46024.536331018513</v>
      </c>
      <c r="C95" t="s">
        <v>305</v>
      </c>
      <c r="D95" t="e">
        <f t="shared" si="1"/>
        <v>#N/A</v>
      </c>
      <c r="E95">
        <v>40</v>
      </c>
      <c r="F95" s="8">
        <v>46024.494664351849</v>
      </c>
      <c r="G95" s="8"/>
    </row>
    <row r="96" spans="1:7" x14ac:dyDescent="0.25">
      <c r="A96" t="s">
        <v>468</v>
      </c>
      <c r="B96" s="7">
        <v>45952.566250000003</v>
      </c>
      <c r="C96" t="s">
        <v>306</v>
      </c>
      <c r="D96" t="e">
        <f t="shared" si="1"/>
        <v>#N/A</v>
      </c>
      <c r="E96">
        <v>41</v>
      </c>
      <c r="F96" s="8">
        <v>45952.482916666668</v>
      </c>
      <c r="G96" s="8"/>
    </row>
    <row r="97" spans="1:7" x14ac:dyDescent="0.25">
      <c r="A97" t="s">
        <v>493</v>
      </c>
      <c r="B97" s="7">
        <v>45959.531446759254</v>
      </c>
      <c r="C97" t="s">
        <v>307</v>
      </c>
      <c r="D97" t="e">
        <f t="shared" si="1"/>
        <v>#N/A</v>
      </c>
      <c r="E97">
        <v>41</v>
      </c>
      <c r="F97" s="8">
        <v>45959.48978009259</v>
      </c>
      <c r="G97" s="8"/>
    </row>
    <row r="98" spans="1:7" x14ac:dyDescent="0.25">
      <c r="A98" t="s">
        <v>522</v>
      </c>
      <c r="B98" s="7">
        <v>45966.547534722216</v>
      </c>
      <c r="C98" t="s">
        <v>308</v>
      </c>
      <c r="D98" t="e">
        <f t="shared" si="1"/>
        <v>#N/A</v>
      </c>
      <c r="E98">
        <v>41</v>
      </c>
      <c r="F98" s="8">
        <v>45966.505868055552</v>
      </c>
      <c r="G98" s="8"/>
    </row>
    <row r="99" spans="1:7" x14ac:dyDescent="0.25">
      <c r="A99" t="s">
        <v>543</v>
      </c>
      <c r="B99" s="7">
        <v>45973.56113425926</v>
      </c>
      <c r="C99" t="s">
        <v>309</v>
      </c>
      <c r="D99" t="e">
        <f t="shared" si="1"/>
        <v>#N/A</v>
      </c>
      <c r="E99">
        <v>41</v>
      </c>
      <c r="F99" s="8">
        <v>45973.519467592596</v>
      </c>
      <c r="G99" s="8"/>
    </row>
    <row r="100" spans="1:7" x14ac:dyDescent="0.25">
      <c r="A100" t="s">
        <v>569</v>
      </c>
      <c r="B100" s="7">
        <v>45988.555</v>
      </c>
      <c r="C100" t="s">
        <v>310</v>
      </c>
      <c r="D100" t="e">
        <f t="shared" si="1"/>
        <v>#N/A</v>
      </c>
      <c r="E100">
        <v>41</v>
      </c>
      <c r="F100" s="8">
        <v>45988.513333333336</v>
      </c>
      <c r="G100" s="8"/>
    </row>
    <row r="101" spans="1:7" x14ac:dyDescent="0.25">
      <c r="A101" t="s">
        <v>570</v>
      </c>
      <c r="B101" s="7">
        <v>45988.555497685185</v>
      </c>
      <c r="C101" t="s">
        <v>311</v>
      </c>
      <c r="D101" t="e">
        <f t="shared" si="1"/>
        <v>#N/A</v>
      </c>
      <c r="E101">
        <v>41</v>
      </c>
      <c r="F101" s="8">
        <v>45988.513831018521</v>
      </c>
      <c r="G101" s="8"/>
    </row>
    <row r="102" spans="1:7" x14ac:dyDescent="0.25">
      <c r="A102" t="s">
        <v>608</v>
      </c>
      <c r="B102" s="7">
        <v>45994.567141203705</v>
      </c>
      <c r="C102" t="s">
        <v>312</v>
      </c>
      <c r="D102" t="e">
        <f t="shared" si="1"/>
        <v>#N/A</v>
      </c>
      <c r="E102">
        <v>41</v>
      </c>
      <c r="F102" s="8">
        <v>45994.52547453704</v>
      </c>
      <c r="G102" s="8"/>
    </row>
    <row r="103" spans="1:7" x14ac:dyDescent="0.25">
      <c r="A103" t="s">
        <v>619</v>
      </c>
      <c r="B103" s="7">
        <v>46002.558958333328</v>
      </c>
      <c r="C103" t="s">
        <v>313</v>
      </c>
      <c r="D103" t="e">
        <f t="shared" si="1"/>
        <v>#N/A</v>
      </c>
      <c r="E103">
        <v>41</v>
      </c>
      <c r="F103" s="8">
        <v>46002.517291666663</v>
      </c>
      <c r="G103" s="8"/>
    </row>
    <row r="104" spans="1:7" x14ac:dyDescent="0.25">
      <c r="A104" t="s">
        <v>651</v>
      </c>
      <c r="B104" s="7">
        <v>46013.582731481481</v>
      </c>
      <c r="C104" t="s">
        <v>314</v>
      </c>
      <c r="D104" t="e">
        <f t="shared" si="1"/>
        <v>#N/A</v>
      </c>
      <c r="E104">
        <v>41</v>
      </c>
      <c r="F104" s="8">
        <v>46013.541064814817</v>
      </c>
      <c r="G104" s="8"/>
    </row>
    <row r="105" spans="1:7" x14ac:dyDescent="0.25">
      <c r="A105" t="s">
        <v>667</v>
      </c>
      <c r="B105" s="7">
        <v>46024.520729166667</v>
      </c>
      <c r="C105" t="s">
        <v>315</v>
      </c>
      <c r="D105" t="e">
        <f t="shared" si="1"/>
        <v>#N/A</v>
      </c>
      <c r="E105">
        <v>41</v>
      </c>
      <c r="F105" s="8">
        <v>46024.479062500002</v>
      </c>
      <c r="G105" s="8"/>
    </row>
    <row r="106" spans="1:7" x14ac:dyDescent="0.25">
      <c r="A106" t="s">
        <v>469</v>
      </c>
      <c r="B106" s="7">
        <v>45952.568055555559</v>
      </c>
      <c r="C106" t="s">
        <v>316</v>
      </c>
      <c r="D106" t="e">
        <f t="shared" si="1"/>
        <v>#N/A</v>
      </c>
      <c r="E106">
        <v>42</v>
      </c>
      <c r="F106" s="8">
        <v>45952.484722222223</v>
      </c>
      <c r="G106" s="8"/>
    </row>
    <row r="107" spans="1:7" x14ac:dyDescent="0.25">
      <c r="A107" t="s">
        <v>494</v>
      </c>
      <c r="B107" s="7">
        <v>45959.533206018517</v>
      </c>
      <c r="C107" t="s">
        <v>317</v>
      </c>
      <c r="D107" t="e">
        <f t="shared" si="1"/>
        <v>#N/A</v>
      </c>
      <c r="E107">
        <v>42</v>
      </c>
      <c r="F107" s="8">
        <v>45959.491539351853</v>
      </c>
      <c r="G107" s="8"/>
    </row>
    <row r="108" spans="1:7" x14ac:dyDescent="0.25">
      <c r="A108" t="s">
        <v>521</v>
      </c>
      <c r="B108" s="7">
        <v>45966.546053240738</v>
      </c>
      <c r="C108" t="s">
        <v>318</v>
      </c>
      <c r="D108" t="e">
        <f t="shared" si="1"/>
        <v>#N/A</v>
      </c>
      <c r="E108">
        <v>42</v>
      </c>
      <c r="F108" s="8">
        <v>45966.504386574074</v>
      </c>
      <c r="G108" s="8"/>
    </row>
    <row r="109" spans="1:7" x14ac:dyDescent="0.25">
      <c r="A109" t="s">
        <v>544</v>
      </c>
      <c r="B109" s="7">
        <v>45973.562476851846</v>
      </c>
      <c r="C109" t="s">
        <v>319</v>
      </c>
      <c r="D109" t="e">
        <f t="shared" si="1"/>
        <v>#N/A</v>
      </c>
      <c r="E109">
        <v>42</v>
      </c>
      <c r="F109" s="8">
        <v>45973.520810185182</v>
      </c>
      <c r="G109" s="8"/>
    </row>
    <row r="110" spans="1:7" x14ac:dyDescent="0.25">
      <c r="A110" t="s">
        <v>571</v>
      </c>
      <c r="B110" s="7">
        <v>45988.557233796295</v>
      </c>
      <c r="C110" t="s">
        <v>320</v>
      </c>
      <c r="D110" t="e">
        <f t="shared" si="1"/>
        <v>#N/A</v>
      </c>
      <c r="E110">
        <v>42</v>
      </c>
      <c r="F110" s="8">
        <v>45988.515567129631</v>
      </c>
      <c r="G110" s="8"/>
    </row>
    <row r="111" spans="1:7" x14ac:dyDescent="0.25">
      <c r="A111" t="s">
        <v>609</v>
      </c>
      <c r="B111" s="7">
        <v>45994.568148148144</v>
      </c>
      <c r="C111" t="s">
        <v>321</v>
      </c>
      <c r="D111" t="e">
        <f t="shared" si="1"/>
        <v>#N/A</v>
      </c>
      <c r="E111">
        <v>42</v>
      </c>
      <c r="F111" s="8">
        <v>45994.52648148148</v>
      </c>
      <c r="G111" s="8"/>
    </row>
    <row r="112" spans="1:7" x14ac:dyDescent="0.25">
      <c r="A112" t="s">
        <v>620</v>
      </c>
      <c r="B112" s="7">
        <v>46002.560428240737</v>
      </c>
      <c r="C112" t="s">
        <v>322</v>
      </c>
      <c r="D112" t="e">
        <f t="shared" si="1"/>
        <v>#N/A</v>
      </c>
      <c r="E112">
        <v>42</v>
      </c>
      <c r="F112" s="8">
        <v>46002.518761574072</v>
      </c>
      <c r="G112" s="8"/>
    </row>
    <row r="113" spans="1:7" x14ac:dyDescent="0.25">
      <c r="A113" t="s">
        <v>652</v>
      </c>
      <c r="B113" s="7">
        <v>46013.583784722221</v>
      </c>
      <c r="C113" t="s">
        <v>323</v>
      </c>
      <c r="D113" t="e">
        <f t="shared" si="1"/>
        <v>#N/A</v>
      </c>
      <c r="E113">
        <v>42</v>
      </c>
      <c r="F113" s="8">
        <v>46013.542118055557</v>
      </c>
      <c r="G113" s="8"/>
    </row>
    <row r="114" spans="1:7" x14ac:dyDescent="0.25">
      <c r="A114" t="s">
        <v>668</v>
      </c>
      <c r="B114" s="7">
        <v>46024.521956018514</v>
      </c>
      <c r="C114" t="s">
        <v>324</v>
      </c>
      <c r="D114" t="e">
        <f t="shared" si="1"/>
        <v>#N/A</v>
      </c>
      <c r="E114">
        <v>42</v>
      </c>
      <c r="F114" s="8">
        <v>46024.48028935185</v>
      </c>
      <c r="G114" s="8"/>
    </row>
    <row r="115" spans="1:7" x14ac:dyDescent="0.25">
      <c r="A115" t="s">
        <v>669</v>
      </c>
      <c r="B115" s="7">
        <v>46024.522581018515</v>
      </c>
      <c r="C115" t="s">
        <v>325</v>
      </c>
      <c r="D115" t="e">
        <f t="shared" si="1"/>
        <v>#N/A</v>
      </c>
      <c r="E115">
        <v>42</v>
      </c>
      <c r="F115" s="8">
        <v>46024.480914351851</v>
      </c>
      <c r="G115" s="8"/>
    </row>
    <row r="116" spans="1:7" x14ac:dyDescent="0.25">
      <c r="A116" t="s">
        <v>470</v>
      </c>
      <c r="B116" s="7">
        <v>45952.569212962968</v>
      </c>
      <c r="C116" t="s">
        <v>326</v>
      </c>
      <c r="D116" t="e">
        <f t="shared" si="1"/>
        <v>#N/A</v>
      </c>
      <c r="E116">
        <v>43</v>
      </c>
      <c r="F116" s="8">
        <v>45952.485879629632</v>
      </c>
      <c r="G116" s="8"/>
    </row>
    <row r="117" spans="1:7" x14ac:dyDescent="0.25">
      <c r="A117" t="s">
        <v>495</v>
      </c>
      <c r="B117" s="7">
        <v>45959.534814814811</v>
      </c>
      <c r="C117" t="s">
        <v>327</v>
      </c>
      <c r="D117" t="e">
        <f t="shared" si="1"/>
        <v>#N/A</v>
      </c>
      <c r="E117">
        <v>43</v>
      </c>
      <c r="F117" s="8">
        <v>45959.493148148147</v>
      </c>
      <c r="G117" s="8"/>
    </row>
    <row r="118" spans="1:7" x14ac:dyDescent="0.25">
      <c r="A118" t="s">
        <v>520</v>
      </c>
      <c r="B118" s="7">
        <v>45966.544398148144</v>
      </c>
      <c r="C118" t="s">
        <v>328</v>
      </c>
      <c r="D118" t="e">
        <f t="shared" si="1"/>
        <v>#N/A</v>
      </c>
      <c r="E118">
        <v>43</v>
      </c>
      <c r="F118" s="8">
        <v>45966.50273148148</v>
      </c>
      <c r="G118" s="8"/>
    </row>
    <row r="119" spans="1:7" x14ac:dyDescent="0.25">
      <c r="A119" t="s">
        <v>545</v>
      </c>
      <c r="B119" s="7">
        <v>45973.563472222217</v>
      </c>
      <c r="C119" t="s">
        <v>329</v>
      </c>
      <c r="D119" t="e">
        <f t="shared" si="1"/>
        <v>#N/A</v>
      </c>
      <c r="E119">
        <v>43</v>
      </c>
      <c r="F119" s="8">
        <v>45973.521805555552</v>
      </c>
      <c r="G119" s="8"/>
    </row>
    <row r="120" spans="1:7" x14ac:dyDescent="0.25">
      <c r="A120" t="s">
        <v>572</v>
      </c>
      <c r="B120" s="7">
        <v>45988.559907407405</v>
      </c>
      <c r="C120" t="s">
        <v>330</v>
      </c>
      <c r="D120" t="e">
        <f t="shared" si="1"/>
        <v>#N/A</v>
      </c>
      <c r="E120">
        <v>43</v>
      </c>
      <c r="F120" s="8">
        <v>45988.518240740741</v>
      </c>
      <c r="G120" s="8"/>
    </row>
    <row r="121" spans="1:7" x14ac:dyDescent="0.25">
      <c r="A121" t="s">
        <v>610</v>
      </c>
      <c r="B121" s="7">
        <v>45994.569444444445</v>
      </c>
      <c r="C121" t="s">
        <v>331</v>
      </c>
      <c r="D121" t="e">
        <f t="shared" si="1"/>
        <v>#N/A</v>
      </c>
      <c r="E121">
        <v>43</v>
      </c>
      <c r="F121" s="8">
        <v>45994.527777777781</v>
      </c>
      <c r="G121" s="8"/>
    </row>
    <row r="122" spans="1:7" x14ac:dyDescent="0.25">
      <c r="A122" t="s">
        <v>621</v>
      </c>
      <c r="B122" s="7">
        <v>46002.561620370368</v>
      </c>
      <c r="C122" t="s">
        <v>332</v>
      </c>
      <c r="D122" t="e">
        <f t="shared" si="1"/>
        <v>#N/A</v>
      </c>
      <c r="E122">
        <v>43</v>
      </c>
      <c r="F122" s="8">
        <v>46002.519953703704</v>
      </c>
      <c r="G122" s="8"/>
    </row>
    <row r="123" spans="1:7" x14ac:dyDescent="0.25">
      <c r="A123" t="s">
        <v>653</v>
      </c>
      <c r="B123" s="7">
        <v>46013.585833333331</v>
      </c>
      <c r="C123" t="s">
        <v>333</v>
      </c>
      <c r="D123" t="e">
        <f t="shared" si="1"/>
        <v>#N/A</v>
      </c>
      <c r="E123">
        <v>43</v>
      </c>
      <c r="F123" s="8">
        <v>46013.544166666667</v>
      </c>
      <c r="G123" s="8"/>
    </row>
    <row r="124" spans="1:7" x14ac:dyDescent="0.25">
      <c r="A124" t="s">
        <v>670</v>
      </c>
      <c r="B124" s="7">
        <v>46024.524027777778</v>
      </c>
      <c r="C124" t="s">
        <v>334</v>
      </c>
      <c r="D124" t="e">
        <f t="shared" si="1"/>
        <v>#N/A</v>
      </c>
      <c r="E124">
        <v>43</v>
      </c>
      <c r="F124" s="8">
        <v>46024.482361111113</v>
      </c>
      <c r="G124" s="8"/>
    </row>
    <row r="125" spans="1:7" x14ac:dyDescent="0.25">
      <c r="A125" t="s">
        <v>471</v>
      </c>
      <c r="B125" s="7">
        <v>45952.571134259262</v>
      </c>
      <c r="C125" t="s">
        <v>335</v>
      </c>
      <c r="D125" t="e">
        <f t="shared" si="1"/>
        <v>#N/A</v>
      </c>
      <c r="E125">
        <v>44</v>
      </c>
      <c r="F125" s="8">
        <v>45952.487800925926</v>
      </c>
      <c r="G125" s="8"/>
    </row>
    <row r="126" spans="1:7" x14ac:dyDescent="0.25">
      <c r="A126" t="s">
        <v>496</v>
      </c>
      <c r="B126" s="7">
        <v>45959.536886574075</v>
      </c>
      <c r="C126" t="s">
        <v>336</v>
      </c>
      <c r="D126" t="e">
        <f t="shared" si="1"/>
        <v>#N/A</v>
      </c>
      <c r="E126">
        <v>44</v>
      </c>
      <c r="F126" s="8">
        <v>45959.495219907411</v>
      </c>
      <c r="G126" s="8"/>
    </row>
    <row r="127" spans="1:7" x14ac:dyDescent="0.25">
      <c r="A127" t="s">
        <v>519</v>
      </c>
      <c r="B127" s="7">
        <v>45966.54310185185</v>
      </c>
      <c r="C127" t="s">
        <v>337</v>
      </c>
      <c r="D127" t="e">
        <f t="shared" si="1"/>
        <v>#N/A</v>
      </c>
      <c r="E127">
        <v>44</v>
      </c>
      <c r="F127" s="8">
        <v>45966.501435185186</v>
      </c>
      <c r="G127" s="8"/>
    </row>
    <row r="128" spans="1:7" x14ac:dyDescent="0.25">
      <c r="A128" t="s">
        <v>546</v>
      </c>
      <c r="B128" s="7">
        <v>45973.564652777779</v>
      </c>
      <c r="C128" t="s">
        <v>338</v>
      </c>
      <c r="D128" t="e">
        <f t="shared" si="1"/>
        <v>#N/A</v>
      </c>
      <c r="E128">
        <v>44</v>
      </c>
      <c r="F128" s="8">
        <v>45973.522986111115</v>
      </c>
      <c r="G128" s="8"/>
    </row>
    <row r="129" spans="1:7" x14ac:dyDescent="0.25">
      <c r="A129" t="s">
        <v>573</v>
      </c>
      <c r="B129" s="7">
        <v>45988.562557870369</v>
      </c>
      <c r="C129" t="s">
        <v>339</v>
      </c>
      <c r="D129" t="e">
        <f t="shared" si="1"/>
        <v>#N/A</v>
      </c>
      <c r="E129">
        <v>44</v>
      </c>
      <c r="F129" s="8">
        <v>45988.520891203705</v>
      </c>
      <c r="G129" s="8"/>
    </row>
    <row r="130" spans="1:7" x14ac:dyDescent="0.25">
      <c r="A130" t="s">
        <v>611</v>
      </c>
      <c r="B130" s="7">
        <v>45994.571967592587</v>
      </c>
      <c r="C130" t="s">
        <v>340</v>
      </c>
      <c r="D130" t="e">
        <f t="shared" ref="D130:D193" si="2">VLOOKUP(C130,$H$2:$I$10,2,FALSE)</f>
        <v>#N/A</v>
      </c>
      <c r="E130">
        <v>44</v>
      </c>
      <c r="F130" s="8">
        <v>45994.530300925922</v>
      </c>
      <c r="G130" s="8"/>
    </row>
    <row r="131" spans="1:7" x14ac:dyDescent="0.25">
      <c r="A131" t="s">
        <v>622</v>
      </c>
      <c r="B131" s="7">
        <v>46002.563125000001</v>
      </c>
      <c r="C131" t="s">
        <v>341</v>
      </c>
      <c r="D131" t="e">
        <f t="shared" si="2"/>
        <v>#N/A</v>
      </c>
      <c r="E131">
        <v>44</v>
      </c>
      <c r="F131" s="8">
        <v>46002.521458333336</v>
      </c>
      <c r="G131" s="8"/>
    </row>
    <row r="132" spans="1:7" x14ac:dyDescent="0.25">
      <c r="A132" t="s">
        <v>654</v>
      </c>
      <c r="B132" s="7">
        <v>46013.587511574071</v>
      </c>
      <c r="C132" t="s">
        <v>342</v>
      </c>
      <c r="D132" t="e">
        <f t="shared" si="2"/>
        <v>#N/A</v>
      </c>
      <c r="E132">
        <v>44</v>
      </c>
      <c r="F132" s="8">
        <v>46013.545844907407</v>
      </c>
      <c r="G132" s="8"/>
    </row>
    <row r="133" spans="1:7" x14ac:dyDescent="0.25">
      <c r="A133" t="s">
        <v>671</v>
      </c>
      <c r="B133" s="7">
        <v>46024.525509259256</v>
      </c>
      <c r="C133" t="s">
        <v>343</v>
      </c>
      <c r="D133" t="e">
        <f t="shared" si="2"/>
        <v>#N/A</v>
      </c>
      <c r="E133">
        <v>44</v>
      </c>
      <c r="F133" s="8">
        <v>46024.483842592592</v>
      </c>
      <c r="G133" s="8"/>
    </row>
    <row r="134" spans="1:7" x14ac:dyDescent="0.25">
      <c r="A134" t="s">
        <v>472</v>
      </c>
      <c r="B134" s="7">
        <v>45952.572280092594</v>
      </c>
      <c r="C134" t="s">
        <v>344</v>
      </c>
      <c r="D134" t="e">
        <f t="shared" si="2"/>
        <v>#N/A</v>
      </c>
      <c r="E134">
        <v>45</v>
      </c>
      <c r="F134" s="8">
        <v>45952.488946759258</v>
      </c>
      <c r="G134" s="8"/>
    </row>
    <row r="135" spans="1:7" x14ac:dyDescent="0.25">
      <c r="A135" t="s">
        <v>497</v>
      </c>
      <c r="B135" s="7">
        <v>45959.5383912037</v>
      </c>
      <c r="C135" t="s">
        <v>345</v>
      </c>
      <c r="D135" t="e">
        <f t="shared" si="2"/>
        <v>#N/A</v>
      </c>
      <c r="E135">
        <v>45</v>
      </c>
      <c r="F135" s="8">
        <v>45959.496724537035</v>
      </c>
      <c r="G135" s="8"/>
    </row>
    <row r="136" spans="1:7" x14ac:dyDescent="0.25">
      <c r="A136" t="s">
        <v>518</v>
      </c>
      <c r="B136" s="7">
        <v>45966.541342592587</v>
      </c>
      <c r="C136" t="s">
        <v>346</v>
      </c>
      <c r="D136" t="e">
        <f t="shared" si="2"/>
        <v>#N/A</v>
      </c>
      <c r="E136">
        <v>45</v>
      </c>
      <c r="F136" s="8">
        <v>45966.499675925923</v>
      </c>
      <c r="G136" s="8"/>
    </row>
    <row r="137" spans="1:7" x14ac:dyDescent="0.25">
      <c r="A137" t="s">
        <v>547</v>
      </c>
      <c r="B137" s="7">
        <v>45973.566122685181</v>
      </c>
      <c r="C137" t="s">
        <v>347</v>
      </c>
      <c r="D137" t="e">
        <f t="shared" si="2"/>
        <v>#N/A</v>
      </c>
      <c r="E137">
        <v>45</v>
      </c>
      <c r="F137" s="8">
        <v>45973.524456018517</v>
      </c>
      <c r="G137" s="8"/>
    </row>
    <row r="138" spans="1:7" x14ac:dyDescent="0.25">
      <c r="A138" t="s">
        <v>574</v>
      </c>
      <c r="B138" s="7">
        <v>45988.564999999995</v>
      </c>
      <c r="C138" t="s">
        <v>348</v>
      </c>
      <c r="D138" t="e">
        <f t="shared" si="2"/>
        <v>#N/A</v>
      </c>
      <c r="E138">
        <v>45</v>
      </c>
      <c r="F138" s="8">
        <v>45988.523333333331</v>
      </c>
      <c r="G138" s="8"/>
    </row>
    <row r="139" spans="1:7" x14ac:dyDescent="0.25">
      <c r="A139" t="s">
        <v>612</v>
      </c>
      <c r="B139" s="7">
        <v>45994.573449074072</v>
      </c>
      <c r="C139" t="s">
        <v>349</v>
      </c>
      <c r="D139" t="e">
        <f t="shared" si="2"/>
        <v>#N/A</v>
      </c>
      <c r="E139">
        <v>45</v>
      </c>
      <c r="F139" s="8">
        <v>45994.531782407408</v>
      </c>
      <c r="G139" s="8"/>
    </row>
    <row r="140" spans="1:7" x14ac:dyDescent="0.25">
      <c r="A140" t="s">
        <v>623</v>
      </c>
      <c r="B140" s="7">
        <v>46002.564097222217</v>
      </c>
      <c r="C140" t="s">
        <v>350</v>
      </c>
      <c r="D140" t="e">
        <f t="shared" si="2"/>
        <v>#N/A</v>
      </c>
      <c r="E140">
        <v>45</v>
      </c>
      <c r="F140" s="8">
        <v>46002.522430555553</v>
      </c>
      <c r="G140" s="8"/>
    </row>
    <row r="141" spans="1:7" x14ac:dyDescent="0.25">
      <c r="A141" t="s">
        <v>655</v>
      </c>
      <c r="B141" s="7">
        <v>46013.58866898148</v>
      </c>
      <c r="C141" t="s">
        <v>351</v>
      </c>
      <c r="D141" t="e">
        <f t="shared" si="2"/>
        <v>#N/A</v>
      </c>
      <c r="E141">
        <v>45</v>
      </c>
      <c r="F141" s="8">
        <v>46013.547002314815</v>
      </c>
      <c r="G141" s="8"/>
    </row>
    <row r="142" spans="1:7" x14ac:dyDescent="0.25">
      <c r="A142" t="s">
        <v>656</v>
      </c>
      <c r="B142" s="7">
        <v>46013.58929398148</v>
      </c>
      <c r="C142" t="s">
        <v>352</v>
      </c>
      <c r="D142" t="e">
        <f t="shared" si="2"/>
        <v>#N/A</v>
      </c>
      <c r="E142">
        <v>45</v>
      </c>
      <c r="F142" s="8">
        <v>46013.547627314816</v>
      </c>
      <c r="G142" s="8"/>
    </row>
    <row r="143" spans="1:7" x14ac:dyDescent="0.25">
      <c r="A143" t="s">
        <v>672</v>
      </c>
      <c r="B143" s="7">
        <v>46024.526770833334</v>
      </c>
      <c r="C143" t="s">
        <v>353</v>
      </c>
      <c r="D143" t="e">
        <f t="shared" si="2"/>
        <v>#N/A</v>
      </c>
      <c r="E143">
        <v>45</v>
      </c>
      <c r="F143" s="8">
        <v>46024.48510416667</v>
      </c>
      <c r="G143" s="8"/>
    </row>
    <row r="144" spans="1:7" x14ac:dyDescent="0.25">
      <c r="A144" t="s">
        <v>473</v>
      </c>
      <c r="B144" s="7">
        <v>45952.574780092596</v>
      </c>
      <c r="C144" t="s">
        <v>354</v>
      </c>
      <c r="D144" t="e">
        <f t="shared" si="2"/>
        <v>#N/A</v>
      </c>
      <c r="E144">
        <v>46</v>
      </c>
      <c r="F144" s="8">
        <v>45952.491446759261</v>
      </c>
      <c r="G144" s="8"/>
    </row>
    <row r="145" spans="1:7" x14ac:dyDescent="0.25">
      <c r="A145" t="s">
        <v>498</v>
      </c>
      <c r="B145" s="7">
        <v>45959.541030092587</v>
      </c>
      <c r="C145" t="s">
        <v>355</v>
      </c>
      <c r="D145" t="e">
        <f t="shared" si="2"/>
        <v>#N/A</v>
      </c>
      <c r="E145">
        <v>46</v>
      </c>
      <c r="F145" s="8">
        <v>45959.499363425923</v>
      </c>
      <c r="G145" s="8"/>
    </row>
    <row r="146" spans="1:7" x14ac:dyDescent="0.25">
      <c r="A146" t="s">
        <v>517</v>
      </c>
      <c r="B146" s="7">
        <v>45966.538657407407</v>
      </c>
      <c r="C146" t="s">
        <v>356</v>
      </c>
      <c r="D146" t="e">
        <f t="shared" si="2"/>
        <v>#N/A</v>
      </c>
      <c r="E146">
        <v>46</v>
      </c>
      <c r="F146" s="8">
        <v>45966.496990740743</v>
      </c>
      <c r="G146" s="8"/>
    </row>
    <row r="147" spans="1:7" x14ac:dyDescent="0.25">
      <c r="A147" t="s">
        <v>548</v>
      </c>
      <c r="B147" s="7">
        <v>45973.567893518513</v>
      </c>
      <c r="C147" t="s">
        <v>357</v>
      </c>
      <c r="D147" t="e">
        <f t="shared" si="2"/>
        <v>#N/A</v>
      </c>
      <c r="E147">
        <v>46</v>
      </c>
      <c r="F147" s="8">
        <v>45973.526226851849</v>
      </c>
      <c r="G147" s="8"/>
    </row>
    <row r="148" spans="1:7" x14ac:dyDescent="0.25">
      <c r="A148" t="s">
        <v>575</v>
      </c>
      <c r="B148" s="7">
        <v>45988.573969907404</v>
      </c>
      <c r="C148" t="s">
        <v>358</v>
      </c>
      <c r="D148" t="e">
        <f t="shared" si="2"/>
        <v>#N/A</v>
      </c>
      <c r="E148">
        <v>46</v>
      </c>
      <c r="F148" s="8">
        <v>45988.53230324074</v>
      </c>
      <c r="G148" s="8"/>
    </row>
    <row r="149" spans="1:7" x14ac:dyDescent="0.25">
      <c r="A149" t="s">
        <v>602</v>
      </c>
      <c r="B149" s="7">
        <v>45994.558020833334</v>
      </c>
      <c r="C149" t="s">
        <v>359</v>
      </c>
      <c r="D149" t="e">
        <f t="shared" si="2"/>
        <v>#N/A</v>
      </c>
      <c r="E149">
        <v>46</v>
      </c>
      <c r="F149" s="8">
        <v>45994.51635416667</v>
      </c>
      <c r="G149" s="8"/>
    </row>
    <row r="150" spans="1:7" x14ac:dyDescent="0.25">
      <c r="A150" t="s">
        <v>634</v>
      </c>
      <c r="B150" s="7">
        <v>46002.585115740738</v>
      </c>
      <c r="C150" t="s">
        <v>360</v>
      </c>
      <c r="D150" t="e">
        <f t="shared" si="2"/>
        <v>#N/A</v>
      </c>
      <c r="E150">
        <v>46</v>
      </c>
      <c r="F150" s="8">
        <v>46002.543449074074</v>
      </c>
      <c r="G150" s="8"/>
    </row>
    <row r="151" spans="1:7" x14ac:dyDescent="0.25">
      <c r="A151" t="s">
        <v>639</v>
      </c>
      <c r="B151" s="7">
        <v>46013.562280092592</v>
      </c>
      <c r="C151" t="s">
        <v>361</v>
      </c>
      <c r="D151" t="e">
        <f t="shared" si="2"/>
        <v>#N/A</v>
      </c>
      <c r="E151">
        <v>46</v>
      </c>
      <c r="F151" s="8">
        <v>46013.520613425928</v>
      </c>
      <c r="G151" s="8"/>
    </row>
    <row r="152" spans="1:7" x14ac:dyDescent="0.25">
      <c r="A152" t="s">
        <v>688</v>
      </c>
      <c r="B152" s="7">
        <v>46024.561076388884</v>
      </c>
      <c r="C152" t="s">
        <v>362</v>
      </c>
      <c r="D152" t="e">
        <f t="shared" si="2"/>
        <v>#N/A</v>
      </c>
      <c r="E152">
        <v>46</v>
      </c>
      <c r="F152" s="8">
        <v>46024.519409722219</v>
      </c>
      <c r="G152" s="8"/>
    </row>
    <row r="153" spans="1:7" x14ac:dyDescent="0.25">
      <c r="A153" t="s">
        <v>474</v>
      </c>
      <c r="B153" s="7">
        <v>45952.576064814821</v>
      </c>
      <c r="C153" t="s">
        <v>363</v>
      </c>
      <c r="D153" t="e">
        <f t="shared" si="2"/>
        <v>#N/A</v>
      </c>
      <c r="E153">
        <v>47</v>
      </c>
      <c r="F153" s="8">
        <v>45952.492731481485</v>
      </c>
      <c r="G153" s="8"/>
    </row>
    <row r="154" spans="1:7" x14ac:dyDescent="0.25">
      <c r="A154" t="s">
        <v>499</v>
      </c>
      <c r="B154" s="7">
        <v>45959.542499999996</v>
      </c>
      <c r="C154" t="s">
        <v>364</v>
      </c>
      <c r="D154" t="e">
        <f t="shared" si="2"/>
        <v>#N/A</v>
      </c>
      <c r="E154">
        <v>47</v>
      </c>
      <c r="F154" s="8">
        <v>45959.500833333332</v>
      </c>
      <c r="G154" s="8"/>
    </row>
    <row r="155" spans="1:7" x14ac:dyDescent="0.25">
      <c r="A155" t="s">
        <v>516</v>
      </c>
      <c r="B155" s="7">
        <v>45966.537199074075</v>
      </c>
      <c r="C155" t="s">
        <v>365</v>
      </c>
      <c r="D155" t="e">
        <f t="shared" si="2"/>
        <v>#N/A</v>
      </c>
      <c r="E155">
        <v>47</v>
      </c>
      <c r="F155" s="8">
        <v>45966.495532407411</v>
      </c>
      <c r="G155" s="8"/>
    </row>
    <row r="156" spans="1:7" x14ac:dyDescent="0.25">
      <c r="A156" t="s">
        <v>549</v>
      </c>
      <c r="B156" s="7">
        <v>45973.56895833333</v>
      </c>
      <c r="C156" t="s">
        <v>366</v>
      </c>
      <c r="D156" t="e">
        <f t="shared" si="2"/>
        <v>#N/A</v>
      </c>
      <c r="E156">
        <v>47</v>
      </c>
      <c r="F156" s="8">
        <v>45973.527291666665</v>
      </c>
      <c r="G156" s="8"/>
    </row>
    <row r="157" spans="1:7" x14ac:dyDescent="0.25">
      <c r="A157" t="s">
        <v>576</v>
      </c>
      <c r="B157" s="7">
        <v>45988.576979166661</v>
      </c>
      <c r="C157" t="s">
        <v>367</v>
      </c>
      <c r="D157" t="e">
        <f t="shared" si="2"/>
        <v>#N/A</v>
      </c>
      <c r="E157">
        <v>47</v>
      </c>
      <c r="F157" s="8">
        <v>45988.535312499997</v>
      </c>
      <c r="G157" s="8"/>
    </row>
    <row r="158" spans="1:7" x14ac:dyDescent="0.25">
      <c r="A158" t="s">
        <v>603</v>
      </c>
      <c r="B158" s="7">
        <v>45994.559687499997</v>
      </c>
      <c r="C158" t="s">
        <v>368</v>
      </c>
      <c r="D158" t="e">
        <f t="shared" si="2"/>
        <v>#N/A</v>
      </c>
      <c r="E158">
        <v>47</v>
      </c>
      <c r="F158" s="8">
        <v>45994.518020833333</v>
      </c>
      <c r="G158" s="8"/>
    </row>
    <row r="159" spans="1:7" x14ac:dyDescent="0.25">
      <c r="A159" t="s">
        <v>635</v>
      </c>
      <c r="B159" s="7">
        <v>46002.586817129624</v>
      </c>
      <c r="C159" t="s">
        <v>369</v>
      </c>
      <c r="D159" t="e">
        <f t="shared" si="2"/>
        <v>#N/A</v>
      </c>
      <c r="E159">
        <v>47</v>
      </c>
      <c r="F159" s="8">
        <v>46002.54515046296</v>
      </c>
      <c r="G159" s="8"/>
    </row>
    <row r="160" spans="1:7" x14ac:dyDescent="0.25">
      <c r="A160" t="s">
        <v>640</v>
      </c>
      <c r="B160" s="7">
        <v>46013.564537037033</v>
      </c>
      <c r="C160" t="s">
        <v>370</v>
      </c>
      <c r="D160" t="e">
        <f t="shared" si="2"/>
        <v>#N/A</v>
      </c>
      <c r="E160">
        <v>47</v>
      </c>
      <c r="F160" s="8">
        <v>46013.522870370369</v>
      </c>
      <c r="G160" s="8"/>
    </row>
    <row r="161" spans="1:7" x14ac:dyDescent="0.25">
      <c r="A161" t="s">
        <v>689</v>
      </c>
      <c r="B161" s="7">
        <v>46024.562337962961</v>
      </c>
      <c r="C161" t="s">
        <v>371</v>
      </c>
      <c r="D161" t="e">
        <f t="shared" si="2"/>
        <v>#N/A</v>
      </c>
      <c r="E161">
        <v>47</v>
      </c>
      <c r="F161" s="8">
        <v>46024.520671296297</v>
      </c>
      <c r="G161" s="8"/>
    </row>
    <row r="162" spans="1:7" x14ac:dyDescent="0.25">
      <c r="A162" t="s">
        <v>475</v>
      </c>
      <c r="B162" s="7">
        <v>45952.57748842593</v>
      </c>
      <c r="C162" t="s">
        <v>372</v>
      </c>
      <c r="D162" t="e">
        <f t="shared" si="2"/>
        <v>#N/A</v>
      </c>
      <c r="E162">
        <v>48</v>
      </c>
      <c r="F162" s="8">
        <v>45952.494155092594</v>
      </c>
      <c r="G162" s="8"/>
    </row>
    <row r="163" spans="1:7" x14ac:dyDescent="0.25">
      <c r="A163" t="s">
        <v>500</v>
      </c>
      <c r="B163" s="7">
        <v>45959.544143518513</v>
      </c>
      <c r="C163" t="s">
        <v>373</v>
      </c>
      <c r="D163" t="e">
        <f t="shared" si="2"/>
        <v>#N/A</v>
      </c>
      <c r="E163">
        <v>48</v>
      </c>
      <c r="F163" s="8">
        <v>45959.502476851849</v>
      </c>
      <c r="G163" s="8"/>
    </row>
    <row r="164" spans="1:7" x14ac:dyDescent="0.25">
      <c r="A164" t="s">
        <v>515</v>
      </c>
      <c r="B164" s="7">
        <v>45966.535497685181</v>
      </c>
      <c r="C164" t="s">
        <v>374</v>
      </c>
      <c r="D164" t="e">
        <f t="shared" si="2"/>
        <v>#N/A</v>
      </c>
      <c r="E164">
        <v>48</v>
      </c>
      <c r="F164" s="8">
        <v>45966.493831018517</v>
      </c>
      <c r="G164" s="8"/>
    </row>
    <row r="165" spans="1:7" x14ac:dyDescent="0.25">
      <c r="A165" t="s">
        <v>550</v>
      </c>
      <c r="B165" s="7">
        <v>45973.570625</v>
      </c>
      <c r="C165" t="s">
        <v>375</v>
      </c>
      <c r="D165" t="e">
        <f t="shared" si="2"/>
        <v>#N/A</v>
      </c>
      <c r="E165">
        <v>48</v>
      </c>
      <c r="F165" s="8">
        <v>45973.528958333336</v>
      </c>
      <c r="G165" s="8"/>
    </row>
    <row r="166" spans="1:7" x14ac:dyDescent="0.25">
      <c r="A166" t="s">
        <v>577</v>
      </c>
      <c r="B166" s="7">
        <v>45988.583032407405</v>
      </c>
      <c r="C166" t="s">
        <v>376</v>
      </c>
      <c r="D166" t="e">
        <f t="shared" si="2"/>
        <v>#N/A</v>
      </c>
      <c r="E166">
        <v>48</v>
      </c>
      <c r="F166" s="8">
        <v>45988.541365740741</v>
      </c>
      <c r="G166" s="8"/>
    </row>
    <row r="167" spans="1:7" x14ac:dyDescent="0.25">
      <c r="A167" t="s">
        <v>604</v>
      </c>
      <c r="B167" s="7">
        <v>45994.561041666668</v>
      </c>
      <c r="C167" t="s">
        <v>377</v>
      </c>
      <c r="D167" t="e">
        <f t="shared" si="2"/>
        <v>#N/A</v>
      </c>
      <c r="E167">
        <v>48</v>
      </c>
      <c r="F167" s="8">
        <v>45994.519375000003</v>
      </c>
      <c r="G167" s="8"/>
    </row>
    <row r="168" spans="1:7" x14ac:dyDescent="0.25">
      <c r="A168" t="s">
        <v>636</v>
      </c>
      <c r="B168" s="7">
        <v>46002.588009259256</v>
      </c>
      <c r="C168" t="s">
        <v>378</v>
      </c>
      <c r="D168" t="e">
        <f t="shared" si="2"/>
        <v>#N/A</v>
      </c>
      <c r="E168">
        <v>48</v>
      </c>
      <c r="F168" s="8">
        <v>46002.546342592592</v>
      </c>
      <c r="G168" s="8"/>
    </row>
    <row r="169" spans="1:7" x14ac:dyDescent="0.25">
      <c r="A169" t="s">
        <v>641</v>
      </c>
      <c r="B169" s="7">
        <v>46013.566400462958</v>
      </c>
      <c r="C169" t="s">
        <v>379</v>
      </c>
      <c r="D169" t="e">
        <f t="shared" si="2"/>
        <v>#N/A</v>
      </c>
      <c r="E169">
        <v>48</v>
      </c>
      <c r="F169" s="8">
        <v>46013.524733796294</v>
      </c>
      <c r="G169" s="8"/>
    </row>
    <row r="170" spans="1:7" x14ac:dyDescent="0.25">
      <c r="A170" t="s">
        <v>690</v>
      </c>
      <c r="B170" s="7">
        <v>46024.563634259255</v>
      </c>
      <c r="C170" t="s">
        <v>380</v>
      </c>
      <c r="D170" t="e">
        <f t="shared" si="2"/>
        <v>#N/A</v>
      </c>
      <c r="E170">
        <v>48</v>
      </c>
      <c r="F170" s="8">
        <v>46024.521967592591</v>
      </c>
      <c r="G170" s="8"/>
    </row>
    <row r="171" spans="1:7" x14ac:dyDescent="0.25">
      <c r="A171" t="s">
        <v>476</v>
      </c>
      <c r="B171" s="7">
        <v>45952.578645833339</v>
      </c>
      <c r="C171" t="s">
        <v>381</v>
      </c>
      <c r="D171" t="e">
        <f t="shared" si="2"/>
        <v>#N/A</v>
      </c>
      <c r="E171">
        <v>49</v>
      </c>
      <c r="F171" s="8">
        <v>45952.495312500003</v>
      </c>
      <c r="G171" s="8"/>
    </row>
    <row r="172" spans="1:7" x14ac:dyDescent="0.25">
      <c r="A172" t="s">
        <v>501</v>
      </c>
      <c r="B172" s="7">
        <v>45959.547175925924</v>
      </c>
      <c r="C172" t="s">
        <v>382</v>
      </c>
      <c r="D172" t="e">
        <f t="shared" si="2"/>
        <v>#N/A</v>
      </c>
      <c r="E172">
        <v>49</v>
      </c>
      <c r="F172" s="8">
        <v>45959.505509259259</v>
      </c>
      <c r="G172" s="8"/>
    </row>
    <row r="173" spans="1:7" x14ac:dyDescent="0.25">
      <c r="A173" t="s">
        <v>514</v>
      </c>
      <c r="B173" s="7">
        <v>45966.53398148148</v>
      </c>
      <c r="C173" t="s">
        <v>383</v>
      </c>
      <c r="D173" t="e">
        <f t="shared" si="2"/>
        <v>#N/A</v>
      </c>
      <c r="E173">
        <v>49</v>
      </c>
      <c r="F173" s="8">
        <v>45966.492314814815</v>
      </c>
      <c r="G173" s="8"/>
    </row>
    <row r="174" spans="1:7" x14ac:dyDescent="0.25">
      <c r="A174" t="s">
        <v>551</v>
      </c>
      <c r="B174" s="7">
        <v>45973.57163194444</v>
      </c>
      <c r="C174" t="s">
        <v>384</v>
      </c>
      <c r="D174" t="e">
        <f t="shared" si="2"/>
        <v>#N/A</v>
      </c>
      <c r="E174">
        <v>49</v>
      </c>
      <c r="F174" s="8">
        <v>45973.529965277776</v>
      </c>
      <c r="G174" s="8"/>
    </row>
    <row r="175" spans="1:7" x14ac:dyDescent="0.25">
      <c r="A175" t="s">
        <v>578</v>
      </c>
      <c r="B175" s="7">
        <v>45988.586226851847</v>
      </c>
      <c r="C175" t="s">
        <v>385</v>
      </c>
      <c r="D175" t="e">
        <f t="shared" si="2"/>
        <v>#N/A</v>
      </c>
      <c r="E175">
        <v>49</v>
      </c>
      <c r="F175" s="8">
        <v>45988.544560185182</v>
      </c>
      <c r="G175" s="8"/>
    </row>
    <row r="176" spans="1:7" x14ac:dyDescent="0.25">
      <c r="A176" t="s">
        <v>605</v>
      </c>
      <c r="B176" s="7">
        <v>45994.562974537032</v>
      </c>
      <c r="C176" t="s">
        <v>386</v>
      </c>
      <c r="D176" t="e">
        <f t="shared" si="2"/>
        <v>#N/A</v>
      </c>
      <c r="E176">
        <v>49</v>
      </c>
      <c r="F176" s="8">
        <v>45994.521307870367</v>
      </c>
      <c r="G176" s="8"/>
    </row>
    <row r="177" spans="1:7" x14ac:dyDescent="0.25">
      <c r="A177" t="s">
        <v>606</v>
      </c>
      <c r="B177" s="7">
        <v>45994.563750000001</v>
      </c>
      <c r="C177" t="s">
        <v>387</v>
      </c>
      <c r="D177" t="e">
        <f t="shared" si="2"/>
        <v>#N/A</v>
      </c>
      <c r="E177">
        <v>49</v>
      </c>
      <c r="F177" s="8">
        <v>45994.522083333337</v>
      </c>
      <c r="G177" s="8"/>
    </row>
    <row r="178" spans="1:7" x14ac:dyDescent="0.25">
      <c r="A178" t="s">
        <v>637</v>
      </c>
      <c r="B178" s="7">
        <v>46002.589097222219</v>
      </c>
      <c r="C178" t="s">
        <v>388</v>
      </c>
      <c r="D178" t="e">
        <f t="shared" si="2"/>
        <v>#N/A</v>
      </c>
      <c r="E178">
        <v>49</v>
      </c>
      <c r="F178" s="8">
        <v>46002.547430555554</v>
      </c>
      <c r="G178" s="8"/>
    </row>
    <row r="179" spans="1:7" x14ac:dyDescent="0.25">
      <c r="A179" t="s">
        <v>642</v>
      </c>
      <c r="B179" s="7">
        <v>46013.568240740737</v>
      </c>
      <c r="C179" t="s">
        <v>389</v>
      </c>
      <c r="D179" t="e">
        <f t="shared" si="2"/>
        <v>#N/A</v>
      </c>
      <c r="E179">
        <v>49</v>
      </c>
      <c r="F179" s="8">
        <v>46013.526574074072</v>
      </c>
      <c r="G179" s="8"/>
    </row>
    <row r="180" spans="1:7" x14ac:dyDescent="0.25">
      <c r="A180" t="s">
        <v>691</v>
      </c>
      <c r="B180" s="7">
        <v>46024.564953703702</v>
      </c>
      <c r="C180" t="s">
        <v>390</v>
      </c>
      <c r="D180" t="e">
        <f t="shared" si="2"/>
        <v>#N/A</v>
      </c>
      <c r="E180">
        <v>49</v>
      </c>
      <c r="F180" s="8">
        <v>46024.523287037038</v>
      </c>
      <c r="G180" s="8"/>
    </row>
    <row r="181" spans="1:7" x14ac:dyDescent="0.25">
      <c r="A181" t="s">
        <v>477</v>
      </c>
      <c r="B181" s="7">
        <v>45952.579398148147</v>
      </c>
      <c r="C181" t="s">
        <v>391</v>
      </c>
      <c r="D181" t="e">
        <f t="shared" si="2"/>
        <v>#N/A</v>
      </c>
      <c r="E181">
        <v>50</v>
      </c>
      <c r="F181" s="8">
        <v>45952.496064814812</v>
      </c>
      <c r="G181" s="8"/>
    </row>
    <row r="182" spans="1:7" x14ac:dyDescent="0.25">
      <c r="A182" t="s">
        <v>502</v>
      </c>
      <c r="B182" s="7">
        <v>45959.548773148148</v>
      </c>
      <c r="C182" t="s">
        <v>392</v>
      </c>
      <c r="D182" t="e">
        <f t="shared" si="2"/>
        <v>#N/A</v>
      </c>
      <c r="E182">
        <v>50</v>
      </c>
      <c r="F182" s="8">
        <v>45959.507106481484</v>
      </c>
      <c r="G182" s="8"/>
    </row>
    <row r="183" spans="1:7" x14ac:dyDescent="0.25">
      <c r="A183" t="s">
        <v>513</v>
      </c>
      <c r="B183" s="7">
        <v>45966.532557870371</v>
      </c>
      <c r="C183" t="s">
        <v>393</v>
      </c>
      <c r="D183" t="e">
        <f t="shared" si="2"/>
        <v>#N/A</v>
      </c>
      <c r="E183">
        <v>50</v>
      </c>
      <c r="F183" s="8">
        <v>45966.490891203706</v>
      </c>
      <c r="G183" s="8"/>
    </row>
    <row r="184" spans="1:7" x14ac:dyDescent="0.25">
      <c r="A184" t="s">
        <v>552</v>
      </c>
      <c r="B184" s="7">
        <v>45973.573124999995</v>
      </c>
      <c r="C184" t="s">
        <v>394</v>
      </c>
      <c r="D184" t="e">
        <f t="shared" si="2"/>
        <v>#N/A</v>
      </c>
      <c r="E184">
        <v>50</v>
      </c>
      <c r="F184" s="8">
        <v>45973.531458333331</v>
      </c>
      <c r="G184" s="8"/>
    </row>
    <row r="185" spans="1:7" x14ac:dyDescent="0.25">
      <c r="A185" t="s">
        <v>579</v>
      </c>
      <c r="B185" s="7">
        <v>45988.587905092587</v>
      </c>
      <c r="C185" t="s">
        <v>395</v>
      </c>
      <c r="D185" t="e">
        <f t="shared" si="2"/>
        <v>#N/A</v>
      </c>
      <c r="E185">
        <v>50</v>
      </c>
      <c r="F185" s="8">
        <v>45988.546238425923</v>
      </c>
      <c r="G185" s="8"/>
    </row>
    <row r="186" spans="1:7" x14ac:dyDescent="0.25">
      <c r="A186" t="s">
        <v>607</v>
      </c>
      <c r="B186" s="7">
        <v>45994.565081018518</v>
      </c>
      <c r="C186" t="s">
        <v>396</v>
      </c>
      <c r="D186" t="e">
        <f t="shared" si="2"/>
        <v>#N/A</v>
      </c>
      <c r="E186">
        <v>50</v>
      </c>
      <c r="F186" s="8">
        <v>45994.523414351854</v>
      </c>
      <c r="G186" s="8"/>
    </row>
    <row r="187" spans="1:7" x14ac:dyDescent="0.25">
      <c r="A187" t="s">
        <v>638</v>
      </c>
      <c r="B187" s="7">
        <v>46002.59065972222</v>
      </c>
      <c r="C187" t="s">
        <v>397</v>
      </c>
      <c r="D187" t="e">
        <f t="shared" si="2"/>
        <v>#N/A</v>
      </c>
      <c r="E187">
        <v>50</v>
      </c>
      <c r="F187" s="8">
        <v>46002.548993055556</v>
      </c>
      <c r="G187" s="8"/>
    </row>
    <row r="188" spans="1:7" x14ac:dyDescent="0.25">
      <c r="A188" t="s">
        <v>643</v>
      </c>
      <c r="B188" s="7">
        <v>46013.569502314815</v>
      </c>
      <c r="C188" t="s">
        <v>398</v>
      </c>
      <c r="D188" t="e">
        <f t="shared" si="2"/>
        <v>#N/A</v>
      </c>
      <c r="E188">
        <v>50</v>
      </c>
      <c r="F188" s="8">
        <v>46013.52783564815</v>
      </c>
      <c r="G188" s="8"/>
    </row>
    <row r="189" spans="1:7" x14ac:dyDescent="0.25">
      <c r="A189" t="s">
        <v>692</v>
      </c>
      <c r="B189" s="7">
        <v>46024.566354166665</v>
      </c>
      <c r="C189" t="s">
        <v>399</v>
      </c>
      <c r="D189" t="e">
        <f t="shared" si="2"/>
        <v>#N/A</v>
      </c>
      <c r="E189">
        <v>50</v>
      </c>
      <c r="F189" s="8">
        <v>46024.524687500001</v>
      </c>
      <c r="G189" s="8"/>
    </row>
    <row r="190" spans="1:7" x14ac:dyDescent="0.25">
      <c r="A190" t="s">
        <v>693</v>
      </c>
      <c r="B190" s="7">
        <v>46024.566886574074</v>
      </c>
      <c r="C190" t="s">
        <v>400</v>
      </c>
      <c r="D190" t="e">
        <f t="shared" si="2"/>
        <v>#N/A</v>
      </c>
      <c r="E190">
        <v>50</v>
      </c>
      <c r="F190" s="8">
        <v>46024.525219907409</v>
      </c>
      <c r="G190" s="8"/>
    </row>
    <row r="191" spans="1:7" x14ac:dyDescent="0.25">
      <c r="A191" t="s">
        <v>478</v>
      </c>
      <c r="B191" s="7">
        <v>45952.580914351856</v>
      </c>
      <c r="C191" t="s">
        <v>401</v>
      </c>
      <c r="D191" t="e">
        <f t="shared" si="2"/>
        <v>#N/A</v>
      </c>
      <c r="E191">
        <v>51</v>
      </c>
      <c r="F191" s="8">
        <v>45952.497581018521</v>
      </c>
      <c r="G191" s="8"/>
    </row>
    <row r="192" spans="1:7" x14ac:dyDescent="0.25">
      <c r="A192" t="s">
        <v>503</v>
      </c>
      <c r="B192" s="7">
        <v>45959.551342592589</v>
      </c>
      <c r="C192" t="s">
        <v>402</v>
      </c>
      <c r="D192" t="e">
        <f t="shared" si="2"/>
        <v>#N/A</v>
      </c>
      <c r="E192">
        <v>51</v>
      </c>
      <c r="F192" s="8">
        <v>45959.509675925925</v>
      </c>
      <c r="G192" s="8"/>
    </row>
    <row r="193" spans="1:7" x14ac:dyDescent="0.25">
      <c r="A193" t="s">
        <v>512</v>
      </c>
      <c r="B193" s="7">
        <v>45966.528078703705</v>
      </c>
      <c r="C193" t="s">
        <v>403</v>
      </c>
      <c r="D193" t="e">
        <f t="shared" si="2"/>
        <v>#N/A</v>
      </c>
      <c r="E193">
        <v>51</v>
      </c>
      <c r="F193" s="8">
        <v>45966.48641203704</v>
      </c>
      <c r="G193" s="8"/>
    </row>
    <row r="194" spans="1:7" x14ac:dyDescent="0.25">
      <c r="A194" t="s">
        <v>554</v>
      </c>
      <c r="B194" s="7">
        <v>45973.577291666661</v>
      </c>
      <c r="C194" t="s">
        <v>404</v>
      </c>
      <c r="D194" t="e">
        <f t="shared" ref="D194:D257" si="3">VLOOKUP(C194,$H$2:$I$10,2,FALSE)</f>
        <v>#N/A</v>
      </c>
      <c r="E194">
        <v>51</v>
      </c>
      <c r="F194" s="8">
        <v>45973.535624999997</v>
      </c>
      <c r="G194" s="8"/>
    </row>
    <row r="195" spans="1:7" x14ac:dyDescent="0.25">
      <c r="A195" t="s">
        <v>580</v>
      </c>
      <c r="B195" s="7">
        <v>45988.592951388884</v>
      </c>
      <c r="C195" t="s">
        <v>405</v>
      </c>
      <c r="D195" t="e">
        <f t="shared" si="3"/>
        <v>#N/A</v>
      </c>
      <c r="E195">
        <v>51</v>
      </c>
      <c r="F195" s="8">
        <v>45988.55128472222</v>
      </c>
      <c r="G195" s="8"/>
    </row>
    <row r="196" spans="1:7" x14ac:dyDescent="0.25">
      <c r="A196" t="s">
        <v>591</v>
      </c>
      <c r="B196" s="7">
        <v>45994.540277777778</v>
      </c>
      <c r="C196" t="s">
        <v>406</v>
      </c>
      <c r="D196" t="e">
        <f t="shared" si="3"/>
        <v>#N/A</v>
      </c>
      <c r="E196">
        <v>51</v>
      </c>
      <c r="F196" s="8">
        <v>45994.498611111114</v>
      </c>
      <c r="G196" s="8"/>
    </row>
    <row r="197" spans="1:7" x14ac:dyDescent="0.25">
      <c r="A197" t="s">
        <v>613</v>
      </c>
      <c r="B197" s="7">
        <v>46002.54650462963</v>
      </c>
      <c r="C197" t="s">
        <v>407</v>
      </c>
      <c r="D197" t="e">
        <f t="shared" si="3"/>
        <v>#N/A</v>
      </c>
      <c r="E197">
        <v>51</v>
      </c>
      <c r="F197" s="8">
        <v>46002.504837962966</v>
      </c>
      <c r="G197" s="8"/>
    </row>
    <row r="198" spans="1:7" x14ac:dyDescent="0.25">
      <c r="A198" t="s">
        <v>644</v>
      </c>
      <c r="B198" s="7">
        <v>46013.57268518518</v>
      </c>
      <c r="C198" t="s">
        <v>408</v>
      </c>
      <c r="D198" t="e">
        <f t="shared" si="3"/>
        <v>#N/A</v>
      </c>
      <c r="E198">
        <v>51</v>
      </c>
      <c r="F198" s="8">
        <v>46013.531018518515</v>
      </c>
      <c r="G198" s="8"/>
    </row>
    <row r="199" spans="1:7" x14ac:dyDescent="0.25">
      <c r="A199" t="s">
        <v>683</v>
      </c>
      <c r="B199" s="7">
        <v>46024.548402777778</v>
      </c>
      <c r="C199" t="s">
        <v>409</v>
      </c>
      <c r="D199" t="e">
        <f t="shared" si="3"/>
        <v>#N/A</v>
      </c>
      <c r="E199">
        <v>51</v>
      </c>
      <c r="F199" s="8">
        <v>46024.506736111114</v>
      </c>
      <c r="G199" s="8"/>
    </row>
    <row r="200" spans="1:7" x14ac:dyDescent="0.25">
      <c r="A200" t="s">
        <v>479</v>
      </c>
      <c r="B200" s="7">
        <v>45952.581805555557</v>
      </c>
      <c r="C200" t="s">
        <v>410</v>
      </c>
      <c r="D200" t="e">
        <f t="shared" si="3"/>
        <v>#N/A</v>
      </c>
      <c r="E200">
        <v>52</v>
      </c>
      <c r="F200" s="8">
        <v>45952.498472222222</v>
      </c>
      <c r="G200" s="8"/>
    </row>
    <row r="201" spans="1:7" x14ac:dyDescent="0.25">
      <c r="A201" t="s">
        <v>504</v>
      </c>
      <c r="B201" s="7">
        <v>45959.554652777777</v>
      </c>
      <c r="C201" t="s">
        <v>411</v>
      </c>
      <c r="D201" t="e">
        <f t="shared" si="3"/>
        <v>#N/A</v>
      </c>
      <c r="E201">
        <v>52</v>
      </c>
      <c r="F201" s="8">
        <v>45959.512986111113</v>
      </c>
      <c r="G201" s="8"/>
    </row>
    <row r="202" spans="1:7" x14ac:dyDescent="0.25">
      <c r="A202" t="s">
        <v>511</v>
      </c>
      <c r="B202" s="7">
        <v>45966.526516203703</v>
      </c>
      <c r="C202" t="s">
        <v>412</v>
      </c>
      <c r="D202" t="e">
        <f t="shared" si="3"/>
        <v>#N/A</v>
      </c>
      <c r="E202">
        <v>52</v>
      </c>
      <c r="F202" s="8">
        <v>45966.484849537039</v>
      </c>
      <c r="G202" s="8"/>
    </row>
    <row r="203" spans="1:7" x14ac:dyDescent="0.25">
      <c r="A203" t="s">
        <v>553</v>
      </c>
      <c r="B203" s="7">
        <v>45973.575659722221</v>
      </c>
      <c r="C203" t="s">
        <v>413</v>
      </c>
      <c r="D203" t="e">
        <f t="shared" si="3"/>
        <v>#N/A</v>
      </c>
      <c r="E203">
        <v>52</v>
      </c>
      <c r="F203" s="8">
        <v>45973.533993055556</v>
      </c>
      <c r="G203" s="8"/>
    </row>
    <row r="204" spans="1:7" x14ac:dyDescent="0.25">
      <c r="A204" t="s">
        <v>555</v>
      </c>
      <c r="B204" s="7">
        <v>45973.578483796293</v>
      </c>
      <c r="C204" t="s">
        <v>414</v>
      </c>
      <c r="D204" t="e">
        <f t="shared" si="3"/>
        <v>#N/A</v>
      </c>
      <c r="E204">
        <v>52</v>
      </c>
      <c r="F204" s="8">
        <v>45973.536817129629</v>
      </c>
      <c r="G204" s="8"/>
    </row>
    <row r="205" spans="1:7" x14ac:dyDescent="0.25">
      <c r="A205" t="s">
        <v>581</v>
      </c>
      <c r="B205" s="7">
        <v>45988.594641203701</v>
      </c>
      <c r="C205" t="s">
        <v>415</v>
      </c>
      <c r="D205" t="e">
        <f t="shared" si="3"/>
        <v>#N/A</v>
      </c>
      <c r="E205">
        <v>52</v>
      </c>
      <c r="F205" s="8">
        <v>45988.552974537037</v>
      </c>
      <c r="G205" s="8"/>
    </row>
    <row r="206" spans="1:7" x14ac:dyDescent="0.25">
      <c r="A206" t="s">
        <v>592</v>
      </c>
      <c r="B206" s="7">
        <v>45994.542083333334</v>
      </c>
      <c r="C206" t="s">
        <v>416</v>
      </c>
      <c r="D206" t="e">
        <f t="shared" si="3"/>
        <v>#N/A</v>
      </c>
      <c r="E206">
        <v>52</v>
      </c>
      <c r="F206" s="8">
        <v>45994.500416666669</v>
      </c>
      <c r="G206" s="8"/>
    </row>
    <row r="207" spans="1:7" x14ac:dyDescent="0.25">
      <c r="A207" t="s">
        <v>614</v>
      </c>
      <c r="B207" s="7">
        <v>46002.547719907408</v>
      </c>
      <c r="C207" t="s">
        <v>417</v>
      </c>
      <c r="D207" t="e">
        <f t="shared" si="3"/>
        <v>#N/A</v>
      </c>
      <c r="E207">
        <v>52</v>
      </c>
      <c r="F207" s="8">
        <v>46002.506053240744</v>
      </c>
      <c r="G207" s="8"/>
    </row>
    <row r="208" spans="1:7" x14ac:dyDescent="0.25">
      <c r="A208" t="s">
        <v>645</v>
      </c>
      <c r="B208" s="7">
        <v>46013.573749999996</v>
      </c>
      <c r="C208" t="s">
        <v>418</v>
      </c>
      <c r="D208" t="e">
        <f t="shared" si="3"/>
        <v>#N/A</v>
      </c>
      <c r="E208">
        <v>52</v>
      </c>
      <c r="F208" s="8">
        <v>46013.532083333332</v>
      </c>
      <c r="G208" s="8"/>
    </row>
    <row r="209" spans="1:7" x14ac:dyDescent="0.25">
      <c r="A209" t="s">
        <v>684</v>
      </c>
      <c r="B209" s="7">
        <v>46024.549849537034</v>
      </c>
      <c r="C209" t="s">
        <v>419</v>
      </c>
      <c r="D209" t="e">
        <f t="shared" si="3"/>
        <v>#N/A</v>
      </c>
      <c r="E209">
        <v>52</v>
      </c>
      <c r="F209" s="8">
        <v>46024.50818287037</v>
      </c>
      <c r="G209" s="8"/>
    </row>
    <row r="210" spans="1:7" x14ac:dyDescent="0.25">
      <c r="A210" t="s">
        <v>480</v>
      </c>
      <c r="B210" s="7">
        <v>45952.582812500004</v>
      </c>
      <c r="C210" t="s">
        <v>420</v>
      </c>
      <c r="D210" t="e">
        <f t="shared" si="3"/>
        <v>#N/A</v>
      </c>
      <c r="E210">
        <v>53</v>
      </c>
      <c r="F210" s="8">
        <v>45952.499479166669</v>
      </c>
      <c r="G210" s="8"/>
    </row>
    <row r="211" spans="1:7" x14ac:dyDescent="0.25">
      <c r="A211" t="s">
        <v>505</v>
      </c>
      <c r="B211" s="7">
        <v>45959.556030092594</v>
      </c>
      <c r="C211" t="s">
        <v>421</v>
      </c>
      <c r="D211" t="e">
        <f t="shared" si="3"/>
        <v>#N/A</v>
      </c>
      <c r="E211">
        <v>53</v>
      </c>
      <c r="F211" s="8">
        <v>45959.514363425929</v>
      </c>
      <c r="G211" s="8"/>
    </row>
    <row r="212" spans="1:7" x14ac:dyDescent="0.25">
      <c r="A212" t="s">
        <v>510</v>
      </c>
      <c r="B212" s="7">
        <v>45966.524942129625</v>
      </c>
      <c r="C212" t="s">
        <v>422</v>
      </c>
      <c r="D212" t="e">
        <f t="shared" si="3"/>
        <v>#N/A</v>
      </c>
      <c r="E212">
        <v>53</v>
      </c>
      <c r="F212" s="8">
        <v>45966.483275462961</v>
      </c>
      <c r="G212" s="8"/>
    </row>
    <row r="213" spans="1:7" x14ac:dyDescent="0.25">
      <c r="A213" t="s">
        <v>556</v>
      </c>
      <c r="B213" s="7">
        <v>45973.579606481479</v>
      </c>
      <c r="C213" t="s">
        <v>423</v>
      </c>
      <c r="D213" t="e">
        <f t="shared" si="3"/>
        <v>#N/A</v>
      </c>
      <c r="E213">
        <v>53</v>
      </c>
      <c r="F213" s="8">
        <v>45973.537939814814</v>
      </c>
      <c r="G213" s="8"/>
    </row>
    <row r="214" spans="1:7" x14ac:dyDescent="0.25">
      <c r="A214" t="s">
        <v>582</v>
      </c>
      <c r="B214" s="7">
        <v>45988.59747685185</v>
      </c>
      <c r="C214" t="s">
        <v>424</v>
      </c>
      <c r="D214" t="e">
        <f t="shared" si="3"/>
        <v>#N/A</v>
      </c>
      <c r="E214">
        <v>53</v>
      </c>
      <c r="F214" s="8">
        <v>45988.555810185186</v>
      </c>
      <c r="G214" s="8"/>
    </row>
    <row r="215" spans="1:7" x14ac:dyDescent="0.25">
      <c r="A215" t="s">
        <v>593</v>
      </c>
      <c r="B215" s="7">
        <v>45994.54310185185</v>
      </c>
      <c r="C215" t="s">
        <v>425</v>
      </c>
      <c r="D215" t="e">
        <f t="shared" si="3"/>
        <v>#N/A</v>
      </c>
      <c r="E215">
        <v>53</v>
      </c>
      <c r="F215" s="8">
        <v>45994.501435185186</v>
      </c>
      <c r="G215" s="8"/>
    </row>
    <row r="216" spans="1:7" x14ac:dyDescent="0.25">
      <c r="A216" t="s">
        <v>615</v>
      </c>
      <c r="B216" s="7">
        <v>46002.54924768518</v>
      </c>
      <c r="C216" t="s">
        <v>426</v>
      </c>
      <c r="D216" t="e">
        <f t="shared" si="3"/>
        <v>#N/A</v>
      </c>
      <c r="E216">
        <v>53</v>
      </c>
      <c r="F216" s="8">
        <v>46002.507581018515</v>
      </c>
      <c r="G216" s="8"/>
    </row>
    <row r="217" spans="1:7" x14ac:dyDescent="0.25">
      <c r="A217" t="s">
        <v>616</v>
      </c>
      <c r="B217" s="7">
        <v>46002.551516203705</v>
      </c>
      <c r="C217" t="s">
        <v>427</v>
      </c>
      <c r="D217" t="e">
        <f t="shared" si="3"/>
        <v>#N/A</v>
      </c>
      <c r="E217">
        <v>53</v>
      </c>
      <c r="F217" s="8">
        <v>46002.50984953704</v>
      </c>
      <c r="G217" s="8"/>
    </row>
    <row r="218" spans="1:7" x14ac:dyDescent="0.25">
      <c r="A218" t="s">
        <v>646</v>
      </c>
      <c r="B218" s="7">
        <v>46013.57503472222</v>
      </c>
      <c r="C218" t="s">
        <v>428</v>
      </c>
      <c r="D218" t="e">
        <f t="shared" si="3"/>
        <v>#N/A</v>
      </c>
      <c r="E218">
        <v>53</v>
      </c>
      <c r="F218" s="8">
        <v>46013.533368055556</v>
      </c>
      <c r="G218" s="8"/>
    </row>
    <row r="219" spans="1:7" x14ac:dyDescent="0.25">
      <c r="A219" t="s">
        <v>647</v>
      </c>
      <c r="B219" s="7">
        <v>46013.57534722222</v>
      </c>
      <c r="C219" t="s">
        <v>429</v>
      </c>
      <c r="D219" t="e">
        <f t="shared" si="3"/>
        <v>#N/A</v>
      </c>
      <c r="E219">
        <v>53</v>
      </c>
      <c r="F219" s="8">
        <v>46013.533680555556</v>
      </c>
      <c r="G219" s="8"/>
    </row>
    <row r="220" spans="1:7" x14ac:dyDescent="0.25">
      <c r="A220" t="s">
        <v>648</v>
      </c>
      <c r="B220" s="7">
        <v>46013.575879629629</v>
      </c>
      <c r="C220" t="s">
        <v>430</v>
      </c>
      <c r="D220" t="e">
        <f t="shared" si="3"/>
        <v>#N/A</v>
      </c>
      <c r="E220">
        <v>53</v>
      </c>
      <c r="F220" s="8">
        <v>46013.534212962964</v>
      </c>
      <c r="G220" s="8"/>
    </row>
    <row r="221" spans="1:7" x14ac:dyDescent="0.25">
      <c r="A221" t="s">
        <v>685</v>
      </c>
      <c r="B221" s="7">
        <v>46024.551469907405</v>
      </c>
      <c r="C221" t="s">
        <v>431</v>
      </c>
      <c r="D221" t="e">
        <f t="shared" si="3"/>
        <v>#N/A</v>
      </c>
      <c r="E221">
        <v>53</v>
      </c>
      <c r="F221" s="8">
        <v>46024.50980324074</v>
      </c>
      <c r="G221" s="8"/>
    </row>
    <row r="222" spans="1:7" x14ac:dyDescent="0.25">
      <c r="A222" t="s">
        <v>481</v>
      </c>
      <c r="B222" s="7">
        <v>45952.583738425928</v>
      </c>
      <c r="C222" t="s">
        <v>432</v>
      </c>
      <c r="D222" t="e">
        <f t="shared" si="3"/>
        <v>#N/A</v>
      </c>
      <c r="E222">
        <v>54</v>
      </c>
      <c r="F222" s="8">
        <v>45952.500405092593</v>
      </c>
      <c r="G222" s="8"/>
    </row>
    <row r="223" spans="1:7" x14ac:dyDescent="0.25">
      <c r="A223" t="s">
        <v>506</v>
      </c>
      <c r="B223" s="7">
        <v>45959.55741898148</v>
      </c>
      <c r="C223" t="s">
        <v>433</v>
      </c>
      <c r="D223" t="e">
        <f t="shared" si="3"/>
        <v>#N/A</v>
      </c>
      <c r="E223">
        <v>54</v>
      </c>
      <c r="F223" s="8">
        <v>45959.515752314815</v>
      </c>
      <c r="G223" s="8"/>
    </row>
    <row r="224" spans="1:7" x14ac:dyDescent="0.25">
      <c r="A224" t="s">
        <v>509</v>
      </c>
      <c r="B224" s="7">
        <v>45966.522789351846</v>
      </c>
      <c r="C224" t="s">
        <v>434</v>
      </c>
      <c r="D224" t="e">
        <f t="shared" si="3"/>
        <v>#N/A</v>
      </c>
      <c r="E224">
        <v>54</v>
      </c>
      <c r="F224" s="8">
        <v>45966.481122685182</v>
      </c>
      <c r="G224" s="8"/>
    </row>
    <row r="225" spans="1:7" x14ac:dyDescent="0.25">
      <c r="A225" t="s">
        <v>557</v>
      </c>
      <c r="B225" s="7">
        <v>45973.581284722219</v>
      </c>
      <c r="C225" t="s">
        <v>435</v>
      </c>
      <c r="D225" t="e">
        <f t="shared" si="3"/>
        <v>#N/A</v>
      </c>
      <c r="E225">
        <v>54</v>
      </c>
      <c r="F225" s="8">
        <v>45973.539618055554</v>
      </c>
      <c r="G225" s="8"/>
    </row>
    <row r="226" spans="1:7" x14ac:dyDescent="0.25">
      <c r="A226" t="s">
        <v>583</v>
      </c>
      <c r="B226" s="7">
        <v>45988.602974537032</v>
      </c>
      <c r="C226" t="s">
        <v>436</v>
      </c>
      <c r="D226" t="e">
        <f t="shared" si="3"/>
        <v>#N/A</v>
      </c>
      <c r="E226">
        <v>54</v>
      </c>
      <c r="F226" s="8">
        <v>45988.561307870368</v>
      </c>
      <c r="G226" s="8"/>
    </row>
    <row r="227" spans="1:7" x14ac:dyDescent="0.25">
      <c r="A227" t="s">
        <v>594</v>
      </c>
      <c r="B227" s="7">
        <v>45994.544953703698</v>
      </c>
      <c r="C227" t="s">
        <v>437</v>
      </c>
      <c r="D227" t="e">
        <f t="shared" si="3"/>
        <v>#N/A</v>
      </c>
      <c r="E227">
        <v>54</v>
      </c>
      <c r="F227" s="8">
        <v>45994.503287037034</v>
      </c>
      <c r="G227" s="8"/>
    </row>
    <row r="228" spans="1:7" x14ac:dyDescent="0.25">
      <c r="A228" t="s">
        <v>617</v>
      </c>
      <c r="B228" s="7">
        <v>46002.552615740737</v>
      </c>
      <c r="C228" t="s">
        <v>438</v>
      </c>
      <c r="D228" t="e">
        <f t="shared" si="3"/>
        <v>#N/A</v>
      </c>
      <c r="E228">
        <v>54</v>
      </c>
      <c r="F228" s="8">
        <v>46002.510949074072</v>
      </c>
      <c r="G228" s="8"/>
    </row>
    <row r="229" spans="1:7" x14ac:dyDescent="0.25">
      <c r="A229" t="s">
        <v>649</v>
      </c>
      <c r="B229" s="7">
        <v>46013.577303240738</v>
      </c>
      <c r="C229" t="s">
        <v>439</v>
      </c>
      <c r="D229" t="e">
        <f t="shared" si="3"/>
        <v>#N/A</v>
      </c>
      <c r="E229">
        <v>54</v>
      </c>
      <c r="F229" s="8">
        <v>46013.535636574074</v>
      </c>
      <c r="G229" s="8"/>
    </row>
    <row r="230" spans="1:7" x14ac:dyDescent="0.25">
      <c r="A230" t="s">
        <v>686</v>
      </c>
      <c r="B230" s="7">
        <v>46024.555937500001</v>
      </c>
      <c r="C230" t="s">
        <v>440</v>
      </c>
      <c r="D230" t="e">
        <f t="shared" si="3"/>
        <v>#N/A</v>
      </c>
      <c r="E230">
        <v>54</v>
      </c>
      <c r="F230" s="8">
        <v>46024.514270833337</v>
      </c>
      <c r="G230" s="8"/>
    </row>
    <row r="231" spans="1:7" x14ac:dyDescent="0.25">
      <c r="A231" t="s">
        <v>482</v>
      </c>
      <c r="B231" s="7">
        <v>45952.584849537037</v>
      </c>
      <c r="C231" t="s">
        <v>441</v>
      </c>
      <c r="D231" t="e">
        <f t="shared" si="3"/>
        <v>#N/A</v>
      </c>
      <c r="E231">
        <v>55</v>
      </c>
      <c r="F231" s="8">
        <v>45952.501516203702</v>
      </c>
      <c r="G231" s="8"/>
    </row>
    <row r="232" spans="1:7" x14ac:dyDescent="0.25">
      <c r="A232" t="s">
        <v>507</v>
      </c>
      <c r="B232" s="7">
        <v>45959.558599537035</v>
      </c>
      <c r="C232" t="s">
        <v>442</v>
      </c>
      <c r="D232" t="e">
        <f t="shared" si="3"/>
        <v>#N/A</v>
      </c>
      <c r="E232">
        <v>55</v>
      </c>
      <c r="F232" s="8">
        <v>45959.516932870371</v>
      </c>
      <c r="G232" s="8"/>
    </row>
    <row r="233" spans="1:7" x14ac:dyDescent="0.25">
      <c r="A233" t="s">
        <v>508</v>
      </c>
      <c r="B233" s="7">
        <v>45966.52103009259</v>
      </c>
      <c r="C233" t="s">
        <v>443</v>
      </c>
      <c r="D233" t="e">
        <f t="shared" si="3"/>
        <v>#N/A</v>
      </c>
      <c r="E233">
        <v>55</v>
      </c>
      <c r="F233" s="8">
        <v>45966.479363425926</v>
      </c>
      <c r="G233" s="8"/>
    </row>
    <row r="234" spans="1:7" x14ac:dyDescent="0.25">
      <c r="A234" t="s">
        <v>558</v>
      </c>
      <c r="B234" s="7">
        <v>45973.582233796296</v>
      </c>
      <c r="C234" t="s">
        <v>444</v>
      </c>
      <c r="D234" t="e">
        <f t="shared" si="3"/>
        <v>#N/A</v>
      </c>
      <c r="E234">
        <v>55</v>
      </c>
      <c r="F234" s="8">
        <v>45973.540567129632</v>
      </c>
      <c r="G234" s="8"/>
    </row>
    <row r="235" spans="1:7" x14ac:dyDescent="0.25">
      <c r="A235" t="s">
        <v>584</v>
      </c>
      <c r="B235" s="7">
        <v>45988.605277777773</v>
      </c>
      <c r="C235" t="s">
        <v>445</v>
      </c>
      <c r="D235" t="e">
        <f t="shared" si="3"/>
        <v>#N/A</v>
      </c>
      <c r="E235">
        <v>55</v>
      </c>
      <c r="F235" s="8">
        <v>45988.563611111109</v>
      </c>
      <c r="G235" s="8"/>
    </row>
    <row r="236" spans="1:7" x14ac:dyDescent="0.25">
      <c r="A236" t="s">
        <v>595</v>
      </c>
      <c r="B236" s="7">
        <v>45994.546215277776</v>
      </c>
      <c r="C236" t="s">
        <v>446</v>
      </c>
      <c r="D236" t="e">
        <f t="shared" si="3"/>
        <v>#N/A</v>
      </c>
      <c r="E236">
        <v>55</v>
      </c>
      <c r="F236" s="8">
        <v>45994.504548611112</v>
      </c>
      <c r="G236" s="8"/>
    </row>
    <row r="237" spans="1:7" x14ac:dyDescent="0.25">
      <c r="A237" t="s">
        <v>618</v>
      </c>
      <c r="B237" s="7">
        <v>46002.554236111107</v>
      </c>
      <c r="C237" t="s">
        <v>447</v>
      </c>
      <c r="D237" t="e">
        <f t="shared" si="3"/>
        <v>#N/A</v>
      </c>
      <c r="E237">
        <v>55</v>
      </c>
      <c r="F237" s="8">
        <v>46002.512569444443</v>
      </c>
      <c r="G237" s="8"/>
    </row>
    <row r="238" spans="1:7" x14ac:dyDescent="0.25">
      <c r="A238" t="s">
        <v>650</v>
      </c>
      <c r="B238" s="7">
        <v>46013.57913194444</v>
      </c>
      <c r="C238" t="s">
        <v>448</v>
      </c>
      <c r="D238" t="e">
        <f t="shared" si="3"/>
        <v>#N/A</v>
      </c>
      <c r="E238">
        <v>55</v>
      </c>
      <c r="F238" s="8">
        <v>46013.537465277775</v>
      </c>
      <c r="G238" s="8"/>
    </row>
    <row r="239" spans="1:7" x14ac:dyDescent="0.25">
      <c r="A239" t="s">
        <v>687</v>
      </c>
      <c r="B239" s="7">
        <v>46024.557962962957</v>
      </c>
      <c r="C239" t="s">
        <v>449</v>
      </c>
      <c r="D239" t="e">
        <f t="shared" si="3"/>
        <v>#N/A</v>
      </c>
      <c r="E239">
        <v>55</v>
      </c>
      <c r="F239" s="8">
        <v>46024.516296296293</v>
      </c>
      <c r="G239" s="8"/>
    </row>
  </sheetData>
  <autoFilter ref="A1:F239" xr:uid="{75443D07-4468-4B5E-BA9F-3C5215D72C44}">
    <sortState xmlns:xlrd2="http://schemas.microsoft.com/office/spreadsheetml/2017/richdata2" ref="A2:F239">
      <sortCondition ref="C1:C239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631-4911-416B-A74A-D42CCD292807}">
  <dimension ref="A1:J21"/>
  <sheetViews>
    <sheetView workbookViewId="0">
      <selection activeCell="C2" sqref="C2:C21"/>
    </sheetView>
  </sheetViews>
  <sheetFormatPr defaultRowHeight="15" x14ac:dyDescent="0.25"/>
  <cols>
    <col min="1" max="1" width="11.28515625" style="3" bestFit="1" customWidth="1"/>
    <col min="2" max="2" width="15.140625" style="3" bestFit="1" customWidth="1"/>
    <col min="3" max="3" width="26.42578125" bestFit="1" customWidth="1"/>
    <col min="4" max="4" width="33.85546875" bestFit="1" customWidth="1"/>
    <col min="10" max="10" width="33.85546875" bestFit="1" customWidth="1"/>
  </cols>
  <sheetData>
    <row r="1" spans="1:10" x14ac:dyDescent="0.25">
      <c r="A1" s="2" t="s">
        <v>89</v>
      </c>
      <c r="B1" s="2" t="s">
        <v>90</v>
      </c>
      <c r="C1" t="s">
        <v>112</v>
      </c>
      <c r="J1" s="5" t="s">
        <v>111</v>
      </c>
    </row>
    <row r="2" spans="1:10" x14ac:dyDescent="0.25">
      <c r="A2" s="4" t="s">
        <v>70</v>
      </c>
      <c r="B2" s="4" t="s">
        <v>91</v>
      </c>
      <c r="C2" t="str">
        <f>"-"&amp;B2&amp;$C$1</f>
        <v>-Pernilla: vocabulary:Variety</v>
      </c>
    </row>
    <row r="3" spans="1:10" x14ac:dyDescent="0.25">
      <c r="A3" s="4" t="s">
        <v>73</v>
      </c>
      <c r="B3" s="4" t="s">
        <v>92</v>
      </c>
      <c r="C3" t="str">
        <f t="shared" ref="C3:C21" si="0">"-"&amp;B3&amp;$C$1</f>
        <v>-Tyra: vocabulary:Variety</v>
      </c>
    </row>
    <row r="4" spans="1:10" x14ac:dyDescent="0.25">
      <c r="A4" s="4" t="s">
        <v>71</v>
      </c>
      <c r="B4" s="4" t="s">
        <v>93</v>
      </c>
      <c r="C4" t="str">
        <f t="shared" si="0"/>
        <v>-Kinnan: vocabulary:Variety</v>
      </c>
    </row>
    <row r="5" spans="1:10" x14ac:dyDescent="0.25">
      <c r="A5" s="4" t="s">
        <v>65</v>
      </c>
      <c r="B5" s="4" t="s">
        <v>94</v>
      </c>
      <c r="C5" t="str">
        <f t="shared" si="0"/>
        <v>-Sunnita: vocabulary:Variety</v>
      </c>
    </row>
    <row r="6" spans="1:10" x14ac:dyDescent="0.25">
      <c r="A6" s="4" t="s">
        <v>62</v>
      </c>
      <c r="B6" s="4" t="s">
        <v>95</v>
      </c>
      <c r="C6" t="str">
        <f t="shared" si="0"/>
        <v>-Olve: vocabulary:Variety</v>
      </c>
    </row>
    <row r="7" spans="1:10" x14ac:dyDescent="0.25">
      <c r="A7" s="4" t="s">
        <v>76</v>
      </c>
      <c r="B7" s="4" t="s">
        <v>96</v>
      </c>
      <c r="C7" t="str">
        <f t="shared" si="0"/>
        <v>-Helium: vocabulary:Variety</v>
      </c>
    </row>
    <row r="8" spans="1:10" x14ac:dyDescent="0.25">
      <c r="A8" s="4" t="s">
        <v>75</v>
      </c>
      <c r="B8" s="4" t="s">
        <v>97</v>
      </c>
      <c r="C8" t="str">
        <f t="shared" si="0"/>
        <v>-Thermus: vocabulary:Variety</v>
      </c>
    </row>
    <row r="9" spans="1:10" x14ac:dyDescent="0.25">
      <c r="A9" s="4" t="s">
        <v>74</v>
      </c>
      <c r="B9" s="4" t="s">
        <v>98</v>
      </c>
      <c r="C9" t="str">
        <f t="shared" si="0"/>
        <v>-Arild: vocabulary:Variety</v>
      </c>
    </row>
    <row r="10" spans="1:10" x14ac:dyDescent="0.25">
      <c r="A10" s="4" t="s">
        <v>66</v>
      </c>
      <c r="B10" s="4" t="s">
        <v>99</v>
      </c>
      <c r="C10" t="str">
        <f t="shared" si="0"/>
        <v>-Annika: vocabulary:Variety</v>
      </c>
    </row>
    <row r="11" spans="1:10" x14ac:dyDescent="0.25">
      <c r="A11" s="4" t="s">
        <v>63</v>
      </c>
      <c r="B11" s="4" t="s">
        <v>100</v>
      </c>
      <c r="C11" t="str">
        <f t="shared" si="0"/>
        <v>-Ismena: vocabulary:Variety</v>
      </c>
    </row>
    <row r="12" spans="1:10" x14ac:dyDescent="0.25">
      <c r="A12" s="4" t="s">
        <v>69</v>
      </c>
      <c r="B12" s="4" t="s">
        <v>101</v>
      </c>
      <c r="C12" t="str">
        <f t="shared" si="0"/>
        <v>-Bamse: vocabulary:Variety</v>
      </c>
    </row>
    <row r="13" spans="1:10" x14ac:dyDescent="0.25">
      <c r="A13" s="4" t="s">
        <v>72</v>
      </c>
      <c r="B13" s="4" t="s">
        <v>102</v>
      </c>
      <c r="C13" t="str">
        <f t="shared" si="0"/>
        <v>-Tore: vocabulary:Variety</v>
      </c>
    </row>
    <row r="14" spans="1:10" x14ac:dyDescent="0.25">
      <c r="A14" s="4" t="s">
        <v>68</v>
      </c>
      <c r="B14" s="4" t="s">
        <v>103</v>
      </c>
      <c r="C14" t="str">
        <f t="shared" si="0"/>
        <v>-Arve: vocabulary:Variety</v>
      </c>
    </row>
    <row r="15" spans="1:10" x14ac:dyDescent="0.25">
      <c r="A15" s="4" t="s">
        <v>78</v>
      </c>
      <c r="B15" s="4" t="s">
        <v>104</v>
      </c>
      <c r="C15" t="str">
        <f t="shared" si="0"/>
        <v>-Thule: vocabulary:Variety</v>
      </c>
    </row>
    <row r="16" spans="1:10" x14ac:dyDescent="0.25">
      <c r="A16" s="4" t="s">
        <v>67</v>
      </c>
      <c r="B16" s="4" t="s">
        <v>105</v>
      </c>
      <c r="C16" t="str">
        <f t="shared" si="0"/>
        <v>-Edel: vocabulary:Variety</v>
      </c>
    </row>
    <row r="17" spans="1:3" x14ac:dyDescent="0.25">
      <c r="A17" s="4" t="s">
        <v>64</v>
      </c>
      <c r="B17" s="4" t="s">
        <v>106</v>
      </c>
      <c r="C17" t="str">
        <f t="shared" si="0"/>
        <v>-Tiril: vocabulary:Variety</v>
      </c>
    </row>
    <row r="18" spans="1:3" x14ac:dyDescent="0.25">
      <c r="A18" s="4" t="s">
        <v>77</v>
      </c>
      <c r="B18" s="4" t="s">
        <v>107</v>
      </c>
      <c r="C18" t="str">
        <f t="shared" si="0"/>
        <v>-Heder: vocabulary:Variety</v>
      </c>
    </row>
    <row r="19" spans="1:3" x14ac:dyDescent="0.25">
      <c r="A19" s="4" t="s">
        <v>81</v>
      </c>
      <c r="B19" s="4" t="s">
        <v>108</v>
      </c>
      <c r="C19" t="str">
        <f t="shared" si="0"/>
        <v>-Brage: vocabulary:Variety</v>
      </c>
    </row>
    <row r="20" spans="1:3" x14ac:dyDescent="0.25">
      <c r="A20" s="4" t="s">
        <v>80</v>
      </c>
      <c r="B20" s="4" t="s">
        <v>109</v>
      </c>
      <c r="C20" t="str">
        <f t="shared" si="0"/>
        <v>-Rodhette: vocabulary:Variety</v>
      </c>
    </row>
    <row r="21" spans="1:3" x14ac:dyDescent="0.25">
      <c r="A21" s="4" t="s">
        <v>79</v>
      </c>
      <c r="B21" s="4" t="s">
        <v>110</v>
      </c>
      <c r="C21" t="str">
        <f t="shared" si="0"/>
        <v>-Bredo: vocabulary:Variety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b8a7c3-cc0e-4609-ad92-42b0884a7d0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9EF18280867DE49878A53AEC2DF9AB6" ma:contentTypeVersion="14" ma:contentTypeDescription="Create a new document." ma:contentTypeScope="" ma:versionID="db71e4c0504fb74a4f9e6499cf954f31">
  <xsd:schema xmlns:xsd="http://www.w3.org/2001/XMLSchema" xmlns:xs="http://www.w3.org/2001/XMLSchema" xmlns:p="http://schemas.microsoft.com/office/2006/metadata/properties" xmlns:ns2="65b8a7c3-cc0e-4609-ad92-42b0884a7d0f" xmlns:ns3="e0e908dd-7861-4b77-a296-2e69f602d689" targetNamespace="http://schemas.microsoft.com/office/2006/metadata/properties" ma:root="true" ma:fieldsID="fb7944ecbb98505250fe53aaffacd92a" ns2:_="" ns3:_="">
    <xsd:import namespace="65b8a7c3-cc0e-4609-ad92-42b0884a7d0f"/>
    <xsd:import namespace="e0e908dd-7861-4b77-a296-2e69f602d6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b8a7c3-cc0e-4609-ad92-42b0884a7d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f519134-deff-459f-81c1-98498d3da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e908dd-7861-4b77-a296-2e69f602d68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5603FB-94D4-43C8-92D9-4A75C8623C2E}">
  <ds:schemaRefs>
    <ds:schemaRef ds:uri="http://schemas.microsoft.com/office/2006/metadata/properties"/>
    <ds:schemaRef ds:uri="http://schemas.microsoft.com/office/infopath/2007/PartnerControls"/>
    <ds:schemaRef ds:uri="65b8a7c3-cc0e-4609-ad92-42b0884a7d0f"/>
  </ds:schemaRefs>
</ds:datastoreItem>
</file>

<file path=customXml/itemProps2.xml><?xml version="1.0" encoding="utf-8"?>
<ds:datastoreItem xmlns:ds="http://schemas.openxmlformats.org/officeDocument/2006/customXml" ds:itemID="{2F4B1CF1-30AE-4BA7-ACD8-F047F48878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619F08-3EB8-4D0C-B86A-66EE8DAF8B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b8a7c3-cc0e-4609-ad92-42b0884a7d0f"/>
    <ds:schemaRef ds:uri="e0e908dd-7861-4b77-a296-2e69f602d6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Testing</vt:lpstr>
      <vt:lpstr>ImgName</vt:lpstr>
      <vt:lpstr>Germplasm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Poque, Sylvain M</cp:lastModifiedBy>
  <dcterms:created xsi:type="dcterms:W3CDTF">2026-01-30T20:09:43Z</dcterms:created>
  <dcterms:modified xsi:type="dcterms:W3CDTF">2026-01-31T07:05:00Z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0x01010059EF18280867DE49878A53AEC2DF9AB6</vt:lpwstr>
  </property>
  <property fmtid="{D5CDD505-2E9C-101B-9397-08002B2CF9AE}" pid="3" name="MediaServiceImageTags">
    <vt:lpwstr/>
  </property>
</Properties>
</file>